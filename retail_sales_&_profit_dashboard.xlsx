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656F87736217BE48/Documents/"/>
    </mc:Choice>
  </mc:AlternateContent>
  <xr:revisionPtr revIDLastSave="4319" documentId="8_{39F3BF56-DED5-4D13-9167-301AD25677BC}" xr6:coauthVersionLast="47" xr6:coauthVersionMax="47" xr10:uidLastSave="{D5E4547B-FC96-42A2-82BC-9AE1B596B95F}"/>
  <bookViews>
    <workbookView xWindow="1536" yWindow="1536" windowWidth="17280" windowHeight="8880" activeTab="2" xr2:uid="{00000000-000D-0000-FFFF-FFFF00000000}"/>
  </bookViews>
  <sheets>
    <sheet name="sales_dataset" sheetId="1" r:id="rId1"/>
    <sheet name="Sheet2" sheetId="4" r:id="rId2"/>
    <sheet name="sales_dashboard" sheetId="5" r:id="rId3"/>
    <sheet name="Sheet1" sheetId="6" r:id="rId4"/>
  </sheets>
  <definedNames>
    <definedName name="Slicer_Category">#N/A</definedName>
    <definedName name="Slicer_Region">#N/A</definedName>
    <definedName name="Slicer_Segment">#N/A</definedName>
    <definedName name="Slicer_Ship_Mod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4" l="1"/>
  <c r="N6" i="4"/>
  <c r="N18" i="4"/>
  <c r="N10" i="4"/>
</calcChain>
</file>

<file path=xl/sharedStrings.xml><?xml version="1.0" encoding="utf-8"?>
<sst xmlns="http://schemas.openxmlformats.org/spreadsheetml/2006/main" count="19592" uniqueCount="3923">
  <si>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</si>
  <si>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</si>
  <si>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</si>
  <si>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</si>
  <si>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</si>
  <si>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</si>
  <si>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</si>
  <si>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</si>
  <si>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</si>
  <si>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</si>
  <si>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</si>
  <si>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</si>
  <si>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</si>
  <si>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</si>
  <si>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</si>
  <si>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</si>
  <si>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</si>
  <si>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</si>
  <si>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</si>
  <si>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</si>
  <si>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</si>
  <si>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ORD-2024-00001</t>
  </si>
  <si>
    <t>ORD-2025-00002</t>
  </si>
  <si>
    <t>ORD-2024-00003</t>
  </si>
  <si>
    <t>ORD-2024-00004</t>
  </si>
  <si>
    <t>ORD-2024-00005</t>
  </si>
  <si>
    <t>ORD-2025-00006</t>
  </si>
  <si>
    <t>ORD-2024-00007</t>
  </si>
  <si>
    <t>ORD-2025-00008</t>
  </si>
  <si>
    <t>ORD-2024-00009</t>
  </si>
  <si>
    <t>ORD-2025-00010</t>
  </si>
  <si>
    <t>ORD-2024-00011</t>
  </si>
  <si>
    <t>ORD-2024-00012</t>
  </si>
  <si>
    <t>ORD-2025-00013</t>
  </si>
  <si>
    <t>ORD-2024-00014</t>
  </si>
  <si>
    <t>ORD-2025-00015</t>
  </si>
  <si>
    <t>ORD-2024-00016</t>
  </si>
  <si>
    <t>ORD-2025-00017</t>
  </si>
  <si>
    <t>ORD-2024-00018</t>
  </si>
  <si>
    <t>ORD-2025-00019</t>
  </si>
  <si>
    <t>ORD-2024-00020</t>
  </si>
  <si>
    <t>ORD-2024-00021</t>
  </si>
  <si>
    <t>ORD-2025-00022</t>
  </si>
  <si>
    <t>ORD-2025-00023</t>
  </si>
  <si>
    <t>ORD-2025-00024</t>
  </si>
  <si>
    <t>ORD-2024-00025</t>
  </si>
  <si>
    <t>ORD-2024-00026</t>
  </si>
  <si>
    <t>ORD-2024-00027</t>
  </si>
  <si>
    <t>ORD-2025-00028</t>
  </si>
  <si>
    <t>ORD-2024-00029</t>
  </si>
  <si>
    <t>ORD-2024-00030</t>
  </si>
  <si>
    <t>ORD-2024-00031</t>
  </si>
  <si>
    <t>ORD-2025-00032</t>
  </si>
  <si>
    <t>ORD-2025-00033</t>
  </si>
  <si>
    <t>ORD-2024-00034</t>
  </si>
  <si>
    <t>ORD-2025-00035</t>
  </si>
  <si>
    <t>ORD-2025-00036</t>
  </si>
  <si>
    <t>ORD-2025-00037</t>
  </si>
  <si>
    <t>ORD-2025-00038</t>
  </si>
  <si>
    <t>ORD-2024-00039</t>
  </si>
  <si>
    <t>ORD-2025-00040</t>
  </si>
  <si>
    <t>ORD-2025-00041</t>
  </si>
  <si>
    <t>ORD-2025-00042</t>
  </si>
  <si>
    <t>ORD-2024-00043</t>
  </si>
  <si>
    <t>ORD-2025-00044</t>
  </si>
  <si>
    <t>ORD-2024-00045</t>
  </si>
  <si>
    <t>ORD-2025-00046</t>
  </si>
  <si>
    <t>ORD-2025-00047</t>
  </si>
  <si>
    <t>ORD-2024-00048</t>
  </si>
  <si>
    <t>ORD-2024-00049</t>
  </si>
  <si>
    <t>ORD-2024-00050</t>
  </si>
  <si>
    <t>ORD-2025-00051</t>
  </si>
  <si>
    <t>ORD-2025-00052</t>
  </si>
  <si>
    <t>ORD-2024-00053</t>
  </si>
  <si>
    <t>ORD-2024-00054</t>
  </si>
  <si>
    <t>ORD-2024-00055</t>
  </si>
  <si>
    <t>ORD-2024-00056</t>
  </si>
  <si>
    <t>ORD-2025-00057</t>
  </si>
  <si>
    <t>ORD-2024-00058</t>
  </si>
  <si>
    <t>ORD-2024-00059</t>
  </si>
  <si>
    <t>ORD-2025-00060</t>
  </si>
  <si>
    <t>ORD-2025-00061</t>
  </si>
  <si>
    <t>ORD-2025-00062</t>
  </si>
  <si>
    <t>ORD-2025-00063</t>
  </si>
  <si>
    <t>ORD-2024-00064</t>
  </si>
  <si>
    <t>ORD-2024-00065</t>
  </si>
  <si>
    <t>ORD-2024-00066</t>
  </si>
  <si>
    <t>ORD-2025-00067</t>
  </si>
  <si>
    <t>ORD-2025-00068</t>
  </si>
  <si>
    <t>ORD-2024-00069</t>
  </si>
  <si>
    <t>ORD-2025-00070</t>
  </si>
  <si>
    <t>ORD-2025-00071</t>
  </si>
  <si>
    <t>ORD-2024-00072</t>
  </si>
  <si>
    <t>ORD-2025-00073</t>
  </si>
  <si>
    <t>ORD-2025-00074</t>
  </si>
  <si>
    <t>ORD-2025-00075</t>
  </si>
  <si>
    <t>ORD-2025-00076</t>
  </si>
  <si>
    <t>ORD-2025-00077</t>
  </si>
  <si>
    <t>ORD-2024-00078</t>
  </si>
  <si>
    <t>ORD-2024-00079</t>
  </si>
  <si>
    <t>ORD-2024-00080</t>
  </si>
  <si>
    <t>ORD-2024-00081</t>
  </si>
  <si>
    <t>ORD-2025-00082</t>
  </si>
  <si>
    <t>ORD-2025-00083</t>
  </si>
  <si>
    <t>ORD-2025-00084</t>
  </si>
  <si>
    <t>ORD-2024-00085</t>
  </si>
  <si>
    <t>ORD-2025-00086</t>
  </si>
  <si>
    <t>ORD-2024-00087</t>
  </si>
  <si>
    <t>ORD-2025-00088</t>
  </si>
  <si>
    <t>ORD-2025-00089</t>
  </si>
  <si>
    <t>ORD-2024-00090</t>
  </si>
  <si>
    <t>ORD-2024-00091</t>
  </si>
  <si>
    <t>ORD-2024-00092</t>
  </si>
  <si>
    <t>ORD-2024-00093</t>
  </si>
  <si>
    <t>ORD-2025-00094</t>
  </si>
  <si>
    <t>ORD-2025-00095</t>
  </si>
  <si>
    <t>ORD-2024-00096</t>
  </si>
  <si>
    <t>ORD-2024-00097</t>
  </si>
  <si>
    <t>ORD-2024-00098</t>
  </si>
  <si>
    <t>ORD-2024-00099</t>
  </si>
  <si>
    <t>ORD-2025-00100</t>
  </si>
  <si>
    <t>ORD-2024-00101</t>
  </si>
  <si>
    <t>ORD-2024-00102</t>
  </si>
  <si>
    <t>ORD-2025-00103</t>
  </si>
  <si>
    <t>ORD-2025-00104</t>
  </si>
  <si>
    <t>ORD-2024-00105</t>
  </si>
  <si>
    <t>ORD-2024-00106</t>
  </si>
  <si>
    <t>ORD-2025-00107</t>
  </si>
  <si>
    <t>ORD-2025-00108</t>
  </si>
  <si>
    <t>ORD-2025-00109</t>
  </si>
  <si>
    <t>ORD-2025-00110</t>
  </si>
  <si>
    <t>ORD-2025-00111</t>
  </si>
  <si>
    <t>ORD-2024-00112</t>
  </si>
  <si>
    <t>ORD-2025-00113</t>
  </si>
  <si>
    <t>ORD-2025-00114</t>
  </si>
  <si>
    <t>ORD-2024-00115</t>
  </si>
  <si>
    <t>ORD-2024-00116</t>
  </si>
  <si>
    <t>ORD-2024-00117</t>
  </si>
  <si>
    <t>ORD-2024-00118</t>
  </si>
  <si>
    <t>ORD-2024-00119</t>
  </si>
  <si>
    <t>ORD-2024-00120</t>
  </si>
  <si>
    <t>ORD-2024-00121</t>
  </si>
  <si>
    <t>ORD-2025-00122</t>
  </si>
  <si>
    <t>ORD-2025-00123</t>
  </si>
  <si>
    <t>ORD-2025-00124</t>
  </si>
  <si>
    <t>ORD-2025-00125</t>
  </si>
  <si>
    <t>ORD-2024-00126</t>
  </si>
  <si>
    <t>ORD-2025-00127</t>
  </si>
  <si>
    <t>ORD-2025-00128</t>
  </si>
  <si>
    <t>ORD-2025-00129</t>
  </si>
  <si>
    <t>ORD-2025-00130</t>
  </si>
  <si>
    <t>ORD-2025-00131</t>
  </si>
  <si>
    <t>ORD-2025-00132</t>
  </si>
  <si>
    <t>ORD-2024-00133</t>
  </si>
  <si>
    <t>ORD-2024-00134</t>
  </si>
  <si>
    <t>ORD-2025-00135</t>
  </si>
  <si>
    <t>ORD-2025-00136</t>
  </si>
  <si>
    <t>ORD-2025-00137</t>
  </si>
  <si>
    <t>ORD-2024-00138</t>
  </si>
  <si>
    <t>ORD-2024-00139</t>
  </si>
  <si>
    <t>ORD-2025-00140</t>
  </si>
  <si>
    <t>ORD-2025-00141</t>
  </si>
  <si>
    <t>ORD-2025-00142</t>
  </si>
  <si>
    <t>ORD-2025-00143</t>
  </si>
  <si>
    <t>ORD-2024-00144</t>
  </si>
  <si>
    <t>ORD-2025-00145</t>
  </si>
  <si>
    <t>ORD-2024-00146</t>
  </si>
  <si>
    <t>ORD-2025-00147</t>
  </si>
  <si>
    <t>ORD-2025-00148</t>
  </si>
  <si>
    <t>ORD-2024-00149</t>
  </si>
  <si>
    <t>ORD-2025-00150</t>
  </si>
  <si>
    <t>ORD-2024-00151</t>
  </si>
  <si>
    <t>ORD-2025-00152</t>
  </si>
  <si>
    <t>ORD-2024-00153</t>
  </si>
  <si>
    <t>ORD-2025-00154</t>
  </si>
  <si>
    <t>ORD-2024-00155</t>
  </si>
  <si>
    <t>ORD-2025-00156</t>
  </si>
  <si>
    <t>ORD-2024-00157</t>
  </si>
  <si>
    <t>ORD-2024-00158</t>
  </si>
  <si>
    <t>ORD-2025-00159</t>
  </si>
  <si>
    <t>ORD-2025-00160</t>
  </si>
  <si>
    <t>ORD-2025-00161</t>
  </si>
  <si>
    <t>ORD-2025-00162</t>
  </si>
  <si>
    <t>ORD-2025-00163</t>
  </si>
  <si>
    <t>ORD-2024-00164</t>
  </si>
  <si>
    <t>ORD-2025-00165</t>
  </si>
  <si>
    <t>ORD-2025-00166</t>
  </si>
  <si>
    <t>ORD-2024-00167</t>
  </si>
  <si>
    <t>ORD-2024-00168</t>
  </si>
  <si>
    <t>ORD-2025-00169</t>
  </si>
  <si>
    <t>ORD-2025-00170</t>
  </si>
  <si>
    <t>ORD-2024-00171</t>
  </si>
  <si>
    <t>ORD-2025-00172</t>
  </si>
  <si>
    <t>ORD-2024-00173</t>
  </si>
  <si>
    <t>ORD-2024-00174</t>
  </si>
  <si>
    <t>ORD-2024-00175</t>
  </si>
  <si>
    <t>ORD-2025-00176</t>
  </si>
  <si>
    <t>ORD-2025-00177</t>
  </si>
  <si>
    <t>ORD-2024-00178</t>
  </si>
  <si>
    <t>ORD-2025-00179</t>
  </si>
  <si>
    <t>ORD-2025-00180</t>
  </si>
  <si>
    <t>ORD-2024-00181</t>
  </si>
  <si>
    <t>ORD-2024-00182</t>
  </si>
  <si>
    <t>ORD-2025-00183</t>
  </si>
  <si>
    <t>ORD-2025-00184</t>
  </si>
  <si>
    <t>ORD-2025-00185</t>
  </si>
  <si>
    <t>ORD-2025-00186</t>
  </si>
  <si>
    <t>ORD-2024-00187</t>
  </si>
  <si>
    <t>ORD-2025-00188</t>
  </si>
  <si>
    <t>ORD-2024-00189</t>
  </si>
  <si>
    <t>ORD-2024-00190</t>
  </si>
  <si>
    <t>ORD-2025-00191</t>
  </si>
  <si>
    <t>ORD-2025-00192</t>
  </si>
  <si>
    <t>ORD-2025-00193</t>
  </si>
  <si>
    <t>ORD-2025-00194</t>
  </si>
  <si>
    <t>ORD-2025-00195</t>
  </si>
  <si>
    <t>ORD-2025-00196</t>
  </si>
  <si>
    <t>ORD-2024-00197</t>
  </si>
  <si>
    <t>ORD-2025-00198</t>
  </si>
  <si>
    <t>ORD-2024-00199</t>
  </si>
  <si>
    <t>ORD-2025-00200</t>
  </si>
  <si>
    <t>ORD-2025-00201</t>
  </si>
  <si>
    <t>ORD-2025-00202</t>
  </si>
  <si>
    <t>ORD-2024-00203</t>
  </si>
  <si>
    <t>ORD-2025-00204</t>
  </si>
  <si>
    <t>ORD-2025-00205</t>
  </si>
  <si>
    <t>ORD-2025-00206</t>
  </si>
  <si>
    <t>ORD-2024-00207</t>
  </si>
  <si>
    <t>ORD-2025-00208</t>
  </si>
  <si>
    <t>ORD-2025-00209</t>
  </si>
  <si>
    <t>ORD-2024-00210</t>
  </si>
  <si>
    <t>ORD-2025-00211</t>
  </si>
  <si>
    <t>ORD-2024-00212</t>
  </si>
  <si>
    <t>ORD-2024-00213</t>
  </si>
  <si>
    <t>ORD-2025-00214</t>
  </si>
  <si>
    <t>ORD-2024-00215</t>
  </si>
  <si>
    <t>ORD-2025-00216</t>
  </si>
  <si>
    <t>ORD-2024-00217</t>
  </si>
  <si>
    <t>ORD-2025-00218</t>
  </si>
  <si>
    <t>ORD-2025-00219</t>
  </si>
  <si>
    <t>ORD-2025-00220</t>
  </si>
  <si>
    <t>ORD-2024-00221</t>
  </si>
  <si>
    <t>ORD-2024-00222</t>
  </si>
  <si>
    <t>ORD-2025-00223</t>
  </si>
  <si>
    <t>ORD-2025-00224</t>
  </si>
  <si>
    <t>ORD-2025-00225</t>
  </si>
  <si>
    <t>ORD-2025-00226</t>
  </si>
  <si>
    <t>ORD-2025-00227</t>
  </si>
  <si>
    <t>ORD-2024-00228</t>
  </si>
  <si>
    <t>ORD-2025-00229</t>
  </si>
  <si>
    <t>ORD-2024-00230</t>
  </si>
  <si>
    <t>ORD-2024-00231</t>
  </si>
  <si>
    <t>ORD-2024-00232</t>
  </si>
  <si>
    <t>ORD-2025-00233</t>
  </si>
  <si>
    <t>ORD-2024-00234</t>
  </si>
  <si>
    <t>ORD-2024-00235</t>
  </si>
  <si>
    <t>ORD-2025-00236</t>
  </si>
  <si>
    <t>ORD-2024-00237</t>
  </si>
  <si>
    <t>ORD-2025-00238</t>
  </si>
  <si>
    <t>ORD-2024-00239</t>
  </si>
  <si>
    <t>ORD-2025-00240</t>
  </si>
  <si>
    <t>ORD-2024-00241</t>
  </si>
  <si>
    <t>ORD-2024-00242</t>
  </si>
  <si>
    <t>ORD-2024-00243</t>
  </si>
  <si>
    <t>ORD-2024-00244</t>
  </si>
  <si>
    <t>ORD-2025-00245</t>
  </si>
  <si>
    <t>ORD-2024-00246</t>
  </si>
  <si>
    <t>ORD-2025-00247</t>
  </si>
  <si>
    <t>ORD-2025-00248</t>
  </si>
  <si>
    <t>ORD-2024-00249</t>
  </si>
  <si>
    <t>ORD-2025-00250</t>
  </si>
  <si>
    <t>ORD-2024-00251</t>
  </si>
  <si>
    <t>ORD-2024-00252</t>
  </si>
  <si>
    <t>ORD-2025-00253</t>
  </si>
  <si>
    <t>ORD-2025-00254</t>
  </si>
  <si>
    <t>ORD-2025-00255</t>
  </si>
  <si>
    <t>ORD-2025-00256</t>
  </si>
  <si>
    <t>ORD-2024-00257</t>
  </si>
  <si>
    <t>ORD-2025-00258</t>
  </si>
  <si>
    <t>ORD-2025-00259</t>
  </si>
  <si>
    <t>ORD-2024-00260</t>
  </si>
  <si>
    <t>ORD-2025-00261</t>
  </si>
  <si>
    <t>ORD-2024-00262</t>
  </si>
  <si>
    <t>ORD-2025-00263</t>
  </si>
  <si>
    <t>ORD-2024-00264</t>
  </si>
  <si>
    <t>ORD-2024-00265</t>
  </si>
  <si>
    <t>ORD-2024-00266</t>
  </si>
  <si>
    <t>ORD-2025-00267</t>
  </si>
  <si>
    <t>ORD-2025-00268</t>
  </si>
  <si>
    <t>ORD-2024-00269</t>
  </si>
  <si>
    <t>ORD-2024-00270</t>
  </si>
  <si>
    <t>ORD-2024-00271</t>
  </si>
  <si>
    <t>ORD-2025-00272</t>
  </si>
  <si>
    <t>ORD-2025-00273</t>
  </si>
  <si>
    <t>ORD-2024-00274</t>
  </si>
  <si>
    <t>ORD-2024-00275</t>
  </si>
  <si>
    <t>ORD-2024-00276</t>
  </si>
  <si>
    <t>ORD-2024-00277</t>
  </si>
  <si>
    <t>ORD-2024-00278</t>
  </si>
  <si>
    <t>ORD-2025-00279</t>
  </si>
  <si>
    <t>ORD-2024-00280</t>
  </si>
  <si>
    <t>ORD-2024-00281</t>
  </si>
  <si>
    <t>ORD-2025-00282</t>
  </si>
  <si>
    <t>ORD-2024-00283</t>
  </si>
  <si>
    <t>ORD-2024-00284</t>
  </si>
  <si>
    <t>ORD-2024-00285</t>
  </si>
  <si>
    <t>ORD-2025-00286</t>
  </si>
  <si>
    <t>ORD-2025-00287</t>
  </si>
  <si>
    <t>ORD-2025-00288</t>
  </si>
  <si>
    <t>ORD-2025-00289</t>
  </si>
  <si>
    <t>ORD-2025-00290</t>
  </si>
  <si>
    <t>ORD-2025-00291</t>
  </si>
  <si>
    <t>ORD-2024-00292</t>
  </si>
  <si>
    <t>ORD-2024-00293</t>
  </si>
  <si>
    <t>ORD-2024-00294</t>
  </si>
  <si>
    <t>ORD-2024-00295</t>
  </si>
  <si>
    <t>ORD-2025-00296</t>
  </si>
  <si>
    <t>ORD-2025-00297</t>
  </si>
  <si>
    <t>ORD-2024-00298</t>
  </si>
  <si>
    <t>ORD-2024-00299</t>
  </si>
  <si>
    <t>ORD-2024-00300</t>
  </si>
  <si>
    <t>ORD-2025-00301</t>
  </si>
  <si>
    <t>ORD-2024-00302</t>
  </si>
  <si>
    <t>ORD-2025-00303</t>
  </si>
  <si>
    <t>ORD-2025-00304</t>
  </si>
  <si>
    <t>ORD-2024-00305</t>
  </si>
  <si>
    <t>ORD-2025-00306</t>
  </si>
  <si>
    <t>ORD-2025-00307</t>
  </si>
  <si>
    <t>ORD-2024-00308</t>
  </si>
  <si>
    <t>ORD-2025-00309</t>
  </si>
  <si>
    <t>ORD-2025-00310</t>
  </si>
  <si>
    <t>ORD-2024-00311</t>
  </si>
  <si>
    <t>ORD-2024-00312</t>
  </si>
  <si>
    <t>ORD-2025-00313</t>
  </si>
  <si>
    <t>ORD-2025-00314</t>
  </si>
  <si>
    <t>ORD-2024-00315</t>
  </si>
  <si>
    <t>ORD-2025-00316</t>
  </si>
  <si>
    <t>ORD-2025-00317</t>
  </si>
  <si>
    <t>ORD-2025-00318</t>
  </si>
  <si>
    <t>ORD-2025-00319</t>
  </si>
  <si>
    <t>ORD-2024-00320</t>
  </si>
  <si>
    <t>ORD-2025-00321</t>
  </si>
  <si>
    <t>ORD-2024-00322</t>
  </si>
  <si>
    <t>ORD-2024-00323</t>
  </si>
  <si>
    <t>ORD-2024-00324</t>
  </si>
  <si>
    <t>ORD-2025-00325</t>
  </si>
  <si>
    <t>ORD-2025-00326</t>
  </si>
  <si>
    <t>ORD-2024-00327</t>
  </si>
  <si>
    <t>ORD-2024-00328</t>
  </si>
  <si>
    <t>ORD-2024-00329</t>
  </si>
  <si>
    <t>ORD-2024-00330</t>
  </si>
  <si>
    <t>ORD-2025-00331</t>
  </si>
  <si>
    <t>ORD-2024-00332</t>
  </si>
  <si>
    <t>ORD-2025-00333</t>
  </si>
  <si>
    <t>ORD-2025-00334</t>
  </si>
  <si>
    <t>ORD-2025-00335</t>
  </si>
  <si>
    <t>ORD-2025-00336</t>
  </si>
  <si>
    <t>ORD-2025-00337</t>
  </si>
  <si>
    <t>ORD-2024-00338</t>
  </si>
  <si>
    <t>ORD-2024-00339</t>
  </si>
  <si>
    <t>ORD-2025-00340</t>
  </si>
  <si>
    <t>ORD-2024-00341</t>
  </si>
  <si>
    <t>ORD-2024-00342</t>
  </si>
  <si>
    <t>ORD-2024-00343</t>
  </si>
  <si>
    <t>ORD-2024-00344</t>
  </si>
  <si>
    <t>ORD-2025-00345</t>
  </si>
  <si>
    <t>ORD-2024-00346</t>
  </si>
  <si>
    <t>ORD-2025-00347</t>
  </si>
  <si>
    <t>ORD-2025-00348</t>
  </si>
  <si>
    <t>ORD-2024-00349</t>
  </si>
  <si>
    <t>ORD-2024-00350</t>
  </si>
  <si>
    <t>ORD-2024-00351</t>
  </si>
  <si>
    <t>ORD-2024-00352</t>
  </si>
  <si>
    <t>ORD-2025-00353</t>
  </si>
  <si>
    <t>ORD-2024-00354</t>
  </si>
  <si>
    <t>ORD-2024-00355</t>
  </si>
  <si>
    <t>ORD-2025-00356</t>
  </si>
  <si>
    <t>ORD-2024-00357</t>
  </si>
  <si>
    <t>ORD-2025-00358</t>
  </si>
  <si>
    <t>ORD-2024-00359</t>
  </si>
  <si>
    <t>ORD-2024-00360</t>
  </si>
  <si>
    <t>ORD-2024-00361</t>
  </si>
  <si>
    <t>ORD-2024-00362</t>
  </si>
  <si>
    <t>ORD-2024-00363</t>
  </si>
  <si>
    <t>ORD-2024-00364</t>
  </si>
  <si>
    <t>ORD-2024-00365</t>
  </si>
  <si>
    <t>ORD-2024-00366</t>
  </si>
  <si>
    <t>ORD-2025-00367</t>
  </si>
  <si>
    <t>ORD-2025-00368</t>
  </si>
  <si>
    <t>ORD-2024-00369</t>
  </si>
  <si>
    <t>ORD-2025-00370</t>
  </si>
  <si>
    <t>ORD-2025-00371</t>
  </si>
  <si>
    <t>ORD-2024-00372</t>
  </si>
  <si>
    <t>ORD-2025-00373</t>
  </si>
  <si>
    <t>ORD-2025-00374</t>
  </si>
  <si>
    <t>ORD-2024-00375</t>
  </si>
  <si>
    <t>ORD-2025-00376</t>
  </si>
  <si>
    <t>ORD-2025-00377</t>
  </si>
  <si>
    <t>ORD-2024-00378</t>
  </si>
  <si>
    <t>ORD-2025-00379</t>
  </si>
  <si>
    <t>ORD-2024-00380</t>
  </si>
  <si>
    <t>ORD-2024-00381</t>
  </si>
  <si>
    <t>ORD-2024-00382</t>
  </si>
  <si>
    <t>ORD-2025-00383</t>
  </si>
  <si>
    <t>ORD-2025-00384</t>
  </si>
  <si>
    <t>ORD-2025-00385</t>
  </si>
  <si>
    <t>ORD-2025-00386</t>
  </si>
  <si>
    <t>ORD-2025-00387</t>
  </si>
  <si>
    <t>ORD-2025-00388</t>
  </si>
  <si>
    <t>ORD-2024-00389</t>
  </si>
  <si>
    <t>ORD-2025-00390</t>
  </si>
  <si>
    <t>ORD-2024-00391</t>
  </si>
  <si>
    <t>ORD-2024-00392</t>
  </si>
  <si>
    <t>ORD-2025-00393</t>
  </si>
  <si>
    <t>ORD-2025-00394</t>
  </si>
  <si>
    <t>ORD-2025-00395</t>
  </si>
  <si>
    <t>ORD-2025-00396</t>
  </si>
  <si>
    <t>ORD-2024-00397</t>
  </si>
  <si>
    <t>ORD-2024-00398</t>
  </si>
  <si>
    <t>ORD-2024-00399</t>
  </si>
  <si>
    <t>ORD-2025-00400</t>
  </si>
  <si>
    <t>ORD-2024-00401</t>
  </si>
  <si>
    <t>ORD-2025-00402</t>
  </si>
  <si>
    <t>ORD-2025-00403</t>
  </si>
  <si>
    <t>ORD-2025-00404</t>
  </si>
  <si>
    <t>ORD-2024-00405</t>
  </si>
  <si>
    <t>ORD-2024-00406</t>
  </si>
  <si>
    <t>ORD-2024-00407</t>
  </si>
  <si>
    <t>ORD-2024-00408</t>
  </si>
  <si>
    <t>ORD-2025-00409</t>
  </si>
  <si>
    <t>ORD-2024-00410</t>
  </si>
  <si>
    <t>ORD-2024-00411</t>
  </si>
  <si>
    <t>ORD-2025-00412</t>
  </si>
  <si>
    <t>ORD-2025-00413</t>
  </si>
  <si>
    <t>ORD-2024-00414</t>
  </si>
  <si>
    <t>ORD-2025-00415</t>
  </si>
  <si>
    <t>ORD-2025-00416</t>
  </si>
  <si>
    <t>ORD-2024-00417</t>
  </si>
  <si>
    <t>ORD-2024-00418</t>
  </si>
  <si>
    <t>ORD-2025-00419</t>
  </si>
  <si>
    <t>ORD-2025-00420</t>
  </si>
  <si>
    <t>ORD-2024-00421</t>
  </si>
  <si>
    <t>ORD-2024-00422</t>
  </si>
  <si>
    <t>ORD-2024-00423</t>
  </si>
  <si>
    <t>ORD-2024-00424</t>
  </si>
  <si>
    <t>ORD-2024-00425</t>
  </si>
  <si>
    <t>ORD-2025-00426</t>
  </si>
  <si>
    <t>ORD-2024-00427</t>
  </si>
  <si>
    <t>ORD-2025-00428</t>
  </si>
  <si>
    <t>ORD-2025-00429</t>
  </si>
  <si>
    <t>ORD-2024-00430</t>
  </si>
  <si>
    <t>ORD-2025-00431</t>
  </si>
  <si>
    <t>ORD-2025-00432</t>
  </si>
  <si>
    <t>ORD-2025-00433</t>
  </si>
  <si>
    <t>ORD-2024-00434</t>
  </si>
  <si>
    <t>ORD-2025-00435</t>
  </si>
  <si>
    <t>ORD-2024-00436</t>
  </si>
  <si>
    <t>ORD-2024-00437</t>
  </si>
  <si>
    <t>ORD-2025-00438</t>
  </si>
  <si>
    <t>ORD-2024-00439</t>
  </si>
  <si>
    <t>ORD-2024-00440</t>
  </si>
  <si>
    <t>ORD-2025-00441</t>
  </si>
  <si>
    <t>ORD-2025-00442</t>
  </si>
  <si>
    <t>ORD-2024-00443</t>
  </si>
  <si>
    <t>ORD-2025-00444</t>
  </si>
  <si>
    <t>ORD-2025-00445</t>
  </si>
  <si>
    <t>ORD-2024-00446</t>
  </si>
  <si>
    <t>ORD-2025-00447</t>
  </si>
  <si>
    <t>ORD-2024-00448</t>
  </si>
  <si>
    <t>ORD-2025-00449</t>
  </si>
  <si>
    <t>ORD-2025-00450</t>
  </si>
  <si>
    <t>ORD-2025-00451</t>
  </si>
  <si>
    <t>ORD-2024-00452</t>
  </si>
  <si>
    <t>ORD-2024-00453</t>
  </si>
  <si>
    <t>ORD-2024-00454</t>
  </si>
  <si>
    <t>ORD-2025-00455</t>
  </si>
  <si>
    <t>ORD-2025-00456</t>
  </si>
  <si>
    <t>ORD-2025-00457</t>
  </si>
  <si>
    <t>ORD-2024-00458</t>
  </si>
  <si>
    <t>ORD-2024-00459</t>
  </si>
  <si>
    <t>ORD-2024-00460</t>
  </si>
  <si>
    <t>ORD-2025-00461</t>
  </si>
  <si>
    <t>ORD-2025-00462</t>
  </si>
  <si>
    <t>ORD-2024-00463</t>
  </si>
  <si>
    <t>ORD-2025-00464</t>
  </si>
  <si>
    <t>ORD-2024-00465</t>
  </si>
  <si>
    <t>ORD-2024-00466</t>
  </si>
  <si>
    <t>ORD-2024-00467</t>
  </si>
  <si>
    <t>ORD-2024-00468</t>
  </si>
  <si>
    <t>ORD-2024-00469</t>
  </si>
  <si>
    <t>ORD-2025-00470</t>
  </si>
  <si>
    <t>ORD-2024-00471</t>
  </si>
  <si>
    <t>ORD-2024-00472</t>
  </si>
  <si>
    <t>ORD-2025-00473</t>
  </si>
  <si>
    <t>ORD-2025-00474</t>
  </si>
  <si>
    <t>ORD-2024-00475</t>
  </si>
  <si>
    <t>ORD-2025-00476</t>
  </si>
  <si>
    <t>ORD-2025-00477</t>
  </si>
  <si>
    <t>ORD-2024-00478</t>
  </si>
  <si>
    <t>ORD-2024-00479</t>
  </si>
  <si>
    <t>ORD-2024-00480</t>
  </si>
  <si>
    <t>ORD-2024-00481</t>
  </si>
  <si>
    <t>ORD-2025-00482</t>
  </si>
  <si>
    <t>ORD-2024-00483</t>
  </si>
  <si>
    <t>ORD-2024-00484</t>
  </si>
  <si>
    <t>ORD-2024-00485</t>
  </si>
  <si>
    <t>ORD-2025-00486</t>
  </si>
  <si>
    <t>ORD-2025-00487</t>
  </si>
  <si>
    <t>ORD-2025-00488</t>
  </si>
  <si>
    <t>ORD-2024-00489</t>
  </si>
  <si>
    <t>ORD-2025-00490</t>
  </si>
  <si>
    <t>ORD-2024-00491</t>
  </si>
  <si>
    <t>ORD-2024-00492</t>
  </si>
  <si>
    <t>ORD-2024-00493</t>
  </si>
  <si>
    <t>ORD-2025-00494</t>
  </si>
  <si>
    <t>ORD-2024-00495</t>
  </si>
  <si>
    <t>ORD-2025-00496</t>
  </si>
  <si>
    <t>ORD-2025-00497</t>
  </si>
  <si>
    <t>ORD-2025-00498</t>
  </si>
  <si>
    <t>ORD-2025-00499</t>
  </si>
  <si>
    <t>ORD-2025-00500</t>
  </si>
  <si>
    <t>ORD-2025-00501</t>
  </si>
  <si>
    <t>ORD-2025-00502</t>
  </si>
  <si>
    <t>ORD-2025-00503</t>
  </si>
  <si>
    <t>ORD-2025-00504</t>
  </si>
  <si>
    <t>ORD-2024-00505</t>
  </si>
  <si>
    <t>ORD-2025-00506</t>
  </si>
  <si>
    <t>ORD-2025-00507</t>
  </si>
  <si>
    <t>ORD-2024-00508</t>
  </si>
  <si>
    <t>ORD-2024-00509</t>
  </si>
  <si>
    <t>ORD-2025-00510</t>
  </si>
  <si>
    <t>ORD-2024-00511</t>
  </si>
  <si>
    <t>ORD-2025-00512</t>
  </si>
  <si>
    <t>ORD-2024-00513</t>
  </si>
  <si>
    <t>ORD-2025-00514</t>
  </si>
  <si>
    <t>ORD-2024-00515</t>
  </si>
  <si>
    <t>ORD-2024-00516</t>
  </si>
  <si>
    <t>ORD-2025-00517</t>
  </si>
  <si>
    <t>ORD-2024-00518</t>
  </si>
  <si>
    <t>ORD-2025-00519</t>
  </si>
  <si>
    <t>ORD-2024-00520</t>
  </si>
  <si>
    <t>ORD-2025-00521</t>
  </si>
  <si>
    <t>ORD-2025-00522</t>
  </si>
  <si>
    <t>ORD-2025-00523</t>
  </si>
  <si>
    <t>ORD-2024-00524</t>
  </si>
  <si>
    <t>ORD-2025-00525</t>
  </si>
  <si>
    <t>ORD-2024-00526</t>
  </si>
  <si>
    <t>ORD-2025-00527</t>
  </si>
  <si>
    <t>ORD-2025-00528</t>
  </si>
  <si>
    <t>ORD-2025-00529</t>
  </si>
  <si>
    <t>ORD-2024-00530</t>
  </si>
  <si>
    <t>ORD-2025-00531</t>
  </si>
  <si>
    <t>ORD-2025-00532</t>
  </si>
  <si>
    <t>ORD-2025-00533</t>
  </si>
  <si>
    <t>ORD-2025-00534</t>
  </si>
  <si>
    <t>ORD-2024-00535</t>
  </si>
  <si>
    <t>ORD-2025-00536</t>
  </si>
  <si>
    <t>ORD-2025-00537</t>
  </si>
  <si>
    <t>ORD-2025-00538</t>
  </si>
  <si>
    <t>ORD-2024-00539</t>
  </si>
  <si>
    <t>ORD-2025-00540</t>
  </si>
  <si>
    <t>ORD-2024-00541</t>
  </si>
  <si>
    <t>ORD-2025-00542</t>
  </si>
  <si>
    <t>ORD-2024-00543</t>
  </si>
  <si>
    <t>ORD-2025-00544</t>
  </si>
  <si>
    <t>ORD-2025-00545</t>
  </si>
  <si>
    <t>ORD-2024-00546</t>
  </si>
  <si>
    <t>ORD-2024-00547</t>
  </si>
  <si>
    <t>ORD-2025-00548</t>
  </si>
  <si>
    <t>ORD-2025-00549</t>
  </si>
  <si>
    <t>ORD-2025-00550</t>
  </si>
  <si>
    <t>ORD-2024-00551</t>
  </si>
  <si>
    <t>ORD-2024-00552</t>
  </si>
  <si>
    <t>ORD-2024-00553</t>
  </si>
  <si>
    <t>ORD-2024-00554</t>
  </si>
  <si>
    <t>ORD-2025-00555</t>
  </si>
  <si>
    <t>ORD-2025-00556</t>
  </si>
  <si>
    <t>ORD-2024-00557</t>
  </si>
  <si>
    <t>ORD-2025-00558</t>
  </si>
  <si>
    <t>ORD-2025-00559</t>
  </si>
  <si>
    <t>ORD-2024-00560</t>
  </si>
  <si>
    <t>ORD-2024-00561</t>
  </si>
  <si>
    <t>ORD-2025-00562</t>
  </si>
  <si>
    <t>ORD-2025-00563</t>
  </si>
  <si>
    <t>ORD-2025-00564</t>
  </si>
  <si>
    <t>ORD-2024-00565</t>
  </si>
  <si>
    <t>ORD-2024-00566</t>
  </si>
  <si>
    <t>ORD-2024-00567</t>
  </si>
  <si>
    <t>ORD-2025-00568</t>
  </si>
  <si>
    <t>ORD-2025-00569</t>
  </si>
  <si>
    <t>ORD-2025-00570</t>
  </si>
  <si>
    <t>ORD-2025-00571</t>
  </si>
  <si>
    <t>ORD-2025-00572</t>
  </si>
  <si>
    <t>ORD-2025-00573</t>
  </si>
  <si>
    <t>ORD-2024-00574</t>
  </si>
  <si>
    <t>ORD-2024-00575</t>
  </si>
  <si>
    <t>ORD-2024-00576</t>
  </si>
  <si>
    <t>ORD-2025-00577</t>
  </si>
  <si>
    <t>ORD-2024-00578</t>
  </si>
  <si>
    <t>ORD-2025-00579</t>
  </si>
  <si>
    <t>ORD-2025-00580</t>
  </si>
  <si>
    <t>ORD-2025-00581</t>
  </si>
  <si>
    <t>ORD-2024-00582</t>
  </si>
  <si>
    <t>ORD-2024-00583</t>
  </si>
  <si>
    <t>ORD-2025-00584</t>
  </si>
  <si>
    <t>ORD-2024-00585</t>
  </si>
  <si>
    <t>ORD-2024-00586</t>
  </si>
  <si>
    <t>ORD-2025-00587</t>
  </si>
  <si>
    <t>ORD-2024-00588</t>
  </si>
  <si>
    <t>ORD-2024-00589</t>
  </si>
  <si>
    <t>ORD-2025-00590</t>
  </si>
  <si>
    <t>ORD-2024-00591</t>
  </si>
  <si>
    <t>ORD-2025-00592</t>
  </si>
  <si>
    <t>ORD-2024-00593</t>
  </si>
  <si>
    <t>ORD-2024-00594</t>
  </si>
  <si>
    <t>ORD-2024-00595</t>
  </si>
  <si>
    <t>ORD-2024-00596</t>
  </si>
  <si>
    <t>ORD-2025-00597</t>
  </si>
  <si>
    <t>ORD-2025-00598</t>
  </si>
  <si>
    <t>ORD-2024-00599</t>
  </si>
  <si>
    <t>ORD-2024-00600</t>
  </si>
  <si>
    <t>ORD-2025-00601</t>
  </si>
  <si>
    <t>ORD-2024-00602</t>
  </si>
  <si>
    <t>ORD-2024-00603</t>
  </si>
  <si>
    <t>ORD-2025-00604</t>
  </si>
  <si>
    <t>ORD-2024-00605</t>
  </si>
  <si>
    <t>ORD-2025-00606</t>
  </si>
  <si>
    <t>ORD-2024-00607</t>
  </si>
  <si>
    <t>ORD-2024-00608</t>
  </si>
  <si>
    <t>ORD-2025-00609</t>
  </si>
  <si>
    <t>ORD-2025-00610</t>
  </si>
  <si>
    <t>ORD-2024-00611</t>
  </si>
  <si>
    <t>ORD-2025-00612</t>
  </si>
  <si>
    <t>ORD-2024-00613</t>
  </si>
  <si>
    <t>ORD-2024-00614</t>
  </si>
  <si>
    <t>ORD-2025-00615</t>
  </si>
  <si>
    <t>ORD-2024-00616</t>
  </si>
  <si>
    <t>ORD-2025-00617</t>
  </si>
  <si>
    <t>ORD-2025-00618</t>
  </si>
  <si>
    <t>ORD-2024-00619</t>
  </si>
  <si>
    <t>ORD-2024-00620</t>
  </si>
  <si>
    <t>ORD-2025-00621</t>
  </si>
  <si>
    <t>ORD-2025-00622</t>
  </si>
  <si>
    <t>ORD-2025-00623</t>
  </si>
  <si>
    <t>ORD-2024-00624</t>
  </si>
  <si>
    <t>ORD-2024-00625</t>
  </si>
  <si>
    <t>ORD-2024-00626</t>
  </si>
  <si>
    <t>ORD-2024-00627</t>
  </si>
  <si>
    <t>ORD-2024-00628</t>
  </si>
  <si>
    <t>ORD-2024-00629</t>
  </si>
  <si>
    <t>ORD-2025-00630</t>
  </si>
  <si>
    <t>ORD-2025-00631</t>
  </si>
  <si>
    <t>ORD-2024-00632</t>
  </si>
  <si>
    <t>ORD-2024-00633</t>
  </si>
  <si>
    <t>ORD-2024-00634</t>
  </si>
  <si>
    <t>ORD-2025-00635</t>
  </si>
  <si>
    <t>ORD-2025-00636</t>
  </si>
  <si>
    <t>ORD-2024-00637</t>
  </si>
  <si>
    <t>ORD-2024-00638</t>
  </si>
  <si>
    <t>ORD-2025-00639</t>
  </si>
  <si>
    <t>ORD-2024-00640</t>
  </si>
  <si>
    <t>ORD-2025-00641</t>
  </si>
  <si>
    <t>ORD-2024-00642</t>
  </si>
  <si>
    <t>ORD-2025-00643</t>
  </si>
  <si>
    <t>ORD-2024-00644</t>
  </si>
  <si>
    <t>ORD-2025-00645</t>
  </si>
  <si>
    <t>ORD-2025-00646</t>
  </si>
  <si>
    <t>ORD-2025-00647</t>
  </si>
  <si>
    <t>ORD-2024-00648</t>
  </si>
  <si>
    <t>ORD-2024-00649</t>
  </si>
  <si>
    <t>ORD-2025-00650</t>
  </si>
  <si>
    <t>ORD-2024-00651</t>
  </si>
  <si>
    <t>ORD-2024-00652</t>
  </si>
  <si>
    <t>ORD-2025-00653</t>
  </si>
  <si>
    <t>ORD-2024-00654</t>
  </si>
  <si>
    <t>ORD-2025-00655</t>
  </si>
  <si>
    <t>ORD-2025-00656</t>
  </si>
  <si>
    <t>ORD-2025-00657</t>
  </si>
  <si>
    <t>ORD-2024-00658</t>
  </si>
  <si>
    <t>ORD-2024-00659</t>
  </si>
  <si>
    <t>ORD-2024-00660</t>
  </si>
  <si>
    <t>ORD-2025-00661</t>
  </si>
  <si>
    <t>ORD-2025-00662</t>
  </si>
  <si>
    <t>ORD-2025-00663</t>
  </si>
  <si>
    <t>ORD-2024-00664</t>
  </si>
  <si>
    <t>ORD-2024-00665</t>
  </si>
  <si>
    <t>ORD-2024-00666</t>
  </si>
  <si>
    <t>ORD-2024-00667</t>
  </si>
  <si>
    <t>ORD-2024-00668</t>
  </si>
  <si>
    <t>ORD-2024-00669</t>
  </si>
  <si>
    <t>ORD-2025-00670</t>
  </si>
  <si>
    <t>ORD-2024-00671</t>
  </si>
  <si>
    <t>ORD-2025-00672</t>
  </si>
  <si>
    <t>ORD-2025-00673</t>
  </si>
  <si>
    <t>ORD-2025-00674</t>
  </si>
  <si>
    <t>ORD-2025-00675</t>
  </si>
  <si>
    <t>ORD-2024-00676</t>
  </si>
  <si>
    <t>ORD-2024-00677</t>
  </si>
  <si>
    <t>ORD-2024-00678</t>
  </si>
  <si>
    <t>ORD-2025-00679</t>
  </si>
  <si>
    <t>ORD-2024-00680</t>
  </si>
  <si>
    <t>ORD-2025-00681</t>
  </si>
  <si>
    <t>ORD-2025-00682</t>
  </si>
  <si>
    <t>ORD-2025-00683</t>
  </si>
  <si>
    <t>ORD-2025-00684</t>
  </si>
  <si>
    <t>ORD-2024-00685</t>
  </si>
  <si>
    <t>ORD-2025-00686</t>
  </si>
  <si>
    <t>ORD-2025-00687</t>
  </si>
  <si>
    <t>ORD-2024-00688</t>
  </si>
  <si>
    <t>ORD-2024-00689</t>
  </si>
  <si>
    <t>ORD-2024-00690</t>
  </si>
  <si>
    <t>ORD-2025-00691</t>
  </si>
  <si>
    <t>ORD-2025-00692</t>
  </si>
  <si>
    <t>ORD-2025-00693</t>
  </si>
  <si>
    <t>ORD-2024-00694</t>
  </si>
  <si>
    <t>ORD-2024-00695</t>
  </si>
  <si>
    <t>ORD-2024-00696</t>
  </si>
  <si>
    <t>ORD-2025-00697</t>
  </si>
  <si>
    <t>ORD-2024-00698</t>
  </si>
  <si>
    <t>ORD-2025-00699</t>
  </si>
  <si>
    <t>ORD-2025-00700</t>
  </si>
  <si>
    <t>ORD-2024-00701</t>
  </si>
  <si>
    <t>ORD-2024-00702</t>
  </si>
  <si>
    <t>ORD-2025-00703</t>
  </si>
  <si>
    <t>ORD-2024-00704</t>
  </si>
  <si>
    <t>ORD-2025-00705</t>
  </si>
  <si>
    <t>ORD-2025-00706</t>
  </si>
  <si>
    <t>ORD-2024-00707</t>
  </si>
  <si>
    <t>ORD-2024-00708</t>
  </si>
  <si>
    <t>ORD-2025-00709</t>
  </si>
  <si>
    <t>ORD-2025-00710</t>
  </si>
  <si>
    <t>ORD-2025-00711</t>
  </si>
  <si>
    <t>ORD-2025-00712</t>
  </si>
  <si>
    <t>ORD-2024-00713</t>
  </si>
  <si>
    <t>ORD-2025-00714</t>
  </si>
  <si>
    <t>ORD-2025-00715</t>
  </si>
  <si>
    <t>ORD-2024-00716</t>
  </si>
  <si>
    <t>ORD-2025-00717</t>
  </si>
  <si>
    <t>ORD-2025-00718</t>
  </si>
  <si>
    <t>ORD-2024-00719</t>
  </si>
  <si>
    <t>ORD-2024-00720</t>
  </si>
  <si>
    <t>ORD-2024-00721</t>
  </si>
  <si>
    <t>ORD-2024-00722</t>
  </si>
  <si>
    <t>ORD-2024-00723</t>
  </si>
  <si>
    <t>ORD-2025-00724</t>
  </si>
  <si>
    <t>ORD-2024-00725</t>
  </si>
  <si>
    <t>ORD-2024-00726</t>
  </si>
  <si>
    <t>ORD-2024-00727</t>
  </si>
  <si>
    <t>ORD-2024-00728</t>
  </si>
  <si>
    <t>ORD-2024-00729</t>
  </si>
  <si>
    <t>ORD-2024-00730</t>
  </si>
  <si>
    <t>ORD-2024-00731</t>
  </si>
  <si>
    <t>ORD-2024-00732</t>
  </si>
  <si>
    <t>ORD-2025-00733</t>
  </si>
  <si>
    <t>ORD-2025-00734</t>
  </si>
  <si>
    <t>ORD-2025-00735</t>
  </si>
  <si>
    <t>ORD-2024-00736</t>
  </si>
  <si>
    <t>ORD-2024-00737</t>
  </si>
  <si>
    <t>ORD-2025-00738</t>
  </si>
  <si>
    <t>ORD-2025-00739</t>
  </si>
  <si>
    <t>ORD-2025-00740</t>
  </si>
  <si>
    <t>ORD-2025-00741</t>
  </si>
  <si>
    <t>ORD-2025-00742</t>
  </si>
  <si>
    <t>ORD-2025-00743</t>
  </si>
  <si>
    <t>ORD-2025-00744</t>
  </si>
  <si>
    <t>ORD-2025-00745</t>
  </si>
  <si>
    <t>ORD-2024-00746</t>
  </si>
  <si>
    <t>ORD-2025-00747</t>
  </si>
  <si>
    <t>ORD-2025-00748</t>
  </si>
  <si>
    <t>ORD-2025-00749</t>
  </si>
  <si>
    <t>ORD-2025-00750</t>
  </si>
  <si>
    <t>ORD-2024-00751</t>
  </si>
  <si>
    <t>ORD-2024-00752</t>
  </si>
  <si>
    <t>ORD-2024-00753</t>
  </si>
  <si>
    <t>ORD-2024-00754</t>
  </si>
  <si>
    <t>ORD-2025-00755</t>
  </si>
  <si>
    <t>ORD-2024-00756</t>
  </si>
  <si>
    <t>ORD-2024-00757</t>
  </si>
  <si>
    <t>ORD-2025-00758</t>
  </si>
  <si>
    <t>ORD-2025-00759</t>
  </si>
  <si>
    <t>ORD-2025-00760</t>
  </si>
  <si>
    <t>ORD-2025-00761</t>
  </si>
  <si>
    <t>ORD-2025-00762</t>
  </si>
  <si>
    <t>ORD-2024-00763</t>
  </si>
  <si>
    <t>ORD-2024-00764</t>
  </si>
  <si>
    <t>ORD-2024-00765</t>
  </si>
  <si>
    <t>ORD-2024-00766</t>
  </si>
  <si>
    <t>ORD-2025-00767</t>
  </si>
  <si>
    <t>ORD-2024-00768</t>
  </si>
  <si>
    <t>ORD-2024-00769</t>
  </si>
  <si>
    <t>ORD-2025-00770</t>
  </si>
  <si>
    <t>ORD-2025-00771</t>
  </si>
  <si>
    <t>ORD-2024-00772</t>
  </si>
  <si>
    <t>ORD-2024-00773</t>
  </si>
  <si>
    <t>ORD-2024-00774</t>
  </si>
  <si>
    <t>ORD-2024-00775</t>
  </si>
  <si>
    <t>ORD-2024-00776</t>
  </si>
  <si>
    <t>ORD-2025-00777</t>
  </si>
  <si>
    <t>ORD-2025-00778</t>
  </si>
  <si>
    <t>ORD-2025-00779</t>
  </si>
  <si>
    <t>ORD-2024-00780</t>
  </si>
  <si>
    <t>ORD-2024-00781</t>
  </si>
  <si>
    <t>ORD-2024-00782</t>
  </si>
  <si>
    <t>ORD-2025-00783</t>
  </si>
  <si>
    <t>ORD-2024-00784</t>
  </si>
  <si>
    <t>ORD-2025-00785</t>
  </si>
  <si>
    <t>ORD-2024-00786</t>
  </si>
  <si>
    <t>ORD-2025-00787</t>
  </si>
  <si>
    <t>ORD-2025-00788</t>
  </si>
  <si>
    <t>ORD-2024-00789</t>
  </si>
  <si>
    <t>ORD-2024-00790</t>
  </si>
  <si>
    <t>ORD-2024-00791</t>
  </si>
  <si>
    <t>ORD-2025-00792</t>
  </si>
  <si>
    <t>ORD-2025-00793</t>
  </si>
  <si>
    <t>ORD-2024-00794</t>
  </si>
  <si>
    <t>ORD-2024-00795</t>
  </si>
  <si>
    <t>ORD-2024-00796</t>
  </si>
  <si>
    <t>ORD-2025-00797</t>
  </si>
  <si>
    <t>ORD-2024-00798</t>
  </si>
  <si>
    <t>ORD-2025-00799</t>
  </si>
  <si>
    <t>ORD-2024-00800</t>
  </si>
  <si>
    <t>ORD-2025-00801</t>
  </si>
  <si>
    <t>ORD-2024-00802</t>
  </si>
  <si>
    <t>ORD-2024-00803</t>
  </si>
  <si>
    <t>ORD-2024-00804</t>
  </si>
  <si>
    <t>ORD-2024-00805</t>
  </si>
  <si>
    <t>ORD-2025-00806</t>
  </si>
  <si>
    <t>ORD-2024-00807</t>
  </si>
  <si>
    <t>ORD-2025-00808</t>
  </si>
  <si>
    <t>ORD-2024-00809</t>
  </si>
  <si>
    <t>ORD-2025-00810</t>
  </si>
  <si>
    <t>ORD-2024-00811</t>
  </si>
  <si>
    <t>ORD-2025-00812</t>
  </si>
  <si>
    <t>ORD-2024-00813</t>
  </si>
  <si>
    <t>ORD-2024-00814</t>
  </si>
  <si>
    <t>ORD-2024-00815</t>
  </si>
  <si>
    <t>ORD-2024-00816</t>
  </si>
  <si>
    <t>ORD-2025-00817</t>
  </si>
  <si>
    <t>ORD-2024-00818</t>
  </si>
  <si>
    <t>ORD-2024-00819</t>
  </si>
  <si>
    <t>ORD-2025-00820</t>
  </si>
  <si>
    <t>ORD-2025-00821</t>
  </si>
  <si>
    <t>ORD-2024-00822</t>
  </si>
  <si>
    <t>ORD-2025-00823</t>
  </si>
  <si>
    <t>ORD-2024-00824</t>
  </si>
  <si>
    <t>ORD-2024-00825</t>
  </si>
  <si>
    <t>ORD-2024-00826</t>
  </si>
  <si>
    <t>ORD-2025-00827</t>
  </si>
  <si>
    <t>ORD-2024-00828</t>
  </si>
  <si>
    <t>ORD-2025-00829</t>
  </si>
  <si>
    <t>ORD-2024-00830</t>
  </si>
  <si>
    <t>ORD-2025-00831</t>
  </si>
  <si>
    <t>ORD-2024-00832</t>
  </si>
  <si>
    <t>ORD-2025-00833</t>
  </si>
  <si>
    <t>ORD-2024-00834</t>
  </si>
  <si>
    <t>ORD-2025-00835</t>
  </si>
  <si>
    <t>ORD-2025-00836</t>
  </si>
  <si>
    <t>ORD-2025-00837</t>
  </si>
  <si>
    <t>ORD-2025-00838</t>
  </si>
  <si>
    <t>ORD-2025-00839</t>
  </si>
  <si>
    <t>ORD-2025-00840</t>
  </si>
  <si>
    <t>ORD-2025-00841</t>
  </si>
  <si>
    <t>ORD-2024-00842</t>
  </si>
  <si>
    <t>ORD-2025-00843</t>
  </si>
  <si>
    <t>ORD-2024-00844</t>
  </si>
  <si>
    <t>ORD-2024-00845</t>
  </si>
  <si>
    <t>ORD-2025-00846</t>
  </si>
  <si>
    <t>ORD-2024-00847</t>
  </si>
  <si>
    <t>ORD-2025-00848</t>
  </si>
  <si>
    <t>ORD-2024-00849</t>
  </si>
  <si>
    <t>ORD-2024-00850</t>
  </si>
  <si>
    <t>ORD-2024-00851</t>
  </si>
  <si>
    <t>ORD-2024-00852</t>
  </si>
  <si>
    <t>ORD-2024-00853</t>
  </si>
  <si>
    <t>ORD-2024-00854</t>
  </si>
  <si>
    <t>ORD-2024-00855</t>
  </si>
  <si>
    <t>ORD-2024-00856</t>
  </si>
  <si>
    <t>ORD-2024-00857</t>
  </si>
  <si>
    <t>ORD-2024-00858</t>
  </si>
  <si>
    <t>ORD-2025-00859</t>
  </si>
  <si>
    <t>ORD-2024-00860</t>
  </si>
  <si>
    <t>ORD-2024-00861</t>
  </si>
  <si>
    <t>ORD-2024-00862</t>
  </si>
  <si>
    <t>ORD-2024-00863</t>
  </si>
  <si>
    <t>ORD-2025-00864</t>
  </si>
  <si>
    <t>ORD-2024-00865</t>
  </si>
  <si>
    <t>ORD-2025-00866</t>
  </si>
  <si>
    <t>ORD-2025-00867</t>
  </si>
  <si>
    <t>ORD-2024-00868</t>
  </si>
  <si>
    <t>ORD-2025-00869</t>
  </si>
  <si>
    <t>ORD-2024-00870</t>
  </si>
  <si>
    <t>ORD-2025-00871</t>
  </si>
  <si>
    <t>ORD-2025-00872</t>
  </si>
  <si>
    <t>ORD-2025-00873</t>
  </si>
  <si>
    <t>ORD-2024-00874</t>
  </si>
  <si>
    <t>ORD-2024-00875</t>
  </si>
  <si>
    <t>ORD-2024-00876</t>
  </si>
  <si>
    <t>ORD-2025-00877</t>
  </si>
  <si>
    <t>ORD-2024-00878</t>
  </si>
  <si>
    <t>ORD-2025-00879</t>
  </si>
  <si>
    <t>ORD-2025-00880</t>
  </si>
  <si>
    <t>ORD-2025-00881</t>
  </si>
  <si>
    <t>ORD-2024-00882</t>
  </si>
  <si>
    <t>ORD-2024-00883</t>
  </si>
  <si>
    <t>ORD-2024-00884</t>
  </si>
  <si>
    <t>ORD-2025-00885</t>
  </si>
  <si>
    <t>ORD-2024-00886</t>
  </si>
  <si>
    <t>ORD-2025-00887</t>
  </si>
  <si>
    <t>ORD-2024-00888</t>
  </si>
  <si>
    <t>ORD-2025-00889</t>
  </si>
  <si>
    <t>ORD-2024-00890</t>
  </si>
  <si>
    <t>ORD-2024-00891</t>
  </si>
  <si>
    <t>ORD-2025-00892</t>
  </si>
  <si>
    <t>ORD-2025-00893</t>
  </si>
  <si>
    <t>ORD-2024-00894</t>
  </si>
  <si>
    <t>ORD-2025-00895</t>
  </si>
  <si>
    <t>ORD-2024-00896</t>
  </si>
  <si>
    <t>ORD-2024-00897</t>
  </si>
  <si>
    <t>ORD-2024-00898</t>
  </si>
  <si>
    <t>ORD-2024-00899</t>
  </si>
  <si>
    <t>ORD-2025-00900</t>
  </si>
  <si>
    <t>ORD-2024-00901</t>
  </si>
  <si>
    <t>ORD-2025-00902</t>
  </si>
  <si>
    <t>ORD-2024-00903</t>
  </si>
  <si>
    <t>ORD-2025-00904</t>
  </si>
  <si>
    <t>ORD-2024-00905</t>
  </si>
  <si>
    <t>ORD-2024-00906</t>
  </si>
  <si>
    <t>ORD-2025-00907</t>
  </si>
  <si>
    <t>ORD-2025-00908</t>
  </si>
  <si>
    <t>ORD-2024-00909</t>
  </si>
  <si>
    <t>ORD-2024-00910</t>
  </si>
  <si>
    <t>ORD-2024-00911</t>
  </si>
  <si>
    <t>ORD-2024-00912</t>
  </si>
  <si>
    <t>ORD-2024-00913</t>
  </si>
  <si>
    <t>ORD-2024-00914</t>
  </si>
  <si>
    <t>ORD-2024-00915</t>
  </si>
  <si>
    <t>ORD-2025-00916</t>
  </si>
  <si>
    <t>ORD-2024-00917</t>
  </si>
  <si>
    <t>ORD-2025-00918</t>
  </si>
  <si>
    <t>ORD-2025-00919</t>
  </si>
  <si>
    <t>ORD-2025-00920</t>
  </si>
  <si>
    <t>ORD-2025-00921</t>
  </si>
  <si>
    <t>ORD-2025-00922</t>
  </si>
  <si>
    <t>ORD-2025-00923</t>
  </si>
  <si>
    <t>ORD-2025-00924</t>
  </si>
  <si>
    <t>ORD-2025-00925</t>
  </si>
  <si>
    <t>ORD-2024-00926</t>
  </si>
  <si>
    <t>ORD-2024-00927</t>
  </si>
  <si>
    <t>ORD-2025-00928</t>
  </si>
  <si>
    <t>ORD-2024-00929</t>
  </si>
  <si>
    <t>ORD-2025-00930</t>
  </si>
  <si>
    <t>ORD-2024-00931</t>
  </si>
  <si>
    <t>ORD-2025-00932</t>
  </si>
  <si>
    <t>ORD-2025-00933</t>
  </si>
  <si>
    <t>ORD-2024-00934</t>
  </si>
  <si>
    <t>ORD-2025-00935</t>
  </si>
  <si>
    <t>ORD-2025-00936</t>
  </si>
  <si>
    <t>ORD-2025-00937</t>
  </si>
  <si>
    <t>ORD-2025-00938</t>
  </si>
  <si>
    <t>ORD-2025-00939</t>
  </si>
  <si>
    <t>ORD-2024-00940</t>
  </si>
  <si>
    <t>ORD-2025-00941</t>
  </si>
  <si>
    <t>ORD-2024-00942</t>
  </si>
  <si>
    <t>ORD-2025-00943</t>
  </si>
  <si>
    <t>ORD-2025-00944</t>
  </si>
  <si>
    <t>ORD-2024-00945</t>
  </si>
  <si>
    <t>ORD-2024-00946</t>
  </si>
  <si>
    <t>ORD-2025-00947</t>
  </si>
  <si>
    <t>ORD-2024-00948</t>
  </si>
  <si>
    <t>ORD-2024-00949</t>
  </si>
  <si>
    <t>ORD-2025-00950</t>
  </si>
  <si>
    <t>ORD-2024-00951</t>
  </si>
  <si>
    <t>ORD-2024-00952</t>
  </si>
  <si>
    <t>ORD-2024-00953</t>
  </si>
  <si>
    <t>ORD-2025-00954</t>
  </si>
  <si>
    <t>ORD-2024-00955</t>
  </si>
  <si>
    <t>ORD-2024-00956</t>
  </si>
  <si>
    <t>ORD-2025-00957</t>
  </si>
  <si>
    <t>ORD-2024-00958</t>
  </si>
  <si>
    <t>ORD-2025-00959</t>
  </si>
  <si>
    <t>ORD-2025-00960</t>
  </si>
  <si>
    <t>ORD-2025-00961</t>
  </si>
  <si>
    <t>ORD-2025-00962</t>
  </si>
  <si>
    <t>ORD-2024-00963</t>
  </si>
  <si>
    <t>ORD-2025-00964</t>
  </si>
  <si>
    <t>ORD-2025-00965</t>
  </si>
  <si>
    <t>ORD-2024-00966</t>
  </si>
  <si>
    <t>ORD-2025-00967</t>
  </si>
  <si>
    <t>ORD-2024-00968</t>
  </si>
  <si>
    <t>ORD-2024-00969</t>
  </si>
  <si>
    <t>ORD-2025-00970</t>
  </si>
  <si>
    <t>ORD-2024-00971</t>
  </si>
  <si>
    <t>ORD-2025-00972</t>
  </si>
  <si>
    <t>ORD-2024-00973</t>
  </si>
  <si>
    <t>ORD-2025-00974</t>
  </si>
  <si>
    <t>ORD-2024-00975</t>
  </si>
  <si>
    <t>ORD-2025-00976</t>
  </si>
  <si>
    <t>ORD-2024-00977</t>
  </si>
  <si>
    <t>ORD-2024-00978</t>
  </si>
  <si>
    <t>ORD-2025-00979</t>
  </si>
  <si>
    <t>ORD-2024-00980</t>
  </si>
  <si>
    <t>ORD-2024-00981</t>
  </si>
  <si>
    <t>ORD-2025-00982</t>
  </si>
  <si>
    <t>ORD-2024-00983</t>
  </si>
  <si>
    <t>ORD-2025-00984</t>
  </si>
  <si>
    <t>ORD-2024-00985</t>
  </si>
  <si>
    <t>ORD-2025-00986</t>
  </si>
  <si>
    <t>ORD-2024-00987</t>
  </si>
  <si>
    <t>ORD-2025-00988</t>
  </si>
  <si>
    <t>ORD-2025-00989</t>
  </si>
  <si>
    <t>ORD-2024-00990</t>
  </si>
  <si>
    <t>ORD-2024-00991</t>
  </si>
  <si>
    <t>ORD-2025-00992</t>
  </si>
  <si>
    <t>ORD-2024-00993</t>
  </si>
  <si>
    <t>ORD-2024-00994</t>
  </si>
  <si>
    <t>ORD-2024-00995</t>
  </si>
  <si>
    <t>ORD-2025-00996</t>
  </si>
  <si>
    <t>ORD-2025-00997</t>
  </si>
  <si>
    <t>ORD-2024-00998</t>
  </si>
  <si>
    <t>ORD-2024-00999</t>
  </si>
  <si>
    <t>ORD-2025-01000</t>
  </si>
  <si>
    <t>ORD-2024-01001</t>
  </si>
  <si>
    <t>ORD-2025-01002</t>
  </si>
  <si>
    <t>ORD-2025-01003</t>
  </si>
  <si>
    <t>ORD-2025-01004</t>
  </si>
  <si>
    <t>ORD-2024-01005</t>
  </si>
  <si>
    <t>ORD-2025-01006</t>
  </si>
  <si>
    <t>ORD-2024-01007</t>
  </si>
  <si>
    <t>ORD-2024-01008</t>
  </si>
  <si>
    <t>ORD-2024-01009</t>
  </si>
  <si>
    <t>ORD-2025-01010</t>
  </si>
  <si>
    <t>ORD-2025-01011</t>
  </si>
  <si>
    <t>ORD-2024-01012</t>
  </si>
  <si>
    <t>ORD-2025-01013</t>
  </si>
  <si>
    <t>ORD-2025-01014</t>
  </si>
  <si>
    <t>ORD-2025-01015</t>
  </si>
  <si>
    <t>ORD-2024-01016</t>
  </si>
  <si>
    <t>ORD-2024-01017</t>
  </si>
  <si>
    <t>ORD-2025-01018</t>
  </si>
  <si>
    <t>ORD-2024-01019</t>
  </si>
  <si>
    <t>ORD-2024-01020</t>
  </si>
  <si>
    <t>ORD-2024-01021</t>
  </si>
  <si>
    <t>ORD-2024-01022</t>
  </si>
  <si>
    <t>ORD-2025-01023</t>
  </si>
  <si>
    <t>ORD-2024-01024</t>
  </si>
  <si>
    <t>ORD-2024-01025</t>
  </si>
  <si>
    <t>ORD-2025-01026</t>
  </si>
  <si>
    <t>ORD-2024-01027</t>
  </si>
  <si>
    <t>ORD-2025-01028</t>
  </si>
  <si>
    <t>ORD-2025-01029</t>
  </si>
  <si>
    <t>ORD-2024-01030</t>
  </si>
  <si>
    <t>ORD-2025-01031</t>
  </si>
  <si>
    <t>ORD-2024-01032</t>
  </si>
  <si>
    <t>ORD-2024-01033</t>
  </si>
  <si>
    <t>ORD-2025-01034</t>
  </si>
  <si>
    <t>ORD-2024-01035</t>
  </si>
  <si>
    <t>ORD-2024-01036</t>
  </si>
  <si>
    <t>ORD-2025-01037</t>
  </si>
  <si>
    <t>ORD-2025-01038</t>
  </si>
  <si>
    <t>ORD-2025-01039</t>
  </si>
  <si>
    <t>ORD-2025-01040</t>
  </si>
  <si>
    <t>ORD-2025-01041</t>
  </si>
  <si>
    <t>ORD-2024-01042</t>
  </si>
  <si>
    <t>ORD-2025-01043</t>
  </si>
  <si>
    <t>ORD-2024-01044</t>
  </si>
  <si>
    <t>ORD-2025-01045</t>
  </si>
  <si>
    <t>ORD-2024-01046</t>
  </si>
  <si>
    <t>ORD-2024-01047</t>
  </si>
  <si>
    <t>ORD-2025-01048</t>
  </si>
  <si>
    <t>ORD-2025-01049</t>
  </si>
  <si>
    <t>ORD-2024-01050</t>
  </si>
  <si>
    <t>ORD-2024-01051</t>
  </si>
  <si>
    <t>ORD-2024-01052</t>
  </si>
  <si>
    <t>ORD-2025-01053</t>
  </si>
  <si>
    <t>ORD-2025-01054</t>
  </si>
  <si>
    <t>ORD-2025-01055</t>
  </si>
  <si>
    <t>ORD-2024-01056</t>
  </si>
  <si>
    <t>ORD-2025-01057</t>
  </si>
  <si>
    <t>ORD-2025-01058</t>
  </si>
  <si>
    <t>ORD-2025-01059</t>
  </si>
  <si>
    <t>ORD-2024-01060</t>
  </si>
  <si>
    <t>ORD-2025-01061</t>
  </si>
  <si>
    <t>ORD-2025-01062</t>
  </si>
  <si>
    <t>ORD-2024-01063</t>
  </si>
  <si>
    <t>ORD-2025-01064</t>
  </si>
  <si>
    <t>ORD-2024-01065</t>
  </si>
  <si>
    <t>ORD-2025-01066</t>
  </si>
  <si>
    <t>ORD-2024-01067</t>
  </si>
  <si>
    <t>ORD-2025-01068</t>
  </si>
  <si>
    <t>ORD-2025-01069</t>
  </si>
  <si>
    <t>ORD-2024-01070</t>
  </si>
  <si>
    <t>ORD-2025-01071</t>
  </si>
  <si>
    <t>ORD-2024-01072</t>
  </si>
  <si>
    <t>ORD-2024-01073</t>
  </si>
  <si>
    <t>ORD-2024-01074</t>
  </si>
  <si>
    <t>ORD-2025-01075</t>
  </si>
  <si>
    <t>ORD-2025-01076</t>
  </si>
  <si>
    <t>ORD-2025-01077</t>
  </si>
  <si>
    <t>ORD-2025-01078</t>
  </si>
  <si>
    <t>ORD-2024-01079</t>
  </si>
  <si>
    <t>ORD-2024-01080</t>
  </si>
  <si>
    <t>ORD-2024-01081</t>
  </si>
  <si>
    <t>ORD-2024-01082</t>
  </si>
  <si>
    <t>ORD-2025-01083</t>
  </si>
  <si>
    <t>ORD-2024-01084</t>
  </si>
  <si>
    <t>ORD-2024-01085</t>
  </si>
  <si>
    <t>ORD-2025-01086</t>
  </si>
  <si>
    <t>ORD-2024-01087</t>
  </si>
  <si>
    <t>ORD-2024-01088</t>
  </si>
  <si>
    <t>ORD-2024-01089</t>
  </si>
  <si>
    <t>ORD-2024-01090</t>
  </si>
  <si>
    <t>ORD-2025-01091</t>
  </si>
  <si>
    <t>ORD-2024-01092</t>
  </si>
  <si>
    <t>ORD-2025-01093</t>
  </si>
  <si>
    <t>ORD-2024-01094</t>
  </si>
  <si>
    <t>ORD-2025-01095</t>
  </si>
  <si>
    <t>ORD-2024-01096</t>
  </si>
  <si>
    <t>ORD-2024-01097</t>
  </si>
  <si>
    <t>ORD-2024-01098</t>
  </si>
  <si>
    <t>ORD-2025-01099</t>
  </si>
  <si>
    <t>ORD-2024-01100</t>
  </si>
  <si>
    <t>ORD-2024-01101</t>
  </si>
  <si>
    <t>ORD-2025-01102</t>
  </si>
  <si>
    <t>ORD-2024-01103</t>
  </si>
  <si>
    <t>ORD-2025-01104</t>
  </si>
  <si>
    <t>ORD-2024-01105</t>
  </si>
  <si>
    <t>ORD-2024-01106</t>
  </si>
  <si>
    <t>ORD-2024-01107</t>
  </si>
  <si>
    <t>ORD-2024-01108</t>
  </si>
  <si>
    <t>ORD-2025-01109</t>
  </si>
  <si>
    <t>ORD-2024-01110</t>
  </si>
  <si>
    <t>ORD-2024-01111</t>
  </si>
  <si>
    <t>ORD-2025-01112</t>
  </si>
  <si>
    <t>ORD-2024-01113</t>
  </si>
  <si>
    <t>ORD-2025-01114</t>
  </si>
  <si>
    <t>ORD-2025-01115</t>
  </si>
  <si>
    <t>ORD-2025-01116</t>
  </si>
  <si>
    <t>ORD-2025-01117</t>
  </si>
  <si>
    <t>ORD-2024-01118</t>
  </si>
  <si>
    <t>ORD-2024-01119</t>
  </si>
  <si>
    <t>ORD-2024-01120</t>
  </si>
  <si>
    <t>ORD-2024-01121</t>
  </si>
  <si>
    <t>ORD-2024-01122</t>
  </si>
  <si>
    <t>ORD-2025-01123</t>
  </si>
  <si>
    <t>ORD-2025-01124</t>
  </si>
  <si>
    <t>ORD-2024-01125</t>
  </si>
  <si>
    <t>ORD-2024-01126</t>
  </si>
  <si>
    <t>ORD-2025-01127</t>
  </si>
  <si>
    <t>ORD-2024-01128</t>
  </si>
  <si>
    <t>ORD-2024-01129</t>
  </si>
  <si>
    <t>ORD-2025-01130</t>
  </si>
  <si>
    <t>ORD-2025-01131</t>
  </si>
  <si>
    <t>ORD-2025-01132</t>
  </si>
  <si>
    <t>ORD-2025-01133</t>
  </si>
  <si>
    <t>ORD-2024-01134</t>
  </si>
  <si>
    <t>ORD-2025-01135</t>
  </si>
  <si>
    <t>ORD-2025-01136</t>
  </si>
  <si>
    <t>ORD-2024-01137</t>
  </si>
  <si>
    <t>ORD-2024-01138</t>
  </si>
  <si>
    <t>ORD-2025-01139</t>
  </si>
  <si>
    <t>ORD-2025-01140</t>
  </si>
  <si>
    <t>ORD-2025-01141</t>
  </si>
  <si>
    <t>ORD-2025-01142</t>
  </si>
  <si>
    <t>ORD-2024-01143</t>
  </si>
  <si>
    <t>ORD-2024-01144</t>
  </si>
  <si>
    <t>ORD-2024-01145</t>
  </si>
  <si>
    <t>ORD-2025-01146</t>
  </si>
  <si>
    <t>ORD-2024-01147</t>
  </si>
  <si>
    <t>ORD-2024-01148</t>
  </si>
  <si>
    <t>ORD-2025-01149</t>
  </si>
  <si>
    <t>ORD-2025-01150</t>
  </si>
  <si>
    <t>ORD-2024-01151</t>
  </si>
  <si>
    <t>ORD-2025-01152</t>
  </si>
  <si>
    <t>ORD-2025-01153</t>
  </si>
  <si>
    <t>ORD-2024-01154</t>
  </si>
  <si>
    <t>ORD-2025-01155</t>
  </si>
  <si>
    <t>ORD-2024-01156</t>
  </si>
  <si>
    <t>ORD-2025-01157</t>
  </si>
  <si>
    <t>ORD-2025-01158</t>
  </si>
  <si>
    <t>ORD-2024-01159</t>
  </si>
  <si>
    <t>ORD-2025-01160</t>
  </si>
  <si>
    <t>ORD-2025-01161</t>
  </si>
  <si>
    <t>ORD-2024-01162</t>
  </si>
  <si>
    <t>ORD-2024-01163</t>
  </si>
  <si>
    <t>ORD-2025-01164</t>
  </si>
  <si>
    <t>ORD-2024-01165</t>
  </si>
  <si>
    <t>ORD-2024-01166</t>
  </si>
  <si>
    <t>ORD-2025-01167</t>
  </si>
  <si>
    <t>ORD-2025-01168</t>
  </si>
  <si>
    <t>ORD-2024-01169</t>
  </si>
  <si>
    <t>ORD-2024-01170</t>
  </si>
  <si>
    <t>ORD-2024-01171</t>
  </si>
  <si>
    <t>ORD-2024-01172</t>
  </si>
  <si>
    <t>ORD-2025-01173</t>
  </si>
  <si>
    <t>ORD-2025-01174</t>
  </si>
  <si>
    <t>ORD-2024-01175</t>
  </si>
  <si>
    <t>ORD-2025-01176</t>
  </si>
  <si>
    <t>ORD-2024-01177</t>
  </si>
  <si>
    <t>ORD-2024-01178</t>
  </si>
  <si>
    <t>ORD-2024-01179</t>
  </si>
  <si>
    <t>ORD-2025-01180</t>
  </si>
  <si>
    <t>ORD-2024-01181</t>
  </si>
  <si>
    <t>ORD-2025-01182</t>
  </si>
  <si>
    <t>ORD-2024-01183</t>
  </si>
  <si>
    <t>ORD-2025-01184</t>
  </si>
  <si>
    <t>ORD-2024-01185</t>
  </si>
  <si>
    <t>ORD-2025-01186</t>
  </si>
  <si>
    <t>ORD-2024-01187</t>
  </si>
  <si>
    <t>ORD-2025-01188</t>
  </si>
  <si>
    <t>ORD-2024-01189</t>
  </si>
  <si>
    <t>ORD-2024-01190</t>
  </si>
  <si>
    <t>ORD-2024-01191</t>
  </si>
  <si>
    <t>ORD-2025-01192</t>
  </si>
  <si>
    <t>ORD-2025-01193</t>
  </si>
  <si>
    <t>ORD-2024-01194</t>
  </si>
  <si>
    <t>ORD-2024-01195</t>
  </si>
  <si>
    <t>ORD-2025-01196</t>
  </si>
  <si>
    <t>ORD-2024-01197</t>
  </si>
  <si>
    <t>ORD-2024-01198</t>
  </si>
  <si>
    <t>ORD-2025-01199</t>
  </si>
  <si>
    <t>ORD-2025-01200</t>
  </si>
  <si>
    <t>ORD-2024-01201</t>
  </si>
  <si>
    <t>ORD-2024-01202</t>
  </si>
  <si>
    <t>ORD-2025-01203</t>
  </si>
  <si>
    <t>ORD-2024-01204</t>
  </si>
  <si>
    <t>ORD-2024-01205</t>
  </si>
  <si>
    <t>ORD-2025-01206</t>
  </si>
  <si>
    <t>ORD-2025-01207</t>
  </si>
  <si>
    <t>ORD-2024-01208</t>
  </si>
  <si>
    <t>ORD-2024-01209</t>
  </si>
  <si>
    <t>ORD-2025-01210</t>
  </si>
  <si>
    <t>ORD-2024-01211</t>
  </si>
  <si>
    <t>ORD-2024-01212</t>
  </si>
  <si>
    <t>ORD-2024-01213</t>
  </si>
  <si>
    <t>ORD-2025-01214</t>
  </si>
  <si>
    <t>ORD-2025-01215</t>
  </si>
  <si>
    <t>ORD-2024-01216</t>
  </si>
  <si>
    <t>ORD-2024-01217</t>
  </si>
  <si>
    <t>ORD-2025-01218</t>
  </si>
  <si>
    <t>ORD-2025-01219</t>
  </si>
  <si>
    <t>ORD-2024-01220</t>
  </si>
  <si>
    <t>ORD-2025-01221</t>
  </si>
  <si>
    <t>ORD-2024-01222</t>
  </si>
  <si>
    <t>ORD-2024-01223</t>
  </si>
  <si>
    <t>ORD-2025-01224</t>
  </si>
  <si>
    <t>ORD-2024-01225</t>
  </si>
  <si>
    <t>ORD-2025-01226</t>
  </si>
  <si>
    <t>ORD-2024-01227</t>
  </si>
  <si>
    <t>ORD-2024-01228</t>
  </si>
  <si>
    <t>ORD-2024-01229</t>
  </si>
  <si>
    <t>ORD-2025-01230</t>
  </si>
  <si>
    <t>ORD-2024-01231</t>
  </si>
  <si>
    <t>ORD-2024-01232</t>
  </si>
  <si>
    <t>ORD-2024-01233</t>
  </si>
  <si>
    <t>ORD-2024-01234</t>
  </si>
  <si>
    <t>ORD-2025-01235</t>
  </si>
  <si>
    <t>ORD-2024-01236</t>
  </si>
  <si>
    <t>ORD-2025-01237</t>
  </si>
  <si>
    <t>ORD-2025-01238</t>
  </si>
  <si>
    <t>ORD-2024-01239</t>
  </si>
  <si>
    <t>ORD-2025-01240</t>
  </si>
  <si>
    <t>ORD-2024-01241</t>
  </si>
  <si>
    <t>ORD-2024-01242</t>
  </si>
  <si>
    <t>ORD-2024-01243</t>
  </si>
  <si>
    <t>ORD-2024-01244</t>
  </si>
  <si>
    <t>ORD-2024-01245</t>
  </si>
  <si>
    <t>ORD-2025-01246</t>
  </si>
  <si>
    <t>ORD-2025-01247</t>
  </si>
  <si>
    <t>ORD-2025-01248</t>
  </si>
  <si>
    <t>ORD-2024-01249</t>
  </si>
  <si>
    <t>ORD-2024-01250</t>
  </si>
  <si>
    <t>ORD-2025-01251</t>
  </si>
  <si>
    <t>ORD-2024-01252</t>
  </si>
  <si>
    <t>ORD-2024-01253</t>
  </si>
  <si>
    <t>ORD-2025-01254</t>
  </si>
  <si>
    <t>ORD-2024-01255</t>
  </si>
  <si>
    <t>ORD-2024-01256</t>
  </si>
  <si>
    <t>ORD-2024-01257</t>
  </si>
  <si>
    <t>ORD-2025-01258</t>
  </si>
  <si>
    <t>ORD-2025-01259</t>
  </si>
  <si>
    <t>ORD-2025-01260</t>
  </si>
  <si>
    <t>ORD-2024-01261</t>
  </si>
  <si>
    <t>ORD-2025-01262</t>
  </si>
  <si>
    <t>ORD-2024-01263</t>
  </si>
  <si>
    <t>ORD-2025-01264</t>
  </si>
  <si>
    <t>ORD-2025-01265</t>
  </si>
  <si>
    <t>ORD-2025-01266</t>
  </si>
  <si>
    <t>ORD-2025-01267</t>
  </si>
  <si>
    <t>ORD-2025-01268</t>
  </si>
  <si>
    <t>ORD-2025-01269</t>
  </si>
  <si>
    <t>ORD-2024-01270</t>
  </si>
  <si>
    <t>ORD-2025-01271</t>
  </si>
  <si>
    <t>ORD-2025-01272</t>
  </si>
  <si>
    <t>ORD-2024-01273</t>
  </si>
  <si>
    <t>ORD-2024-01274</t>
  </si>
  <si>
    <t>ORD-2024-01275</t>
  </si>
  <si>
    <t>ORD-2024-01276</t>
  </si>
  <si>
    <t>ORD-2025-01277</t>
  </si>
  <si>
    <t>ORD-2025-01278</t>
  </si>
  <si>
    <t>ORD-2024-01279</t>
  </si>
  <si>
    <t>ORD-2024-01280</t>
  </si>
  <si>
    <t>ORD-2025-01281</t>
  </si>
  <si>
    <t>ORD-2025-01282</t>
  </si>
  <si>
    <t>ORD-2024-01283</t>
  </si>
  <si>
    <t>ORD-2025-01284</t>
  </si>
  <si>
    <t>ORD-2024-01285</t>
  </si>
  <si>
    <t>ORD-2025-01286</t>
  </si>
  <si>
    <t>ORD-2024-01287</t>
  </si>
  <si>
    <t>ORD-2025-01288</t>
  </si>
  <si>
    <t>ORD-2024-01289</t>
  </si>
  <si>
    <t>ORD-2024-01290</t>
  </si>
  <si>
    <t>ORD-2025-01291</t>
  </si>
  <si>
    <t>ORD-2025-01292</t>
  </si>
  <si>
    <t>ORD-2025-01293</t>
  </si>
  <si>
    <t>ORD-2024-01294</t>
  </si>
  <si>
    <t>ORD-2024-01295</t>
  </si>
  <si>
    <t>ORD-2024-01296</t>
  </si>
  <si>
    <t>ORD-2024-01297</t>
  </si>
  <si>
    <t>ORD-2024-01298</t>
  </si>
  <si>
    <t>ORD-2024-01299</t>
  </si>
  <si>
    <t>ORD-2025-01300</t>
  </si>
  <si>
    <t>ORD-2024-01301</t>
  </si>
  <si>
    <t>ORD-2025-01302</t>
  </si>
  <si>
    <t>ORD-2025-01303</t>
  </si>
  <si>
    <t>ORD-2024-01304</t>
  </si>
  <si>
    <t>ORD-2024-01305</t>
  </si>
  <si>
    <t>ORD-2025-01306</t>
  </si>
  <si>
    <t>ORD-2025-01307</t>
  </si>
  <si>
    <t>ORD-2024-01308</t>
  </si>
  <si>
    <t>ORD-2024-01309</t>
  </si>
  <si>
    <t>ORD-2024-01310</t>
  </si>
  <si>
    <t>ORD-2024-01311</t>
  </si>
  <si>
    <t>ORD-2024-01312</t>
  </si>
  <si>
    <t>ORD-2024-01313</t>
  </si>
  <si>
    <t>ORD-2024-01314</t>
  </si>
  <si>
    <t>ORD-2024-01315</t>
  </si>
  <si>
    <t>ORD-2025-01316</t>
  </si>
  <si>
    <t>ORD-2024-01317</t>
  </si>
  <si>
    <t>ORD-2025-01318</t>
  </si>
  <si>
    <t>ORD-2025-01319</t>
  </si>
  <si>
    <t>ORD-2025-01320</t>
  </si>
  <si>
    <t>ORD-2025-01321</t>
  </si>
  <si>
    <t>ORD-2024-01322</t>
  </si>
  <si>
    <t>ORD-2024-01323</t>
  </si>
  <si>
    <t>ORD-2024-01324</t>
  </si>
  <si>
    <t>ORD-2025-01325</t>
  </si>
  <si>
    <t>ORD-2025-01326</t>
  </si>
  <si>
    <t>ORD-2024-01327</t>
  </si>
  <si>
    <t>ORD-2025-01328</t>
  </si>
  <si>
    <t>ORD-2024-01329</t>
  </si>
  <si>
    <t>ORD-2025-01330</t>
  </si>
  <si>
    <t>ORD-2025-01331</t>
  </si>
  <si>
    <t>ORD-2025-01332</t>
  </si>
  <si>
    <t>ORD-2025-01333</t>
  </si>
  <si>
    <t>ORD-2025-01334</t>
  </si>
  <si>
    <t>ORD-2025-01335</t>
  </si>
  <si>
    <t>ORD-2025-01336</t>
  </si>
  <si>
    <t>ORD-2025-01337</t>
  </si>
  <si>
    <t>ORD-2024-01338</t>
  </si>
  <si>
    <t>ORD-2024-01339</t>
  </si>
  <si>
    <t>ORD-2025-01340</t>
  </si>
  <si>
    <t>ORD-2025-01341</t>
  </si>
  <si>
    <t>ORD-2024-01342</t>
  </si>
  <si>
    <t>ORD-2025-01343</t>
  </si>
  <si>
    <t>ORD-2024-01344</t>
  </si>
  <si>
    <t>ORD-2024-01345</t>
  </si>
  <si>
    <t>ORD-2024-01346</t>
  </si>
  <si>
    <t>ORD-2024-01347</t>
  </si>
  <si>
    <t>ORD-2025-01348</t>
  </si>
  <si>
    <t>ORD-2025-01349</t>
  </si>
  <si>
    <t>ORD-2024-01350</t>
  </si>
  <si>
    <t>ORD-2024-01351</t>
  </si>
  <si>
    <t>ORD-2024-01352</t>
  </si>
  <si>
    <t>ORD-2024-01353</t>
  </si>
  <si>
    <t>ORD-2024-01354</t>
  </si>
  <si>
    <t>ORD-2024-01355</t>
  </si>
  <si>
    <t>ORD-2025-01356</t>
  </si>
  <si>
    <t>ORD-2025-01357</t>
  </si>
  <si>
    <t>ORD-2025-01358</t>
  </si>
  <si>
    <t>ORD-2024-01359</t>
  </si>
  <si>
    <t>ORD-2024-01360</t>
  </si>
  <si>
    <t>ORD-2024-01361</t>
  </si>
  <si>
    <t>ORD-2025-01362</t>
  </si>
  <si>
    <t>ORD-2024-01363</t>
  </si>
  <si>
    <t>ORD-2025-01364</t>
  </si>
  <si>
    <t>ORD-2024-01365</t>
  </si>
  <si>
    <t>ORD-2025-01366</t>
  </si>
  <si>
    <t>ORD-2025-01367</t>
  </si>
  <si>
    <t>ORD-2024-01368</t>
  </si>
  <si>
    <t>ORD-2025-01369</t>
  </si>
  <si>
    <t>ORD-2024-01370</t>
  </si>
  <si>
    <t>ORD-2024-01371</t>
  </si>
  <si>
    <t>ORD-2025-01372</t>
  </si>
  <si>
    <t>ORD-2025-01373</t>
  </si>
  <si>
    <t>ORD-2024-01374</t>
  </si>
  <si>
    <t>ORD-2025-01375</t>
  </si>
  <si>
    <t>ORD-2024-01376</t>
  </si>
  <si>
    <t>ORD-2024-01377</t>
  </si>
  <si>
    <t>ORD-2025-01378</t>
  </si>
  <si>
    <t>ORD-2024-01379</t>
  </si>
  <si>
    <t>ORD-2024-01380</t>
  </si>
  <si>
    <t>ORD-2025-01381</t>
  </si>
  <si>
    <t>ORD-2024-01382</t>
  </si>
  <si>
    <t>ORD-2024-01383</t>
  </si>
  <si>
    <t>ORD-2024-01384</t>
  </si>
  <si>
    <t>ORD-2024-01385</t>
  </si>
  <si>
    <t>ORD-2025-01386</t>
  </si>
  <si>
    <t>ORD-2024-01387</t>
  </si>
  <si>
    <t>ORD-2024-01388</t>
  </si>
  <si>
    <t>ORD-2024-01389</t>
  </si>
  <si>
    <t>ORD-2025-01390</t>
  </si>
  <si>
    <t>ORD-2025-01391</t>
  </si>
  <si>
    <t>ORD-2024-01392</t>
  </si>
  <si>
    <t>ORD-2025-01393</t>
  </si>
  <si>
    <t>ORD-2024-01394</t>
  </si>
  <si>
    <t>ORD-2025-01395</t>
  </si>
  <si>
    <t>ORD-2024-01396</t>
  </si>
  <si>
    <t>ORD-2024-01397</t>
  </si>
  <si>
    <t>ORD-2024-01398</t>
  </si>
  <si>
    <t>ORD-2025-01399</t>
  </si>
  <si>
    <t>ORD-2025-01400</t>
  </si>
  <si>
    <t>ORD-2024-01401</t>
  </si>
  <si>
    <t>ORD-2024-01402</t>
  </si>
  <si>
    <t>ORD-2025-01403</t>
  </si>
  <si>
    <t>ORD-2024-01404</t>
  </si>
  <si>
    <t>ORD-2024-01405</t>
  </si>
  <si>
    <t>ORD-2025-01406</t>
  </si>
  <si>
    <t>ORD-2024-01407</t>
  </si>
  <si>
    <t>ORD-2025-01408</t>
  </si>
  <si>
    <t>ORD-2025-01409</t>
  </si>
  <si>
    <t>ORD-2025-01410</t>
  </si>
  <si>
    <t>ORD-2025-01411</t>
  </si>
  <si>
    <t>ORD-2024-01412</t>
  </si>
  <si>
    <t>ORD-2025-01413</t>
  </si>
  <si>
    <t>ORD-2025-01414</t>
  </si>
  <si>
    <t>ORD-2024-01415</t>
  </si>
  <si>
    <t>ORD-2024-01416</t>
  </si>
  <si>
    <t>ORD-2025-01417</t>
  </si>
  <si>
    <t>ORD-2025-01418</t>
  </si>
  <si>
    <t>ORD-2025-01419</t>
  </si>
  <si>
    <t>ORD-2025-01420</t>
  </si>
  <si>
    <t>ORD-2024-01421</t>
  </si>
  <si>
    <t>ORD-2024-01422</t>
  </si>
  <si>
    <t>ORD-2024-01423</t>
  </si>
  <si>
    <t>ORD-2025-01424</t>
  </si>
  <si>
    <t>ORD-2025-01425</t>
  </si>
  <si>
    <t>ORD-2024-01426</t>
  </si>
  <si>
    <t>ORD-2024-01427</t>
  </si>
  <si>
    <t>ORD-2025-01428</t>
  </si>
  <si>
    <t>ORD-2024-01429</t>
  </si>
  <si>
    <t>ORD-2025-01430</t>
  </si>
  <si>
    <t>ORD-2025-01431</t>
  </si>
  <si>
    <t>ORD-2024-01432</t>
  </si>
  <si>
    <t>ORD-2025-01433</t>
  </si>
  <si>
    <t>ORD-2025-01434</t>
  </si>
  <si>
    <t>ORD-2025-01435</t>
  </si>
  <si>
    <t>ORD-2025-01436</t>
  </si>
  <si>
    <t>ORD-2025-01437</t>
  </si>
  <si>
    <t>ORD-2024-01438</t>
  </si>
  <si>
    <t>ORD-2025-01439</t>
  </si>
  <si>
    <t>ORD-2025-01440</t>
  </si>
  <si>
    <t>ORD-2025-01441</t>
  </si>
  <si>
    <t>ORD-2025-01442</t>
  </si>
  <si>
    <t>ORD-2025-01443</t>
  </si>
  <si>
    <t>ORD-2024-01444</t>
  </si>
  <si>
    <t>ORD-2025-01445</t>
  </si>
  <si>
    <t>ORD-2024-01446</t>
  </si>
  <si>
    <t>ORD-2024-01447</t>
  </si>
  <si>
    <t>ORD-2025-01448</t>
  </si>
  <si>
    <t>ORD-2024-01449</t>
  </si>
  <si>
    <t>ORD-2024-01450</t>
  </si>
  <si>
    <t>ORD-2024-01451</t>
  </si>
  <si>
    <t>ORD-2024-01452</t>
  </si>
  <si>
    <t>ORD-2024-01453</t>
  </si>
  <si>
    <t>ORD-2024-01454</t>
  </si>
  <si>
    <t>ORD-2024-01455</t>
  </si>
  <si>
    <t>ORD-2025-01456</t>
  </si>
  <si>
    <t>ORD-2025-01457</t>
  </si>
  <si>
    <t>ORD-2025-01458</t>
  </si>
  <si>
    <t>ORD-2024-01459</t>
  </si>
  <si>
    <t>ORD-2025-01460</t>
  </si>
  <si>
    <t>ORD-2025-01461</t>
  </si>
  <si>
    <t>ORD-2024-01462</t>
  </si>
  <si>
    <t>ORD-2024-01463</t>
  </si>
  <si>
    <t>ORD-2025-01464</t>
  </si>
  <si>
    <t>ORD-2025-01465</t>
  </si>
  <si>
    <t>ORD-2024-01466</t>
  </si>
  <si>
    <t>ORD-2025-01467</t>
  </si>
  <si>
    <t>ORD-2024-01468</t>
  </si>
  <si>
    <t>ORD-2024-01469</t>
  </si>
  <si>
    <t>ORD-2025-01470</t>
  </si>
  <si>
    <t>ORD-2025-01471</t>
  </si>
  <si>
    <t>ORD-2024-01472</t>
  </si>
  <si>
    <t>ORD-2024-01473</t>
  </si>
  <si>
    <t>ORD-2024-01474</t>
  </si>
  <si>
    <t>ORD-2025-01475</t>
  </si>
  <si>
    <t>ORD-2025-01476</t>
  </si>
  <si>
    <t>ORD-2024-01477</t>
  </si>
  <si>
    <t>ORD-2024-01478</t>
  </si>
  <si>
    <t>ORD-2025-01479</t>
  </si>
  <si>
    <t>ORD-2024-01480</t>
  </si>
  <si>
    <t>ORD-2024-01481</t>
  </si>
  <si>
    <t>ORD-2025-01482</t>
  </si>
  <si>
    <t>ORD-2024-01483</t>
  </si>
  <si>
    <t>ORD-2025-01484</t>
  </si>
  <si>
    <t>ORD-2024-01485</t>
  </si>
  <si>
    <t>ORD-2025-01486</t>
  </si>
  <si>
    <t>ORD-2024-01487</t>
  </si>
  <si>
    <t>ORD-2024-01488</t>
  </si>
  <si>
    <t>ORD-2024-01489</t>
  </si>
  <si>
    <t>ORD-2025-01490</t>
  </si>
  <si>
    <t>ORD-2025-01491</t>
  </si>
  <si>
    <t>ORD-2025-01492</t>
  </si>
  <si>
    <t>ORD-2024-01493</t>
  </si>
  <si>
    <t>ORD-2025-01494</t>
  </si>
  <si>
    <t>ORD-2024-01495</t>
  </si>
  <si>
    <t>ORD-2025-01496</t>
  </si>
  <si>
    <t>ORD-2025-01497</t>
  </si>
  <si>
    <t>ORD-2024-01498</t>
  </si>
  <si>
    <t>ORD-2024-01499</t>
  </si>
  <si>
    <t>ORD-2024-01500</t>
  </si>
  <si>
    <t>Second Class</t>
  </si>
  <si>
    <t>Standard Class</t>
  </si>
  <si>
    <t>Same Day</t>
  </si>
  <si>
    <t>First Class</t>
  </si>
  <si>
    <t>CUST-1112</t>
  </si>
  <si>
    <t>CUST-1179</t>
  </si>
  <si>
    <t>CUST-1058</t>
  </si>
  <si>
    <t>CUST-1219</t>
  </si>
  <si>
    <t>CUST-1277</t>
  </si>
  <si>
    <t>CUST-1007</t>
  </si>
  <si>
    <t>CUST-1238</t>
  </si>
  <si>
    <t>CUST-1304</t>
  </si>
  <si>
    <t>CUST-1013</t>
  </si>
  <si>
    <t>CUST-1043</t>
  </si>
  <si>
    <t>CUST-1367</t>
  </si>
  <si>
    <t>CUST-1135</t>
  </si>
  <si>
    <t>CUST-1229</t>
  </si>
  <si>
    <t>CUST-1107</t>
  </si>
  <si>
    <t>CUST-1111</t>
  </si>
  <si>
    <t>CUST-1213</t>
  </si>
  <si>
    <t>CUST-1082</t>
  </si>
  <si>
    <t>CUST-1313</t>
  </si>
  <si>
    <t>CUST-1172</t>
  </si>
  <si>
    <t>CUST-1186</t>
  </si>
  <si>
    <t>CUST-1071</t>
  </si>
  <si>
    <t>CUST-1207</t>
  </si>
  <si>
    <t>CUST-1284</t>
  </si>
  <si>
    <t>CUST-1147</t>
  </si>
  <si>
    <t>CUST-1355</t>
  </si>
  <si>
    <t>CUST-1337</t>
  </si>
  <si>
    <t>CUST-1067</t>
  </si>
  <si>
    <t>CUST-1137</t>
  </si>
  <si>
    <t>CUST-1326</t>
  </si>
  <si>
    <t>CUST-1385</t>
  </si>
  <si>
    <t>CUST-1360</t>
  </si>
  <si>
    <t>CUST-1088</t>
  </si>
  <si>
    <t>CUST-1356</t>
  </si>
  <si>
    <t>CUST-1230</t>
  </si>
  <si>
    <t>CUST-1097</t>
  </si>
  <si>
    <t>CUST-1250</t>
  </si>
  <si>
    <t>CUST-1246</t>
  </si>
  <si>
    <t>CUST-1193</t>
  </si>
  <si>
    <t>CUST-1072</t>
  </si>
  <si>
    <t>CUST-1199</t>
  </si>
  <si>
    <t>CUST-1041</t>
  </si>
  <si>
    <t>CUST-1327</t>
  </si>
  <si>
    <t>CUST-1050</t>
  </si>
  <si>
    <t>CUST-1214</t>
  </si>
  <si>
    <t>CUST-1347</t>
  </si>
  <si>
    <t>CUST-1086</t>
  </si>
  <si>
    <t>CUST-1307</t>
  </si>
  <si>
    <t>CUST-1188</t>
  </si>
  <si>
    <t>CUST-1030</t>
  </si>
  <si>
    <t>CUST-1221</t>
  </si>
  <si>
    <t>CUST-1100</t>
  </si>
  <si>
    <t>CUST-1363</t>
  </si>
  <si>
    <t>CUST-1024</t>
  </si>
  <si>
    <t>CUST-1149</t>
  </si>
  <si>
    <t>CUST-1174</t>
  </si>
  <si>
    <t>CUST-1368</t>
  </si>
  <si>
    <t>CUST-1283</t>
  </si>
  <si>
    <t>CUST-1248</t>
  </si>
  <si>
    <t>CUST-1150</t>
  </si>
  <si>
    <t>CUST-1098</t>
  </si>
  <si>
    <t>CUST-1045</t>
  </si>
  <si>
    <t>CUST-1362</t>
  </si>
  <si>
    <t>CUST-1370</t>
  </si>
  <si>
    <t>CUST-1089</t>
  </si>
  <si>
    <t>CUST-1240</t>
  </si>
  <si>
    <t>CUST-1210</t>
  </si>
  <si>
    <t>CUST-1380</t>
  </si>
  <si>
    <t>CUST-1365</t>
  </si>
  <si>
    <t>CUST-1198</t>
  </si>
  <si>
    <t>CUST-1275</t>
  </si>
  <si>
    <t>CUST-1373</t>
  </si>
  <si>
    <t>CUST-1216</t>
  </si>
  <si>
    <t>CUST-1133</t>
  </si>
  <si>
    <t>CUST-1165</t>
  </si>
  <si>
    <t>CUST-1006</t>
  </si>
  <si>
    <t>CUST-1164</t>
  </si>
  <si>
    <t>CUST-1316</t>
  </si>
  <si>
    <t>CUST-1291</t>
  </si>
  <si>
    <t>CUST-1376</t>
  </si>
  <si>
    <t>CUST-1339</t>
  </si>
  <si>
    <t>CUST-1131</t>
  </si>
  <si>
    <t>CUST-1200</t>
  </si>
  <si>
    <t>CUST-1170</t>
  </si>
  <si>
    <t>CUST-1069</t>
  </si>
  <si>
    <t>CUST-1021</t>
  </si>
  <si>
    <t>CUST-1397</t>
  </si>
  <si>
    <t>CUST-1276</t>
  </si>
  <si>
    <t>CUST-1180</t>
  </si>
  <si>
    <t>CUST-1325</t>
  </si>
  <si>
    <t>CUST-1390</t>
  </si>
  <si>
    <t>CUST-1335</t>
  </si>
  <si>
    <t>CUST-1070</t>
  </si>
  <si>
    <t>CUST-1055</t>
  </si>
  <si>
    <t>CUST-1343</t>
  </si>
  <si>
    <t>CUST-1075</t>
  </si>
  <si>
    <t>CUST-1317</t>
  </si>
  <si>
    <t>CUST-1333</t>
  </si>
  <si>
    <t>CUST-1001</t>
  </si>
  <si>
    <t>CUST-1303</t>
  </si>
  <si>
    <t>CUST-1182</t>
  </si>
  <si>
    <t>CUST-1017</t>
  </si>
  <si>
    <t>CUST-1016</t>
  </si>
  <si>
    <t>CUST-1139</t>
  </si>
  <si>
    <t>CUST-1396</t>
  </si>
  <si>
    <t>CUST-1382</t>
  </si>
  <si>
    <t>CUST-1252</t>
  </si>
  <si>
    <t>CUST-1031</t>
  </si>
  <si>
    <t>CUST-1083</t>
  </si>
  <si>
    <t>CUST-1138</t>
  </si>
  <si>
    <t>CUST-1278</t>
  </si>
  <si>
    <t>CUST-1181</t>
  </si>
  <si>
    <t>CUST-1087</t>
  </si>
  <si>
    <t>CUST-1177</t>
  </si>
  <si>
    <t>CUST-1158</t>
  </si>
  <si>
    <t>CUST-1196</t>
  </si>
  <si>
    <t>CUST-1306</t>
  </si>
  <si>
    <t>CUST-1225</t>
  </si>
  <si>
    <t>CUST-1000</t>
  </si>
  <si>
    <t>CUST-1341</t>
  </si>
  <si>
    <t>CUST-1155</t>
  </si>
  <si>
    <t>CUST-1018</t>
  </si>
  <si>
    <t>CUST-1357</t>
  </si>
  <si>
    <t>CUST-1057</t>
  </si>
  <si>
    <t>CUST-1096</t>
  </si>
  <si>
    <t>CUST-1311</t>
  </si>
  <si>
    <t>CUST-1352</t>
  </si>
  <si>
    <t>CUST-1171</t>
  </si>
  <si>
    <t>CUST-1372</t>
  </si>
  <si>
    <t>CUST-1151</t>
  </si>
  <si>
    <t>CUST-1287</t>
  </si>
  <si>
    <t>CUST-1046</t>
  </si>
  <si>
    <t>CUST-1253</t>
  </si>
  <si>
    <t>CUST-1121</t>
  </si>
  <si>
    <t>CUST-1381</t>
  </si>
  <si>
    <t>CUST-1331</t>
  </si>
  <si>
    <t>CUST-1218</t>
  </si>
  <si>
    <t>CUST-1076</t>
  </si>
  <si>
    <t>CUST-1068</t>
  </si>
  <si>
    <t>CUST-1074</t>
  </si>
  <si>
    <t>CUST-1044</t>
  </si>
  <si>
    <t>CUST-1078</t>
  </si>
  <si>
    <t>CUST-1314</t>
  </si>
  <si>
    <t>CUST-1348</t>
  </si>
  <si>
    <t>CUST-1020</t>
  </si>
  <si>
    <t>CUST-1102</t>
  </si>
  <si>
    <t>CUST-1235</t>
  </si>
  <si>
    <t>CUST-1148</t>
  </si>
  <si>
    <t>CUST-1340</t>
  </si>
  <si>
    <t>CUST-1364</t>
  </si>
  <si>
    <t>CUST-1224</t>
  </si>
  <si>
    <t>CUST-1134</t>
  </si>
  <si>
    <t>CUST-1332</t>
  </si>
  <si>
    <t>CUST-1192</t>
  </si>
  <si>
    <t>CUST-1034</t>
  </si>
  <si>
    <t>CUST-1358</t>
  </si>
  <si>
    <t>CUST-1105</t>
  </si>
  <si>
    <t>CUST-1386</t>
  </si>
  <si>
    <t>CUST-1299</t>
  </si>
  <si>
    <t>CUST-1130</t>
  </si>
  <si>
    <t>CUST-1129</t>
  </si>
  <si>
    <t>CUST-1052</t>
  </si>
  <si>
    <t>CUST-1103</t>
  </si>
  <si>
    <t>CUST-1228</t>
  </si>
  <si>
    <t>CUST-1268</t>
  </si>
  <si>
    <t>CUST-1185</t>
  </si>
  <si>
    <t>CUST-1290</t>
  </si>
  <si>
    <t>CUST-1132</t>
  </si>
  <si>
    <t>CUST-1292</t>
  </si>
  <si>
    <t>CUST-1329</t>
  </si>
  <si>
    <t>CUST-1280</t>
  </si>
  <si>
    <t>CUST-1197</t>
  </si>
  <si>
    <t>CUST-1157</t>
  </si>
  <si>
    <t>CUST-1019</t>
  </si>
  <si>
    <t>CUST-1260</t>
  </si>
  <si>
    <t>CUST-1371</t>
  </si>
  <si>
    <t>CUST-1003</t>
  </si>
  <si>
    <t>CUST-1237</t>
  </si>
  <si>
    <t>CUST-1195</t>
  </si>
  <si>
    <t>CUST-1346</t>
  </si>
  <si>
    <t>CUST-1361</t>
  </si>
  <si>
    <t>CUST-1201</t>
  </si>
  <si>
    <t>CUST-1008</t>
  </si>
  <si>
    <t>CUST-1005</t>
  </si>
  <si>
    <t>CUST-1141</t>
  </si>
  <si>
    <t>CUST-1249</t>
  </si>
  <si>
    <t>CUST-1146</t>
  </si>
  <si>
    <t>CUST-1203</t>
  </si>
  <si>
    <t>CUST-1263</t>
  </si>
  <si>
    <t>CUST-1189</t>
  </si>
  <si>
    <t>CUST-1394</t>
  </si>
  <si>
    <t>CUST-1330</t>
  </si>
  <si>
    <t>CUST-1169</t>
  </si>
  <si>
    <t>CUST-1288</t>
  </si>
  <si>
    <t>CUST-1113</t>
  </si>
  <si>
    <t>CUST-1183</t>
  </si>
  <si>
    <t>CUST-1122</t>
  </si>
  <si>
    <t>CUST-1227</t>
  </si>
  <si>
    <t>CUST-1176</t>
  </si>
  <si>
    <t>CUST-1060</t>
  </si>
  <si>
    <t>CUST-1091</t>
  </si>
  <si>
    <t>CUST-1295</t>
  </si>
  <si>
    <t>CUST-1042</t>
  </si>
  <si>
    <t>CUST-1038</t>
  </si>
  <si>
    <t>CUST-1302</t>
  </si>
  <si>
    <t>CUST-1323</t>
  </si>
  <si>
    <t>CUST-1336</t>
  </si>
  <si>
    <t>CUST-1025</t>
  </si>
  <si>
    <t>CUST-1128</t>
  </si>
  <si>
    <t>CUST-1320</t>
  </si>
  <si>
    <t>CUST-1168</t>
  </si>
  <si>
    <t>CUST-1342</t>
  </si>
  <si>
    <t>CUST-1079</t>
  </si>
  <si>
    <t>CUST-1116</t>
  </si>
  <si>
    <t>CUST-1167</t>
  </si>
  <si>
    <t>CUST-1162</t>
  </si>
  <si>
    <t>CUST-1239</t>
  </si>
  <si>
    <t>CUST-1015</t>
  </si>
  <si>
    <t>CUST-1222</t>
  </si>
  <si>
    <t>CUST-1209</t>
  </si>
  <si>
    <t>CUST-1110</t>
  </si>
  <si>
    <t>CUST-1345</t>
  </si>
  <si>
    <t>CUST-1354</t>
  </si>
  <si>
    <t>CUST-1374</t>
  </si>
  <si>
    <t>CUST-1066</t>
  </si>
  <si>
    <t>CUST-1108</t>
  </si>
  <si>
    <t>CUST-1241</t>
  </si>
  <si>
    <t>CUST-1243</t>
  </si>
  <si>
    <t>CUST-1322</t>
  </si>
  <si>
    <t>CUST-1279</t>
  </si>
  <si>
    <t>CUST-1215</t>
  </si>
  <si>
    <t>CUST-1144</t>
  </si>
  <si>
    <t>CUST-1309</t>
  </si>
  <si>
    <t>CUST-1301</t>
  </si>
  <si>
    <t>CUST-1321</t>
  </si>
  <si>
    <t>CUST-1194</t>
  </si>
  <si>
    <t>CUST-1010</t>
  </si>
  <si>
    <t>CUST-1267</t>
  </si>
  <si>
    <t>CUST-1259</t>
  </si>
  <si>
    <t>CUST-1395</t>
  </si>
  <si>
    <t>CUST-1040</t>
  </si>
  <si>
    <t>CUST-1247</t>
  </si>
  <si>
    <t>CUST-1262</t>
  </si>
  <si>
    <t>CUST-1281</t>
  </si>
  <si>
    <t>CUST-1084</t>
  </si>
  <si>
    <t>CUST-1272</t>
  </si>
  <si>
    <t>CUST-1324</t>
  </si>
  <si>
    <t>CUST-1063</t>
  </si>
  <si>
    <t>CUST-1127</t>
  </si>
  <si>
    <t>CUST-1206</t>
  </si>
  <si>
    <t>CUST-1256</t>
  </si>
  <si>
    <t>CUST-1305</t>
  </si>
  <si>
    <t>CUST-1056</t>
  </si>
  <si>
    <t>CUST-1032</t>
  </si>
  <si>
    <t>CUST-1233</t>
  </si>
  <si>
    <t>CUST-1255</t>
  </si>
  <si>
    <t>CUST-1234</t>
  </si>
  <si>
    <t>CUST-1399</t>
  </si>
  <si>
    <t>CUST-1080</t>
  </si>
  <si>
    <t>CUST-1054</t>
  </si>
  <si>
    <t>CUST-1126</t>
  </si>
  <si>
    <t>CUST-1389</t>
  </si>
  <si>
    <t>CUST-1161</t>
  </si>
  <si>
    <t>CUST-1081</t>
  </si>
  <si>
    <t>CUST-1184</t>
  </si>
  <si>
    <t>CUST-1245</t>
  </si>
  <si>
    <t>CUST-1344</t>
  </si>
  <si>
    <t>CUST-1379</t>
  </si>
  <si>
    <t>CUST-1318</t>
  </si>
  <si>
    <t>CUST-1308</t>
  </si>
  <si>
    <t>CUST-1398</t>
  </si>
  <si>
    <t>CUST-1202</t>
  </si>
  <si>
    <t>CUST-1073</t>
  </si>
  <si>
    <t>CUST-1211</t>
  </si>
  <si>
    <t>CUST-1154</t>
  </si>
  <si>
    <t>CUST-1377</t>
  </si>
  <si>
    <t>CUST-1094</t>
  </si>
  <si>
    <t>CUST-1061</t>
  </si>
  <si>
    <t>CUST-1142</t>
  </si>
  <si>
    <t>CUST-1220</t>
  </si>
  <si>
    <t>CUST-1387</t>
  </si>
  <si>
    <t>CUST-1101</t>
  </si>
  <si>
    <t>CUST-1258</t>
  </si>
  <si>
    <t>CUST-1119</t>
  </si>
  <si>
    <t>CUST-1085</t>
  </si>
  <si>
    <t>CUST-1053</t>
  </si>
  <si>
    <t>CUST-1124</t>
  </si>
  <si>
    <t>CUST-1378</t>
  </si>
  <si>
    <t>CUST-1039</t>
  </si>
  <si>
    <t>CUST-1178</t>
  </si>
  <si>
    <t>CUST-1077</t>
  </si>
  <si>
    <t>CUST-1294</t>
  </si>
  <si>
    <t>CUST-1289</t>
  </si>
  <si>
    <t>CUST-1004</t>
  </si>
  <si>
    <t>CUST-1204</t>
  </si>
  <si>
    <t>CUST-1274</t>
  </si>
  <si>
    <t>CUST-1388</t>
  </si>
  <si>
    <t>CUST-1037</t>
  </si>
  <si>
    <t>CUST-1047</t>
  </si>
  <si>
    <t>CUST-1026</t>
  </si>
  <si>
    <t>CUST-1099</t>
  </si>
  <si>
    <t>CUST-1366</t>
  </si>
  <si>
    <t>CUST-1208</t>
  </si>
  <si>
    <t>CUST-1011</t>
  </si>
  <si>
    <t>CUST-1254</t>
  </si>
  <si>
    <t>CUST-1190</t>
  </si>
  <si>
    <t>CUST-1065</t>
  </si>
  <si>
    <t>CUST-1064</t>
  </si>
  <si>
    <t>CUST-1296</t>
  </si>
  <si>
    <t>CUST-1106</t>
  </si>
  <si>
    <t>CUST-1009</t>
  </si>
  <si>
    <t>CUST-1002</t>
  </si>
  <si>
    <t>CUST-1109</t>
  </si>
  <si>
    <t>CUST-1123</t>
  </si>
  <si>
    <t>CUST-1156</t>
  </si>
  <si>
    <t>CUST-1261</t>
  </si>
  <si>
    <t>CUST-1033</t>
  </si>
  <si>
    <t>CUST-1286</t>
  </si>
  <si>
    <t>CUST-1266</t>
  </si>
  <si>
    <t>CUST-1319</t>
  </si>
  <si>
    <t>CUST-1257</t>
  </si>
  <si>
    <t>CUST-1212</t>
  </si>
  <si>
    <t>CUST-1315</t>
  </si>
  <si>
    <t>CUST-1223</t>
  </si>
  <si>
    <t>CUST-1048</t>
  </si>
  <si>
    <t>CUST-1140</t>
  </si>
  <si>
    <t>CUST-1093</t>
  </si>
  <si>
    <t>CUST-1160</t>
  </si>
  <si>
    <t>CUST-1022</t>
  </si>
  <si>
    <t>CUST-1143</t>
  </si>
  <si>
    <t>CUST-1310</t>
  </si>
  <si>
    <t>CUST-1029</t>
  </si>
  <si>
    <t>CUST-1145</t>
  </si>
  <si>
    <t>CUST-1166</t>
  </si>
  <si>
    <t>CUST-1217</t>
  </si>
  <si>
    <t>CUST-1036</t>
  </si>
  <si>
    <t>CUST-1173</t>
  </si>
  <si>
    <t>CUST-1369</t>
  </si>
  <si>
    <t>CUST-1092</t>
  </si>
  <si>
    <t>CUST-1242</t>
  </si>
  <si>
    <t>CUST-1095</t>
  </si>
  <si>
    <t>CUST-1334</t>
  </si>
  <si>
    <t>CUST-1264</t>
  </si>
  <si>
    <t>CUST-1062</t>
  </si>
  <si>
    <t>CUST-1300</t>
  </si>
  <si>
    <t>CUST-1350</t>
  </si>
  <si>
    <t>CUST-1391</t>
  </si>
  <si>
    <t>CUST-1191</t>
  </si>
  <si>
    <t>CUST-1153</t>
  </si>
  <si>
    <t>CUST-1049</t>
  </si>
  <si>
    <t>CUST-1328</t>
  </si>
  <si>
    <t>CUST-1014</t>
  </si>
  <si>
    <t>CUST-1023</t>
  </si>
  <si>
    <t>CUST-1359</t>
  </si>
  <si>
    <t>CUST-1117</t>
  </si>
  <si>
    <t>CUST-1338</t>
  </si>
  <si>
    <t>CUST-1312</t>
  </si>
  <si>
    <t>CUST-1152</t>
  </si>
  <si>
    <t>CUST-1265</t>
  </si>
  <si>
    <t>CUST-1351</t>
  </si>
  <si>
    <t>CUST-1293</t>
  </si>
  <si>
    <t>CUST-1384</t>
  </si>
  <si>
    <t>CUST-1114</t>
  </si>
  <si>
    <t>CUST-1232</t>
  </si>
  <si>
    <t>CUST-1231</t>
  </si>
  <si>
    <t>CUST-1375</t>
  </si>
  <si>
    <t>CUST-1104</t>
  </si>
  <si>
    <t>CUST-1269</t>
  </si>
  <si>
    <t>CUST-1027</t>
  </si>
  <si>
    <t>CUST-1285</t>
  </si>
  <si>
    <t>CUST-1136</t>
  </si>
  <si>
    <t>CUST-1383</t>
  </si>
  <si>
    <t>CUST-1159</t>
  </si>
  <si>
    <t>CUST-1175</t>
  </si>
  <si>
    <t>CUST-1251</t>
  </si>
  <si>
    <t>CUST-1226</t>
  </si>
  <si>
    <t>CUST-1349</t>
  </si>
  <si>
    <t>CUST-1270</t>
  </si>
  <si>
    <t>CUST-1282</t>
  </si>
  <si>
    <t>CUST-1115</t>
  </si>
  <si>
    <t>CUST-1271</t>
  </si>
  <si>
    <t>CUST-1392</t>
  </si>
  <si>
    <t>CUST-1187</t>
  </si>
  <si>
    <t>CUST-1205</t>
  </si>
  <si>
    <t>CUST-1393</t>
  </si>
  <si>
    <t>CUST-1244</t>
  </si>
  <si>
    <t>CUST-1028</t>
  </si>
  <si>
    <t>CUST-1236</t>
  </si>
  <si>
    <t>CUST-1090</t>
  </si>
  <si>
    <t>CUST-1118</t>
  </si>
  <si>
    <t>CUST-1273</t>
  </si>
  <si>
    <t>CUST-1297</t>
  </si>
  <si>
    <t>CUST-1051</t>
  </si>
  <si>
    <t>CUST-1353</t>
  </si>
  <si>
    <t>CUST-1059</t>
  </si>
  <si>
    <t>CUST-1012</t>
  </si>
  <si>
    <t>Customer 363</t>
  </si>
  <si>
    <t>Customer 200</t>
  </si>
  <si>
    <t>Customer 240</t>
  </si>
  <si>
    <t>Customer 378</t>
  </si>
  <si>
    <t>Customer 040</t>
  </si>
  <si>
    <t>Customer 190</t>
  </si>
  <si>
    <t>Customer 072</t>
  </si>
  <si>
    <t>Customer 217</t>
  </si>
  <si>
    <t>Customer 013</t>
  </si>
  <si>
    <t>Customer 360</t>
  </si>
  <si>
    <t>Customer 239</t>
  </si>
  <si>
    <t>Customer 280</t>
  </si>
  <si>
    <t>Customer 146</t>
  </si>
  <si>
    <t>Customer 004</t>
  </si>
  <si>
    <t>Customer 376</t>
  </si>
  <si>
    <t>Customer 291</t>
  </si>
  <si>
    <t>Customer 125</t>
  </si>
  <si>
    <t>Customer 094</t>
  </si>
  <si>
    <t>Customer 391</t>
  </si>
  <si>
    <t>Customer 346</t>
  </si>
  <si>
    <t>Customer 263</t>
  </si>
  <si>
    <t>Customer 292</t>
  </si>
  <si>
    <t>Customer 195</t>
  </si>
  <si>
    <t>Customer 281</t>
  </si>
  <si>
    <t>Customer 022</t>
  </si>
  <si>
    <t>Customer 005</t>
  </si>
  <si>
    <t>Customer 147</t>
  </si>
  <si>
    <t>Customer 130</t>
  </si>
  <si>
    <t>Customer 367</t>
  </si>
  <si>
    <t>Customer 019</t>
  </si>
  <si>
    <t>Customer 316</t>
  </si>
  <si>
    <t>Customer 374</t>
  </si>
  <si>
    <t>Customer 322</t>
  </si>
  <si>
    <t>Customer 159</t>
  </si>
  <si>
    <t>Customer 206</t>
  </si>
  <si>
    <t>Customer 261</t>
  </si>
  <si>
    <t>Customer 212</t>
  </si>
  <si>
    <t>Customer 129</t>
  </si>
  <si>
    <t>Customer 340</t>
  </si>
  <si>
    <t>Customer 167</t>
  </si>
  <si>
    <t>Customer 298</t>
  </si>
  <si>
    <t>Customer 011</t>
  </si>
  <si>
    <t>Customer 052</t>
  </si>
  <si>
    <t>Customer 117</t>
  </si>
  <si>
    <t>Customer 279</t>
  </si>
  <si>
    <t>Customer 273</t>
  </si>
  <si>
    <t>Customer 161</t>
  </si>
  <si>
    <t>Customer 260</t>
  </si>
  <si>
    <t>Customer 095</t>
  </si>
  <si>
    <t>Customer 029</t>
  </si>
  <si>
    <t>Customer 185</t>
  </si>
  <si>
    <t>Customer 215</t>
  </si>
  <si>
    <t>Customer 388</t>
  </si>
  <si>
    <t>Customer 015</t>
  </si>
  <si>
    <t>Customer 306</t>
  </si>
  <si>
    <t>Customer 302</t>
  </si>
  <si>
    <t>Customer 118</t>
  </si>
  <si>
    <t>Customer 203</t>
  </si>
  <si>
    <t>Customer 275</t>
  </si>
  <si>
    <t>Customer 098</t>
  </si>
  <si>
    <t>Customer 328</t>
  </si>
  <si>
    <t>Customer 352</t>
  </si>
  <si>
    <t>Customer 303</t>
  </si>
  <si>
    <t>Customer 296</t>
  </si>
  <si>
    <t>Customer 038</t>
  </si>
  <si>
    <t>Customer 372</t>
  </si>
  <si>
    <t>Customer 025</t>
  </si>
  <si>
    <t>Customer 045</t>
  </si>
  <si>
    <t>Customer 329</t>
  </si>
  <si>
    <t>Customer 069</t>
  </si>
  <si>
    <t>Customer 256</t>
  </si>
  <si>
    <t>Customer 236</t>
  </si>
  <si>
    <t>Customer 035</t>
  </si>
  <si>
    <t>Customer 080</t>
  </si>
  <si>
    <t>Customer 285</t>
  </si>
  <si>
    <t>Customer 189</t>
  </si>
  <si>
    <t>Customer 059</t>
  </si>
  <si>
    <t>Customer 283</t>
  </si>
  <si>
    <t>Customer 187</t>
  </si>
  <si>
    <t>Customer 247</t>
  </si>
  <si>
    <t>Customer 349</t>
  </si>
  <si>
    <t>Customer 085</t>
  </si>
  <si>
    <t>Customer 197</t>
  </si>
  <si>
    <t>Customer 097</t>
  </si>
  <si>
    <t>Customer 106</t>
  </si>
  <si>
    <t>Customer 295</t>
  </si>
  <si>
    <t>Customer 193</t>
  </si>
  <si>
    <t>Customer 065</t>
  </si>
  <si>
    <t>Customer 207</t>
  </si>
  <si>
    <t>Customer 016</t>
  </si>
  <si>
    <t>Customer 327</t>
  </si>
  <si>
    <t>Customer 150</t>
  </si>
  <si>
    <t>Customer 335</t>
  </si>
  <si>
    <t>Customer 087</t>
  </si>
  <si>
    <t>Customer 003</t>
  </si>
  <si>
    <t>Customer 090</t>
  </si>
  <si>
    <t>Customer 208</t>
  </si>
  <si>
    <t>Customer 366</t>
  </si>
  <si>
    <t>Customer 177</t>
  </si>
  <si>
    <t>Customer 299</t>
  </si>
  <si>
    <t>Customer 398</t>
  </si>
  <si>
    <t>Customer 066</t>
  </si>
  <si>
    <t>Customer 268</t>
  </si>
  <si>
    <t>Customer 012</t>
  </si>
  <si>
    <t>Customer 135</t>
  </si>
  <si>
    <t>Customer 154</t>
  </si>
  <si>
    <t>Customer 294</t>
  </si>
  <si>
    <t>Customer 354</t>
  </si>
  <si>
    <t>Customer 140</t>
  </si>
  <si>
    <t>Customer 014</t>
  </si>
  <si>
    <t>Customer 086</t>
  </si>
  <si>
    <t>Customer 341</t>
  </si>
  <si>
    <t>Customer 234</t>
  </si>
  <si>
    <t>Customer 194</t>
  </si>
  <si>
    <t>Customer 251</t>
  </si>
  <si>
    <t>Customer 204</t>
  </si>
  <si>
    <t>Customer 143</t>
  </si>
  <si>
    <t>Customer 026</t>
  </si>
  <si>
    <t>Customer 309</t>
  </si>
  <si>
    <t>Customer 074</t>
  </si>
  <si>
    <t>Customer 105</t>
  </si>
  <si>
    <t>Customer 132</t>
  </si>
  <si>
    <t>Customer 216</t>
  </si>
  <si>
    <t>Customer 114</t>
  </si>
  <si>
    <t>Customer 365</t>
  </si>
  <si>
    <t>Customer 128</t>
  </si>
  <si>
    <t>Customer 221</t>
  </si>
  <si>
    <t>Customer 238</t>
  </si>
  <si>
    <t>Customer 109</t>
  </si>
  <si>
    <t>Customer 246</t>
  </si>
  <si>
    <t>Customer 252</t>
  </si>
  <si>
    <t>Customer 379</t>
  </si>
  <si>
    <t>Customer 162</t>
  </si>
  <si>
    <t>Customer 220</t>
  </si>
  <si>
    <t>Customer 088</t>
  </si>
  <si>
    <t>Customer 017</t>
  </si>
  <si>
    <t>Customer 044</t>
  </si>
  <si>
    <t>Customer 093</t>
  </si>
  <si>
    <t>Customer 205</t>
  </si>
  <si>
    <t>Customer 108</t>
  </si>
  <si>
    <t>Customer 180</t>
  </si>
  <si>
    <t>Customer 084</t>
  </si>
  <si>
    <t>Customer 237</t>
  </si>
  <si>
    <t>Customer 395</t>
  </si>
  <si>
    <t>Customer 049</t>
  </si>
  <si>
    <t>Customer 170</t>
  </si>
  <si>
    <t>Customer 325</t>
  </si>
  <si>
    <t>Customer 053</t>
  </si>
  <si>
    <t>Customer 182</t>
  </si>
  <si>
    <t>Customer 039</t>
  </si>
  <si>
    <t>Customer 385</t>
  </si>
  <si>
    <t>Customer 010</t>
  </si>
  <si>
    <t>Customer 248</t>
  </si>
  <si>
    <t>Customer 073</t>
  </si>
  <si>
    <t>Customer 042</t>
  </si>
  <si>
    <t>Customer 024</t>
  </si>
  <si>
    <t>Customer 002</t>
  </si>
  <si>
    <t>Customer 112</t>
  </si>
  <si>
    <t>Customer 181</t>
  </si>
  <si>
    <t>Customer 310</t>
  </si>
  <si>
    <t>Customer 032</t>
  </si>
  <si>
    <t>Customer 383</t>
  </si>
  <si>
    <t>Customer 198</t>
  </si>
  <si>
    <t>Customer 046</t>
  </si>
  <si>
    <t>Customer 211</t>
  </si>
  <si>
    <t>Customer 386</t>
  </si>
  <si>
    <t>Customer 070</t>
  </si>
  <si>
    <t>Customer 141</t>
  </si>
  <si>
    <t>Customer 230</t>
  </si>
  <si>
    <t>Customer 323</t>
  </si>
  <si>
    <t>Customer 173</t>
  </si>
  <si>
    <t>Customer 192</t>
  </si>
  <si>
    <t>Customer 304</t>
  </si>
  <si>
    <t>Customer 031</t>
  </si>
  <si>
    <t>Customer 255</t>
  </si>
  <si>
    <t>Customer 387</t>
  </si>
  <si>
    <t>Customer 332</t>
  </si>
  <si>
    <t>Customer 188</t>
  </si>
  <si>
    <t>Customer 057</t>
  </si>
  <si>
    <t>Customer 289</t>
  </si>
  <si>
    <t>Customer 330</t>
  </si>
  <si>
    <t>Customer 241</t>
  </si>
  <si>
    <t>Customer 259</t>
  </si>
  <si>
    <t>Customer 199</t>
  </si>
  <si>
    <t>Customer 165</t>
  </si>
  <si>
    <t>Customer 371</t>
  </si>
  <si>
    <t>Customer 393</t>
  </si>
  <si>
    <t>Customer 121</t>
  </si>
  <si>
    <t>Customer 214</t>
  </si>
  <si>
    <t>Customer 158</t>
  </si>
  <si>
    <t>Customer 242</t>
  </si>
  <si>
    <t>Customer 083</t>
  </si>
  <si>
    <t>Customer 111</t>
  </si>
  <si>
    <t>Customer 152</t>
  </si>
  <si>
    <t>Customer 225</t>
  </si>
  <si>
    <t>Customer 375</t>
  </si>
  <si>
    <t>Customer 337</t>
  </si>
  <si>
    <t>Customer 020</t>
  </si>
  <si>
    <t>Customer 054</t>
  </si>
  <si>
    <t>Customer 191</t>
  </si>
  <si>
    <t>Customer 213</t>
  </si>
  <si>
    <t>Customer 369</t>
  </si>
  <si>
    <t>Customer 344</t>
  </si>
  <si>
    <t>Customer 286</t>
  </si>
  <si>
    <t>Customer 149</t>
  </si>
  <si>
    <t>Customer 384</t>
  </si>
  <si>
    <t>Customer 139</t>
  </si>
  <si>
    <t>Customer 186</t>
  </si>
  <si>
    <t>Customer 134</t>
  </si>
  <si>
    <t>Customer 037</t>
  </si>
  <si>
    <t>Customer 062</t>
  </si>
  <si>
    <t>Customer 271</t>
  </si>
  <si>
    <t>Customer 123</t>
  </si>
  <si>
    <t>Customer 265</t>
  </si>
  <si>
    <t>Customer 245</t>
  </si>
  <si>
    <t>Customer 278</t>
  </si>
  <si>
    <t>Customer 077</t>
  </si>
  <si>
    <t>Customer 331</t>
  </si>
  <si>
    <t>Customer 253</t>
  </si>
  <si>
    <t>Customer 347</t>
  </si>
  <si>
    <t>Customer 368</t>
  </si>
  <si>
    <t>Customer 334</t>
  </si>
  <si>
    <t>Customer 133</t>
  </si>
  <si>
    <t>Customer 361</t>
  </si>
  <si>
    <t>Customer 357</t>
  </si>
  <si>
    <t>Customer 320</t>
  </si>
  <si>
    <t>Customer 063</t>
  </si>
  <si>
    <t>Customer 317</t>
  </si>
  <si>
    <t>Customer 131</t>
  </si>
  <si>
    <t>Customer 353</t>
  </si>
  <si>
    <t>Customer 196</t>
  </si>
  <si>
    <t>Customer 169</t>
  </si>
  <si>
    <t>Customer 348</t>
  </si>
  <si>
    <t>Customer 155</t>
  </si>
  <si>
    <t>Customer 056</t>
  </si>
  <si>
    <t>Customer 064</t>
  </si>
  <si>
    <t>Customer 390</t>
  </si>
  <si>
    <t>Customer 382</t>
  </si>
  <si>
    <t>Customer 160</t>
  </si>
  <si>
    <t>Customer 119</t>
  </si>
  <si>
    <t>Customer 113</t>
  </si>
  <si>
    <t>Customer 168</t>
  </si>
  <si>
    <t>Customer 254</t>
  </si>
  <si>
    <t>Customer 023</t>
  </si>
  <si>
    <t>Customer 079</t>
  </si>
  <si>
    <t>Customer 055</t>
  </si>
  <si>
    <t>Customer 082</t>
  </si>
  <si>
    <t>Customer 380</t>
  </si>
  <si>
    <t>Customer 068</t>
  </si>
  <si>
    <t>Customer 301</t>
  </si>
  <si>
    <t>Customer 183</t>
  </si>
  <si>
    <t>Customer 229</t>
  </si>
  <si>
    <t>Customer 342</t>
  </si>
  <si>
    <t>Customer 333</t>
  </si>
  <si>
    <t>Customer 124</t>
  </si>
  <si>
    <t>Customer 137</t>
  </si>
  <si>
    <t>Customer 120</t>
  </si>
  <si>
    <t>Customer 174</t>
  </si>
  <si>
    <t>Customer 048</t>
  </si>
  <si>
    <t>Customer 307</t>
  </si>
  <si>
    <t>Customer 110</t>
  </si>
  <si>
    <t>Customer 381</t>
  </si>
  <si>
    <t>Customer 036</t>
  </si>
  <si>
    <t>Customer 324</t>
  </si>
  <si>
    <t>Customer 290</t>
  </si>
  <si>
    <t>Customer 266</t>
  </si>
  <si>
    <t>Customer 226</t>
  </si>
  <si>
    <t>Customer 313</t>
  </si>
  <si>
    <t>Customer 297</t>
  </si>
  <si>
    <t>Customer 178</t>
  </si>
  <si>
    <t>Customer 218</t>
  </si>
  <si>
    <t>Customer 099</t>
  </si>
  <si>
    <t>Customer 175</t>
  </si>
  <si>
    <t>Customer 076</t>
  </si>
  <si>
    <t>Customer 293</t>
  </si>
  <si>
    <t>Customer 156</t>
  </si>
  <si>
    <t>Customer 222</t>
  </si>
  <si>
    <t>Customer 008</t>
  </si>
  <si>
    <t>Customer 144</t>
  </si>
  <si>
    <t>Customer 274</t>
  </si>
  <si>
    <t>Customer 078</t>
  </si>
  <si>
    <t>Customer 264</t>
  </si>
  <si>
    <t>Customer 089</t>
  </si>
  <si>
    <t>Customer 100</t>
  </si>
  <si>
    <t>Customer 172</t>
  </si>
  <si>
    <t>Customer 315</t>
  </si>
  <si>
    <t>Customer 350</t>
  </si>
  <si>
    <t>Customer 399</t>
  </si>
  <si>
    <t>Customer 209</t>
  </si>
  <si>
    <t>Customer 377</t>
  </si>
  <si>
    <t>Customer 267</t>
  </si>
  <si>
    <t>Customer 102</t>
  </si>
  <si>
    <t>Customer 351</t>
  </si>
  <si>
    <t>Customer 277</t>
  </si>
  <si>
    <t>Customer 067</t>
  </si>
  <si>
    <t>Customer 308</t>
  </si>
  <si>
    <t>Customer 142</t>
  </si>
  <si>
    <t>Customer 364</t>
  </si>
  <si>
    <t>Customer 356</t>
  </si>
  <si>
    <t>Customer 091</t>
  </si>
  <si>
    <t>Customer 009</t>
  </si>
  <si>
    <t>Customer 107</t>
  </si>
  <si>
    <t>Customer 163</t>
  </si>
  <si>
    <t>Customer 047</t>
  </si>
  <si>
    <t>Customer 389</t>
  </si>
  <si>
    <t>Customer 171</t>
  </si>
  <si>
    <t>Customer 262</t>
  </si>
  <si>
    <t>Customer 027</t>
  </si>
  <si>
    <t>Customer 233</t>
  </si>
  <si>
    <t>Customer 021</t>
  </si>
  <si>
    <t>Customer 179</t>
  </si>
  <si>
    <t>Customer 006</t>
  </si>
  <si>
    <t>Customer 223</t>
  </si>
  <si>
    <t>Customer 071</t>
  </si>
  <si>
    <t>Customer 116</t>
  </si>
  <si>
    <t>Customer 373</t>
  </si>
  <si>
    <t>Customer 244</t>
  </si>
  <si>
    <t>Customer 284</t>
  </si>
  <si>
    <t>Customer 287</t>
  </si>
  <si>
    <t>Customer 258</t>
  </si>
  <si>
    <t>Customer 210</t>
  </si>
  <si>
    <t>Customer 136</t>
  </si>
  <si>
    <t>Customer 018</t>
  </si>
  <si>
    <t>Customer 249</t>
  </si>
  <si>
    <t>Customer 243</t>
  </si>
  <si>
    <t>Customer 051</t>
  </si>
  <si>
    <t>Customer 326</t>
  </si>
  <si>
    <t>Customer 358</t>
  </si>
  <si>
    <t>Customer 231</t>
  </si>
  <si>
    <t>Customer 359</t>
  </si>
  <si>
    <t>Customer 400</t>
  </si>
  <si>
    <t>Customer 050</t>
  </si>
  <si>
    <t>Customer 028</t>
  </si>
  <si>
    <t>Customer 001</t>
  </si>
  <si>
    <t>Customer 397</t>
  </si>
  <si>
    <t>Customer 362</t>
  </si>
  <si>
    <t>Customer 227</t>
  </si>
  <si>
    <t>Customer 318</t>
  </si>
  <si>
    <t>Customer 096</t>
  </si>
  <si>
    <t>Customer 338</t>
  </si>
  <si>
    <t>Customer 343</t>
  </si>
  <si>
    <t>Customer 007</t>
  </si>
  <si>
    <t>Customer 122</t>
  </si>
  <si>
    <t>Customer 224</t>
  </si>
  <si>
    <t>Customer 145</t>
  </si>
  <si>
    <t>Customer 219</t>
  </si>
  <si>
    <t>Customer 151</t>
  </si>
  <si>
    <t>Customer 058</t>
  </si>
  <si>
    <t>Customer 319</t>
  </si>
  <si>
    <t>Customer 305</t>
  </si>
  <si>
    <t>Customer 103</t>
  </si>
  <si>
    <t>Customer 201</t>
  </si>
  <si>
    <t>Customer 314</t>
  </si>
  <si>
    <t>Customer 257</t>
  </si>
  <si>
    <t>Customer 282</t>
  </si>
  <si>
    <t>Customer 153</t>
  </si>
  <si>
    <t>Customer 269</t>
  </si>
  <si>
    <t>Customer 138</t>
  </si>
  <si>
    <t>Customer 115</t>
  </si>
  <si>
    <t>Customer 061</t>
  </si>
  <si>
    <t>Customer 184</t>
  </si>
  <si>
    <t>Customer 321</t>
  </si>
  <si>
    <t>Customer 232</t>
  </si>
  <si>
    <t>Customer 164</t>
  </si>
  <si>
    <t>Customer 276</t>
  </si>
  <si>
    <t>Customer 392</t>
  </si>
  <si>
    <t>Customer 339</t>
  </si>
  <si>
    <t>Customer 041</t>
  </si>
  <si>
    <t>Customer 345</t>
  </si>
  <si>
    <t>Customer 370</t>
  </si>
  <si>
    <t>Customer 355</t>
  </si>
  <si>
    <t>Customer 092</t>
  </si>
  <si>
    <t>Customer 336</t>
  </si>
  <si>
    <t>Customer 043</t>
  </si>
  <si>
    <t>Customer 235</t>
  </si>
  <si>
    <t>Customer 060</t>
  </si>
  <si>
    <t>Customer 176</t>
  </si>
  <si>
    <t>Customer 311</t>
  </si>
  <si>
    <t>Customer 075</t>
  </si>
  <si>
    <t>Customer 270</t>
  </si>
  <si>
    <t>Customer 166</t>
  </si>
  <si>
    <t>Customer 202</t>
  </si>
  <si>
    <t>Customer 300</t>
  </si>
  <si>
    <t>Customer 394</t>
  </si>
  <si>
    <t>Customer 127</t>
  </si>
  <si>
    <t>Customer 033</t>
  </si>
  <si>
    <t>Customer 030</t>
  </si>
  <si>
    <t>Customer 157</t>
  </si>
  <si>
    <t>Customer 272</t>
  </si>
  <si>
    <t>Customer 312</t>
  </si>
  <si>
    <t>Customer 126</t>
  </si>
  <si>
    <t>Customer 250</t>
  </si>
  <si>
    <t>Customer 288</t>
  </si>
  <si>
    <t>Customer 396</t>
  </si>
  <si>
    <t>Home Office</t>
  </si>
  <si>
    <t>Corporate</t>
  </si>
  <si>
    <t>Consumer</t>
  </si>
  <si>
    <t>India</t>
  </si>
  <si>
    <t>Indore</t>
  </si>
  <si>
    <t>Delhi</t>
  </si>
  <si>
    <t>Hyderabad</t>
  </si>
  <si>
    <t>Jaipur</t>
  </si>
  <si>
    <t>Pune</t>
  </si>
  <si>
    <t>Bhopal</t>
  </si>
  <si>
    <t>Chennai</t>
  </si>
  <si>
    <t>Kolkata</t>
  </si>
  <si>
    <t>Mumbai</t>
  </si>
  <si>
    <t>Bengaluru</t>
  </si>
  <si>
    <t>Central</t>
  </si>
  <si>
    <t>North</t>
  </si>
  <si>
    <t>South</t>
  </si>
  <si>
    <t>West</t>
  </si>
  <si>
    <t>East</t>
  </si>
  <si>
    <t>PROD-190</t>
  </si>
  <si>
    <t>PROD-672</t>
  </si>
  <si>
    <t>PROD-459</t>
  </si>
  <si>
    <t>PROD-714</t>
  </si>
  <si>
    <t>PROD-484</t>
  </si>
  <si>
    <t>PROD-628</t>
  </si>
  <si>
    <t>PROD-921</t>
  </si>
  <si>
    <t>PROD-914</t>
  </si>
  <si>
    <t>PROD-655</t>
  </si>
  <si>
    <t>PROD-244</t>
  </si>
  <si>
    <t>PROD-907</t>
  </si>
  <si>
    <t>PROD-258</t>
  </si>
  <si>
    <t>PROD-984</t>
  </si>
  <si>
    <t>PROD-105</t>
  </si>
  <si>
    <t>PROD-934</t>
  </si>
  <si>
    <t>PROD-249</t>
  </si>
  <si>
    <t>PROD-146</t>
  </si>
  <si>
    <t>PROD-124</t>
  </si>
  <si>
    <t>PROD-547</t>
  </si>
  <si>
    <t>PROD-463</t>
  </si>
  <si>
    <t>PROD-674</t>
  </si>
  <si>
    <t>PROD-274</t>
  </si>
  <si>
    <t>PROD-530</t>
  </si>
  <si>
    <t>PROD-263</t>
  </si>
  <si>
    <t>PROD-940</t>
  </si>
  <si>
    <t>PROD-686</t>
  </si>
  <si>
    <t>PROD-884</t>
  </si>
  <si>
    <t>PROD-706</t>
  </si>
  <si>
    <t>PROD-917</t>
  </si>
  <si>
    <t>PROD-695</t>
  </si>
  <si>
    <t>PROD-520</t>
  </si>
  <si>
    <t>PROD-957</t>
  </si>
  <si>
    <t>PROD-384</t>
  </si>
  <si>
    <t>PROD-227</t>
  </si>
  <si>
    <t>PROD-436</t>
  </si>
  <si>
    <t>PROD-954</t>
  </si>
  <si>
    <t>PROD-300</t>
  </si>
  <si>
    <t>PROD-665</t>
  </si>
  <si>
    <t>PROD-128</t>
  </si>
  <si>
    <t>PROD-886</t>
  </si>
  <si>
    <t>PROD-726</t>
  </si>
  <si>
    <t>PROD-526</t>
  </si>
  <si>
    <t>PROD-475</t>
  </si>
  <si>
    <t>PROD-920</t>
  </si>
  <si>
    <t>PROD-846</t>
  </si>
  <si>
    <t>PROD-849</t>
  </si>
  <si>
    <t>PROD-377</t>
  </si>
  <si>
    <t>PROD-287</t>
  </si>
  <si>
    <t>PROD-391</t>
  </si>
  <si>
    <t>PROD-650</t>
  </si>
  <si>
    <t>PROD-792</t>
  </si>
  <si>
    <t>PROD-641</t>
  </si>
  <si>
    <t>PROD-216</t>
  </si>
  <si>
    <t>PROD-990</t>
  </si>
  <si>
    <t>PROD-862</t>
  </si>
  <si>
    <t>PROD-152</t>
  </si>
  <si>
    <t>PROD-617</t>
  </si>
  <si>
    <t>PROD-550</t>
  </si>
  <si>
    <t>PROD-325</t>
  </si>
  <si>
    <t>PROD-765</t>
  </si>
  <si>
    <t>PROD-418</t>
  </si>
  <si>
    <t>PROD-422</t>
  </si>
  <si>
    <t>PROD-949</t>
  </si>
  <si>
    <t>PROD-408</t>
  </si>
  <si>
    <t>PROD-538</t>
  </si>
  <si>
    <t>PROD-267</t>
  </si>
  <si>
    <t>PROD-313</t>
  </si>
  <si>
    <t>PROD-590</t>
  </si>
  <si>
    <t>PROD-234</t>
  </si>
  <si>
    <t>PROD-276</t>
  </si>
  <si>
    <t>PROD-174</t>
  </si>
  <si>
    <t>PROD-848</t>
  </si>
  <si>
    <t>PROD-733</t>
  </si>
  <si>
    <t>PROD-615</t>
  </si>
  <si>
    <t>PROD-178</t>
  </si>
  <si>
    <t>PROD-671</t>
  </si>
  <si>
    <t>PROD-592</t>
  </si>
  <si>
    <t>PROD-825</t>
  </si>
  <si>
    <t>PROD-566</t>
  </si>
  <si>
    <t>PROD-372</t>
  </si>
  <si>
    <t>PROD-701</t>
  </si>
  <si>
    <t>PROD-720</t>
  </si>
  <si>
    <t>PROD-563</t>
  </si>
  <si>
    <t>PROD-838</t>
  </si>
  <si>
    <t>PROD-123</t>
  </si>
  <si>
    <t>PROD-801</t>
  </si>
  <si>
    <t>PROD-576</t>
  </si>
  <si>
    <t>PROD-121</t>
  </si>
  <si>
    <t>PROD-961</t>
  </si>
  <si>
    <t>PROD-933</t>
  </si>
  <si>
    <t>PROD-994</t>
  </si>
  <si>
    <t>PROD-327</t>
  </si>
  <si>
    <t>PROD-151</t>
  </si>
  <si>
    <t>PROD-468</t>
  </si>
  <si>
    <t>PROD-598</t>
  </si>
  <si>
    <t>PROD-153</t>
  </si>
  <si>
    <t>PROD-551</t>
  </si>
  <si>
    <t>PROD-228</t>
  </si>
  <si>
    <t>PROD-196</t>
  </si>
  <si>
    <t>PROD-819</t>
  </si>
  <si>
    <t>PROD-386</t>
  </si>
  <si>
    <t>PROD-839</t>
  </si>
  <si>
    <t>PROD-626</t>
  </si>
  <si>
    <t>PROD-314</t>
  </si>
  <si>
    <t>PROD-827</t>
  </si>
  <si>
    <t>PROD-440</t>
  </si>
  <si>
    <t>PROD-172</t>
  </si>
  <si>
    <t>PROD-637</t>
  </si>
  <si>
    <t>PROD-974</t>
  </si>
  <si>
    <t>PROD-365</t>
  </si>
  <si>
    <t>PROD-433</t>
  </si>
  <si>
    <t>PROD-239</t>
  </si>
  <si>
    <t>PROD-711</t>
  </si>
  <si>
    <t>PROD-833</t>
  </si>
  <si>
    <t>PROD-622</t>
  </si>
  <si>
    <t>PROD-988</t>
  </si>
  <si>
    <t>PROD-645</t>
  </si>
  <si>
    <t>PROD-619</t>
  </si>
  <si>
    <t>PROD-953</t>
  </si>
  <si>
    <t>PROD-545</t>
  </si>
  <si>
    <t>PROD-138</t>
  </si>
  <si>
    <t>PROD-942</t>
  </si>
  <si>
    <t>PROD-857</t>
  </si>
  <si>
    <t>PROD-932</t>
  </si>
  <si>
    <t>PROD-358</t>
  </si>
  <si>
    <t>PROD-353</t>
  </si>
  <si>
    <t>PROD-738</t>
  </si>
  <si>
    <t>PROD-762</t>
  </si>
  <si>
    <t>PROD-399</t>
  </si>
  <si>
    <t>PROD-754</t>
  </si>
  <si>
    <t>PROD-709</t>
  </si>
  <si>
    <t>PROD-960</t>
  </si>
  <si>
    <t>PROD-467</t>
  </si>
  <si>
    <t>PROD-935</t>
  </si>
  <si>
    <t>PROD-179</t>
  </si>
  <si>
    <t>PROD-735</t>
  </si>
  <si>
    <t>PROD-527</t>
  </si>
  <si>
    <t>PROD-491</t>
  </si>
  <si>
    <t>PROD-919</t>
  </si>
  <si>
    <t>PROD-903</t>
  </si>
  <si>
    <t>PROD-585</t>
  </si>
  <si>
    <t>PROD-525</t>
  </si>
  <si>
    <t>PROD-653</t>
  </si>
  <si>
    <t>PROD-180</t>
  </si>
  <si>
    <t>PROD-156</t>
  </si>
  <si>
    <t>PROD-799</t>
  </si>
  <si>
    <t>PROD-202</t>
  </si>
  <si>
    <t>PROD-501</t>
  </si>
  <si>
    <t>PROD-266</t>
  </si>
  <si>
    <t>PROD-908</t>
  </si>
  <si>
    <t>PROD-425</t>
  </si>
  <si>
    <t>PROD-368</t>
  </si>
  <si>
    <t>PROD-635</t>
  </si>
  <si>
    <t>PROD-560</t>
  </si>
  <si>
    <t>PROD-447</t>
  </si>
  <si>
    <t>PROD-112</t>
  </si>
  <si>
    <t>PROD-165</t>
  </si>
  <si>
    <t>PROD-725</t>
  </si>
  <si>
    <t>PROD-181</t>
  </si>
  <si>
    <t>PROD-280</t>
  </si>
  <si>
    <t>PROD-552</t>
  </si>
  <si>
    <t>PROD-278</t>
  </si>
  <si>
    <t>PROD-145</t>
  </si>
  <si>
    <t>PROD-775</t>
  </si>
  <si>
    <t>PROD-370</t>
  </si>
  <si>
    <t>PROD-777</t>
  </si>
  <si>
    <t>PROD-130</t>
  </si>
  <si>
    <t>PROD-938</t>
  </si>
  <si>
    <t>PROD-702</t>
  </si>
  <si>
    <t>PROD-157</t>
  </si>
  <si>
    <t>PROD-736</t>
  </si>
  <si>
    <t>PROD-308</t>
  </si>
  <si>
    <t>PROD-646</t>
  </si>
  <si>
    <t>PROD-679</t>
  </si>
  <si>
    <t>PROD-554</t>
  </si>
  <si>
    <t>PROD-533</t>
  </si>
  <si>
    <t>PROD-222</t>
  </si>
  <si>
    <t>PROD-948</t>
  </si>
  <si>
    <t>PROD-242</t>
  </si>
  <si>
    <t>PROD-419</t>
  </si>
  <si>
    <t>PROD-680</t>
  </si>
  <si>
    <t>PROD-485</t>
  </si>
  <si>
    <t>PROD-385</t>
  </si>
  <si>
    <t>PROD-797</t>
  </si>
  <si>
    <t>PROD-798</t>
  </si>
  <si>
    <t>PROD-651</t>
  </si>
  <si>
    <t>PROD-890</t>
  </si>
  <si>
    <t>PROD-964</t>
  </si>
  <si>
    <t>PROD-657</t>
  </si>
  <si>
    <t>PROD-345</t>
  </si>
  <si>
    <t>PROD-493</t>
  </si>
  <si>
    <t>PROD-731</t>
  </si>
  <si>
    <t>PROD-705</t>
  </si>
  <si>
    <t>PROD-455</t>
  </si>
  <si>
    <t>PROD-763</t>
  </si>
  <si>
    <t>PROD-478</t>
  </si>
  <si>
    <t>PROD-366</t>
  </si>
  <si>
    <t>PROD-716</t>
  </si>
  <si>
    <t>PROD-759</t>
  </si>
  <si>
    <t>PROD-659</t>
  </si>
  <si>
    <t>PROD-514</t>
  </si>
  <si>
    <t>PROD-410</t>
  </si>
  <si>
    <t>PROD-285</t>
  </si>
  <si>
    <t>PROD-666</t>
  </si>
  <si>
    <t>PROD-727</t>
  </si>
  <si>
    <t>PROD-603</t>
  </si>
  <si>
    <t>PROD-802</t>
  </si>
  <si>
    <t>PROD-185</t>
  </si>
  <si>
    <t>PROD-200</t>
  </si>
  <si>
    <t>PROD-495</t>
  </si>
  <si>
    <t>PROD-565</t>
  </si>
  <si>
    <t>PROD-589</t>
  </si>
  <si>
    <t>PROD-689</t>
  </si>
  <si>
    <t>PROD-817</t>
  </si>
  <si>
    <t>PROD-226</t>
  </si>
  <si>
    <t>PROD-236</t>
  </si>
  <si>
    <t>PROD-750</t>
  </si>
  <si>
    <t>PROD-873</t>
  </si>
  <si>
    <t>PROD-879</t>
  </si>
  <si>
    <t>PROD-291</t>
  </si>
  <si>
    <t>PROD-835</t>
  </si>
  <si>
    <t>PROD-678</t>
  </si>
  <si>
    <t>PROD-979</t>
  </si>
  <si>
    <t>PROD-630</t>
  </si>
  <si>
    <t>PROD-417</t>
  </si>
  <si>
    <t>PROD-232</t>
  </si>
  <si>
    <t>PROD-989</t>
  </si>
  <si>
    <t>PROD-926</t>
  </si>
  <si>
    <t>PROD-891</t>
  </si>
  <si>
    <t>PROD-389</t>
  </si>
  <si>
    <t>PROD-904</t>
  </si>
  <si>
    <t>PROD-252</t>
  </si>
  <si>
    <t>PROD-806</t>
  </si>
  <si>
    <t>PROD-700</t>
  </si>
  <si>
    <t>PROD-245</t>
  </si>
  <si>
    <t>PROD-910</t>
  </si>
  <si>
    <t>PROD-170</t>
  </si>
  <si>
    <t>PROD-494</t>
  </si>
  <si>
    <t>PROD-537</t>
  </si>
  <si>
    <t>PROD-141</t>
  </si>
  <si>
    <t>PROD-352</t>
  </si>
  <si>
    <t>PROD-737</t>
  </si>
  <si>
    <t>PROD-673</t>
  </si>
  <si>
    <t>PROD-986</t>
  </si>
  <si>
    <t>PROD-519</t>
  </si>
  <si>
    <t>PROD-621</t>
  </si>
  <si>
    <t>PROD-209</t>
  </si>
  <si>
    <t>PROD-834</t>
  </si>
  <si>
    <t>PROD-559</t>
  </si>
  <si>
    <t>PROD-924</t>
  </si>
  <si>
    <t>PROD-458</t>
  </si>
  <si>
    <t>PROD-898</t>
  </si>
  <si>
    <t>PROD-804</t>
  </si>
  <si>
    <t>PROD-831</t>
  </si>
  <si>
    <t>PROD-786</t>
  </si>
  <si>
    <t>PROD-951</t>
  </si>
  <si>
    <t>PROD-187</t>
  </si>
  <si>
    <t>PROD-644</t>
  </si>
  <si>
    <t>PROD-912</t>
  </si>
  <si>
    <t>PROD-109</t>
  </si>
  <si>
    <t>PROD-257</t>
  </si>
  <si>
    <t>PROD-504</t>
  </si>
  <si>
    <t>PROD-582</t>
  </si>
  <si>
    <t>PROD-306</t>
  </si>
  <si>
    <t>PROD-634</t>
  </si>
  <si>
    <t>PROD-450</t>
  </si>
  <si>
    <t>PROD-434</t>
  </si>
  <si>
    <t>PROD-824</t>
  </si>
  <si>
    <t>PROD-534</t>
  </si>
  <si>
    <t>PROD-888</t>
  </si>
  <si>
    <t>PROD-511</t>
  </si>
  <si>
    <t>PROD-965</t>
  </si>
  <si>
    <t>PROD-188</t>
  </si>
  <si>
    <t>PROD-918</t>
  </si>
  <si>
    <t>PROD-894</t>
  </si>
  <si>
    <t>PROD-845</t>
  </si>
  <si>
    <t>PROD-985</t>
  </si>
  <si>
    <t>PROD-482</t>
  </si>
  <si>
    <t>PROD-892</t>
  </si>
  <si>
    <t>PROD-660</t>
  </si>
  <si>
    <t>PROD-947</t>
  </si>
  <si>
    <t>PROD-336</t>
  </si>
  <si>
    <t>PROD-435</t>
  </si>
  <si>
    <t>PROD-748</t>
  </si>
  <si>
    <t>PROD-106</t>
  </si>
  <si>
    <t>PROD-334</t>
  </si>
  <si>
    <t>PROD-166</t>
  </si>
  <si>
    <t>PROD-685</t>
  </si>
  <si>
    <t>PROD-855</t>
  </si>
  <si>
    <t>PROD-522</t>
  </si>
  <si>
    <t>PROD-981</t>
  </si>
  <si>
    <t>PROD-426</t>
  </si>
  <si>
    <t>PROD-611</t>
  </si>
  <si>
    <t>PROD-599</t>
  </si>
  <si>
    <t>PROD-853</t>
  </si>
  <si>
    <t>PROD-620</t>
  </si>
  <si>
    <t>PROD-807</t>
  </si>
  <si>
    <t>PROD-272</t>
  </si>
  <si>
    <t>PROD-789</t>
  </si>
  <si>
    <t>PROD-930</t>
  </si>
  <si>
    <t>PROD-939</t>
  </si>
  <si>
    <t>PROD-867</t>
  </si>
  <si>
    <t>PROD-747</t>
  </si>
  <si>
    <t>PROD-168</t>
  </si>
  <si>
    <t>PROD-246</t>
  </si>
  <si>
    <t>PROD-913</t>
  </si>
  <si>
    <t>PROD-395</t>
  </si>
  <si>
    <t>PROD-544</t>
  </si>
  <si>
    <t>PROD-387</t>
  </si>
  <si>
    <t>PROD-602</t>
  </si>
  <si>
    <t>PROD-618</t>
  </si>
  <si>
    <t>PROD-958</t>
  </si>
  <si>
    <t>PROD-424</t>
  </si>
  <si>
    <t>PROD-911</t>
  </si>
  <si>
    <t>PROD-500</t>
  </si>
  <si>
    <t>PROD-757</t>
  </si>
  <si>
    <t>PROD-899</t>
  </si>
  <si>
    <t>PROD-535</t>
  </si>
  <si>
    <t>PROD-978</t>
  </si>
  <si>
    <t>PROD-632</t>
  </si>
  <si>
    <t>PROD-826</t>
  </si>
  <si>
    <t>PROD-593</t>
  </si>
  <si>
    <t>PROD-782</t>
  </si>
  <si>
    <t>PROD-310</t>
  </si>
  <si>
    <t>PROD-569</t>
  </si>
  <si>
    <t>PROD-741</t>
  </si>
  <si>
    <t>PROD-591</t>
  </si>
  <si>
    <t>PROD-555</t>
  </si>
  <si>
    <t>PROD-694</t>
  </si>
  <si>
    <t>PROD-120</t>
  </si>
  <si>
    <t>PROD-677</t>
  </si>
  <si>
    <t>PROD-364</t>
  </si>
  <si>
    <t>PROD-509</t>
  </si>
  <si>
    <t>PROD-767</t>
  </si>
  <si>
    <t>PROD-204</t>
  </si>
  <si>
    <t>PROD-542</t>
  </si>
  <si>
    <t>PROD-212</t>
  </si>
  <si>
    <t>PROD-396</t>
  </si>
  <si>
    <t>PROD-662</t>
  </si>
  <si>
    <t>PROD-682</t>
  </si>
  <si>
    <t>PROD-515</t>
  </si>
  <si>
    <t>PROD-608</t>
  </si>
  <si>
    <t>PROD-489</t>
  </si>
  <si>
    <t>PROD-487</t>
  </si>
  <si>
    <t>PROD-392</t>
  </si>
  <si>
    <t>PROD-717</t>
  </si>
  <si>
    <t>PROD-193</t>
  </si>
  <si>
    <t>PROD-359</t>
  </si>
  <si>
    <t>PROD-312</t>
  </si>
  <si>
    <t>PROD-191</t>
  </si>
  <si>
    <t>PROD-113</t>
  </si>
  <si>
    <t>PROD-407</t>
  </si>
  <si>
    <t>PROD-688</t>
  </si>
  <si>
    <t>PROD-818</t>
  </si>
  <si>
    <t>PROD-784</t>
  </si>
  <si>
    <t>PROD-176</t>
  </si>
  <si>
    <t>PROD-523</t>
  </si>
  <si>
    <t>PROD-286</t>
  </si>
  <si>
    <t>PROD-654</t>
  </si>
  <si>
    <t>PROD-897</t>
  </si>
  <si>
    <t>PROD-462</t>
  </si>
  <si>
    <t>PROD-746</t>
  </si>
  <si>
    <t>PROD-162</t>
  </si>
  <si>
    <t>PROD-427</t>
  </si>
  <si>
    <t>PROD-413</t>
  </si>
  <si>
    <t>PROD-902</t>
  </si>
  <si>
    <t>PROD-208</t>
  </si>
  <si>
    <t>PROD-781</t>
  </si>
  <si>
    <t>PROD-712</t>
  </si>
  <si>
    <t>PROD-722</t>
  </si>
  <si>
    <t>PROD-403</t>
  </si>
  <si>
    <t>PROD-785</t>
  </si>
  <si>
    <t>PROD-887</t>
  </si>
  <si>
    <t>PROD-302</t>
  </si>
  <si>
    <t>PROD-696</t>
  </si>
  <si>
    <t>PROD-923</t>
  </si>
  <si>
    <t>PROD-698</t>
  </si>
  <si>
    <t>PROD-715</t>
  </si>
  <si>
    <t>PROD-624</t>
  </si>
  <si>
    <t>PROD-697</t>
  </si>
  <si>
    <t>PROD-496</t>
  </si>
  <si>
    <t>PROD-260</t>
  </si>
  <si>
    <t>PROD-506</t>
  </si>
  <si>
    <t>PROD-362</t>
  </si>
  <si>
    <t>PROD-363</t>
  </si>
  <si>
    <t>PROD-803</t>
  </si>
  <si>
    <t>PROD-776</t>
  </si>
  <si>
    <t>PROD-457</t>
  </si>
  <si>
    <t>PROD-966</t>
  </si>
  <si>
    <t>PROD-255</t>
  </si>
  <si>
    <t>PROD-441</t>
  </si>
  <si>
    <t>PROD-843</t>
  </si>
  <si>
    <t>PROD-149</t>
  </si>
  <si>
    <t>PROD-937</t>
  </si>
  <si>
    <t>PROD-721</t>
  </si>
  <si>
    <t>PROD-861</t>
  </si>
  <si>
    <t>PROD-205</t>
  </si>
  <si>
    <t>PROD-822</t>
  </si>
  <si>
    <t>PROD-329</t>
  </si>
  <si>
    <t>PROD-400</t>
  </si>
  <si>
    <t>PROD-564</t>
  </si>
  <si>
    <t>PROD-906</t>
  </si>
  <si>
    <t>PROD-393</t>
  </si>
  <si>
    <t>PROD-847</t>
  </si>
  <si>
    <t>PROD-461</t>
  </si>
  <si>
    <t>PROD-629</t>
  </si>
  <si>
    <t>PROD-969</t>
  </si>
  <si>
    <t>PROD-160</t>
  </si>
  <si>
    <t>PROD-787</t>
  </si>
  <si>
    <t>PROD-474</t>
  </si>
  <si>
    <t>PROD-305</t>
  </si>
  <si>
    <t>PROD-719</t>
  </si>
  <si>
    <t>PROD-323</t>
  </si>
  <si>
    <t>PROD-868</t>
  </si>
  <si>
    <t>PROD-647</t>
  </si>
  <si>
    <t>PROD-699</t>
  </si>
  <si>
    <t>PROD-691</t>
  </si>
  <si>
    <t>PROD-751</t>
  </si>
  <si>
    <t>PROD-206</t>
  </si>
  <si>
    <t>PROD-597</t>
  </si>
  <si>
    <t>PROD-189</t>
  </si>
  <si>
    <t>PROD-541</t>
  </si>
  <si>
    <t>PROD-248</t>
  </si>
  <si>
    <t>PROD-558</t>
  </si>
  <si>
    <t>PROD-893</t>
  </si>
  <si>
    <t>PROD-755</t>
  </si>
  <si>
    <t>PROD-652</t>
  </si>
  <si>
    <t>PROD-348</t>
  </si>
  <si>
    <t>PROD-437</t>
  </si>
  <si>
    <t>PROD-158</t>
  </si>
  <si>
    <t>PROD-756</t>
  </si>
  <si>
    <t>PROD-428</t>
  </si>
  <si>
    <t>PROD-610</t>
  </si>
  <si>
    <t>PROD-962</t>
  </si>
  <si>
    <t>PROD-375</t>
  </si>
  <si>
    <t>PROD-405</t>
  </si>
  <si>
    <t>PROD-692</t>
  </si>
  <si>
    <t>PROD-967</t>
  </si>
  <si>
    <t>PROD-271</t>
  </si>
  <si>
    <t>PROD-905</t>
  </si>
  <si>
    <t>PROD-331</t>
  </si>
  <si>
    <t>PROD-875</t>
  </si>
  <si>
    <t>PROD-411</t>
  </si>
  <si>
    <t>PROD-946</t>
  </si>
  <si>
    <t>PROD-837</t>
  </si>
  <si>
    <t>PROD-210</t>
  </si>
  <si>
    <t>PROD-931</t>
  </si>
  <si>
    <t>PROD-201</t>
  </si>
  <si>
    <t>PROD-658</t>
  </si>
  <si>
    <t>PROD-796</t>
  </si>
  <si>
    <t>PROD-631</t>
  </si>
  <si>
    <t>PROD-616</t>
  </si>
  <si>
    <t>PROD-186</t>
  </si>
  <si>
    <t>PROD-284</t>
  </si>
  <si>
    <t>PROD-574</t>
  </si>
  <si>
    <t>PROD-466</t>
  </si>
  <si>
    <t>PROD-126</t>
  </si>
  <si>
    <t>PROD-265</t>
  </si>
  <si>
    <t>PROD-322</t>
  </si>
  <si>
    <t>PROD-549</t>
  </si>
  <si>
    <t>PROD-842</t>
  </si>
  <si>
    <t>PROD-127</t>
  </si>
  <si>
    <t>PROD-343</t>
  </si>
  <si>
    <t>PROD-116</t>
  </si>
  <si>
    <t>PROD-852</t>
  </si>
  <si>
    <t>PROD-446</t>
  </si>
  <si>
    <t>PROD-587</t>
  </si>
  <si>
    <t>PROD-173</t>
  </si>
  <si>
    <t>PROD-991</t>
  </si>
  <si>
    <t>PROD-439</t>
  </si>
  <si>
    <t>PROD-529</t>
  </si>
  <si>
    <t>PROD-371</t>
  </si>
  <si>
    <t>PROD-557</t>
  </si>
  <si>
    <t>PROD-415</t>
  </si>
  <si>
    <t>PROD-623</t>
  </si>
  <si>
    <t>PROD-402</t>
  </si>
  <si>
    <t>PROD-963</t>
  </si>
  <si>
    <t>PROD-177</t>
  </si>
  <si>
    <t>PROD-412</t>
  </si>
  <si>
    <t>PROD-241</t>
  </si>
  <si>
    <t>PROD-319</t>
  </si>
  <si>
    <t>PROD-221</t>
  </si>
  <si>
    <t>PROD-882</t>
  </si>
  <si>
    <t>PROD-376</t>
  </si>
  <si>
    <t>PROD-518</t>
  </si>
  <si>
    <t>PROD-972</t>
  </si>
  <si>
    <t>PROD-507</t>
  </si>
  <si>
    <t>PROD-159</t>
  </si>
  <si>
    <t>PROD-724</t>
  </si>
  <si>
    <t>PROD-275</t>
  </si>
  <si>
    <t>PROD-992</t>
  </si>
  <si>
    <t>PROD-769</t>
  </si>
  <si>
    <t>PROD-811</t>
  </si>
  <si>
    <t>PROD-968</t>
  </si>
  <si>
    <t>PROD-728</t>
  </si>
  <si>
    <t>PROD-100</t>
  </si>
  <si>
    <t>PROD-254</t>
  </si>
  <si>
    <t>PROD-144</t>
  </si>
  <si>
    <t>PROD-133</t>
  </si>
  <si>
    <t>PROD-346</t>
  </si>
  <si>
    <t>PROD-219</t>
  </si>
  <si>
    <t>PROD-503</t>
  </si>
  <si>
    <t>PROD-859</t>
  </si>
  <si>
    <t>PROD-432</t>
  </si>
  <si>
    <t>PROD-108</t>
  </si>
  <si>
    <t>PROD-320</t>
  </si>
  <si>
    <t>PROD-261</t>
  </si>
  <si>
    <t>PROD-316</t>
  </si>
  <si>
    <t>PROD-636</t>
  </si>
  <si>
    <t>PROD-704</t>
  </si>
  <si>
    <t>PROD-881</t>
  </si>
  <si>
    <t>PROD-575</t>
  </si>
  <si>
    <t>PROD-586</t>
  </si>
  <si>
    <t>PROD-409</t>
  </si>
  <si>
    <t>PROD-378</t>
  </si>
  <si>
    <t>PROD-169</t>
  </si>
  <si>
    <t>PROD-783</t>
  </si>
  <si>
    <t>PROD-885</t>
  </si>
  <si>
    <t>PROD-429</t>
  </si>
  <si>
    <t>PROD-556</t>
  </si>
  <si>
    <t>PROD-224</t>
  </si>
  <si>
    <t>PROD-294</t>
  </si>
  <si>
    <t>PROD-115</t>
  </si>
  <si>
    <t>PROD-326</t>
  </si>
  <si>
    <t>PROD-481</t>
  </si>
  <si>
    <t>PROD-753</t>
  </si>
  <si>
    <t>PROD-199</t>
  </si>
  <si>
    <t>PROD-155</t>
  </si>
  <si>
    <t>PROD-667</t>
  </si>
  <si>
    <t>PROD-448</t>
  </si>
  <si>
    <t>PROD-465</t>
  </si>
  <si>
    <t>PROD-183</t>
  </si>
  <si>
    <t>PROD-739</t>
  </si>
  <si>
    <t>PROD-872</t>
  </si>
  <si>
    <t>PROD-147</t>
  </si>
  <si>
    <t>PROD-708</t>
  </si>
  <si>
    <t>PROD-840</t>
  </si>
  <si>
    <t>PROD-539</t>
  </si>
  <si>
    <t>PROD-431</t>
  </si>
  <si>
    <t>PROD-793</t>
  </si>
  <si>
    <t>PROD-125</t>
  </si>
  <si>
    <t>PROD-794</t>
  </si>
  <si>
    <t>PROD-971</t>
  </si>
  <si>
    <t>PROD-752</t>
  </si>
  <si>
    <t>PROD-480</t>
  </si>
  <si>
    <t>PROD-338</t>
  </si>
  <si>
    <t>PROD-142</t>
  </si>
  <si>
    <t>PROD-998</t>
  </si>
  <si>
    <t>PROD-982</t>
  </si>
  <si>
    <t>PROD-996</t>
  </si>
  <si>
    <t>PROD-810</t>
  </si>
  <si>
    <t>PROD-548</t>
  </si>
  <si>
    <t>PROD-925</t>
  </si>
  <si>
    <t>PROD-479</t>
  </si>
  <si>
    <t>PROD-595</t>
  </si>
  <si>
    <t>PROD-732</t>
  </si>
  <si>
    <t>PROD-454</t>
  </si>
  <si>
    <t>PROD-536</t>
  </si>
  <si>
    <t>PROD-337</t>
  </si>
  <si>
    <t>PROD-540</t>
  </si>
  <si>
    <t>PROD-143</t>
  </si>
  <si>
    <t>PROD-137</t>
  </si>
  <si>
    <t>PROD-742</t>
  </si>
  <si>
    <t>PROD-896</t>
  </si>
  <si>
    <t>PROD-854</t>
  </si>
  <si>
    <t>PROD-211</t>
  </si>
  <si>
    <t>PROD-118</t>
  </si>
  <si>
    <t>PROD-111</t>
  </si>
  <si>
    <t>PROD-936</t>
  </si>
  <si>
    <t>PROD-505</t>
  </si>
  <si>
    <t>PROD-397</t>
  </si>
  <si>
    <t>PROD-703</t>
  </si>
  <si>
    <t>PROD-382</t>
  </si>
  <si>
    <t>PROD-197</t>
  </si>
  <si>
    <t>PROD-997</t>
  </si>
  <si>
    <t>PROD-863</t>
  </si>
  <si>
    <t>PROD-780</t>
  </si>
  <si>
    <t>PROD-367</t>
  </si>
  <si>
    <t>PROD-238</t>
  </si>
  <si>
    <t>PROD-490</t>
  </si>
  <si>
    <t>PROD-562</t>
  </si>
  <si>
    <t>PROD-451</t>
  </si>
  <si>
    <t>PROD-401</t>
  </si>
  <si>
    <t>PROD-895</t>
  </si>
  <si>
    <t>PROD-499</t>
  </si>
  <si>
    <t>PROD-877</t>
  </si>
  <si>
    <t>PROD-517</t>
  </si>
  <si>
    <t>PROD-139</t>
  </si>
  <si>
    <t>PROD-373</t>
  </si>
  <si>
    <t>PROD-832</t>
  </si>
  <si>
    <t>PROD-543</t>
  </si>
  <si>
    <t>PROD-225</t>
  </si>
  <si>
    <t>PROD-758</t>
  </si>
  <si>
    <t>PROD-922</t>
  </si>
  <si>
    <t>PROD-154</t>
  </si>
  <si>
    <t>PROD-281</t>
  </si>
  <si>
    <t>PROD-350</t>
  </si>
  <si>
    <t>PROD-164</t>
  </si>
  <si>
    <t>PROD-812</t>
  </si>
  <si>
    <t>PROD-909</t>
  </si>
  <si>
    <t>PROD-745</t>
  </si>
  <si>
    <t>PROD-880</t>
  </si>
  <si>
    <t>PROD-333</t>
  </si>
  <si>
    <t>PROD-791</t>
  </si>
  <si>
    <t>PROD-453</t>
  </si>
  <si>
    <t>PROD-283</t>
  </si>
  <si>
    <t>PROD-788</t>
  </si>
  <si>
    <t>PROD-264</t>
  </si>
  <si>
    <t>PROD-524</t>
  </si>
  <si>
    <t>PROD-977</t>
  </si>
  <si>
    <t>PROD-516</t>
  </si>
  <si>
    <t>PROD-553</t>
  </si>
  <si>
    <t>PROD-237</t>
  </si>
  <si>
    <t>PROD-330</t>
  </si>
  <si>
    <t>PROD-301</t>
  </si>
  <si>
    <t>PROD-296</t>
  </si>
  <si>
    <t>PROD-328</t>
  </si>
  <si>
    <t>PROD-869</t>
  </si>
  <si>
    <t>PROD-684</t>
  </si>
  <si>
    <t>PROD-381</t>
  </si>
  <si>
    <t>PROD-304</t>
  </si>
  <si>
    <t>PROD-858</t>
  </si>
  <si>
    <t>PROD-836</t>
  </si>
  <si>
    <t>PROD-889</t>
  </si>
  <si>
    <t>PROD-764</t>
  </si>
  <si>
    <t>PROD-315</t>
  </si>
  <si>
    <t>PROD-207</t>
  </si>
  <si>
    <t>PROD-749</t>
  </si>
  <si>
    <t>PROD-175</t>
  </si>
  <si>
    <t>PROD-683</t>
  </si>
  <si>
    <t>PROD-730</t>
  </si>
  <si>
    <t>PROD-976</t>
  </si>
  <si>
    <t>PROD-648</t>
  </si>
  <si>
    <t>PROD-860</t>
  </si>
  <si>
    <t>PROD-374</t>
  </si>
  <si>
    <t>PROD-681</t>
  </si>
  <si>
    <t>PROD-256</t>
  </si>
  <si>
    <t>PROD-570</t>
  </si>
  <si>
    <t>PROD-195</t>
  </si>
  <si>
    <t>PROD-361</t>
  </si>
  <si>
    <t>PROD-117</t>
  </si>
  <si>
    <t>PROD-577</t>
  </si>
  <si>
    <t>PROD-360</t>
  </si>
  <si>
    <t>PROD-588</t>
  </si>
  <si>
    <t>PROD-581</t>
  </si>
  <si>
    <t>PROD-388</t>
  </si>
  <si>
    <t>PROD-707</t>
  </si>
  <si>
    <t>PROD-131</t>
  </si>
  <si>
    <t>PROD-870</t>
  </si>
  <si>
    <t>PROD-995</t>
  </si>
  <si>
    <t>PROD-290</t>
  </si>
  <si>
    <t>PROD-103</t>
  </si>
  <si>
    <t>PROD-601</t>
  </si>
  <si>
    <t>PROD-369</t>
  </si>
  <si>
    <t>PROD-693</t>
  </si>
  <si>
    <t>PROD-430</t>
  </si>
  <si>
    <t>PROD-952</t>
  </si>
  <si>
    <t>PROD-546</t>
  </si>
  <si>
    <t>PROD-309</t>
  </si>
  <si>
    <t>PROD-670</t>
  </si>
  <si>
    <t>PROD-770</t>
  </si>
  <si>
    <t>PROD-456</t>
  </si>
  <si>
    <t>PROD-398</t>
  </si>
  <si>
    <t>PROD-865</t>
  </si>
  <si>
    <t>PROD-612</t>
  </si>
  <si>
    <t>PROD-339</t>
  </si>
  <si>
    <t>PROD-594</t>
  </si>
  <si>
    <t>PROD-600</t>
  </si>
  <si>
    <t>PROD-980</t>
  </si>
  <si>
    <t>PROD-324</t>
  </si>
  <si>
    <t>PROD-607</t>
  </si>
  <si>
    <t>PROD-492</t>
  </si>
  <si>
    <t>PROD-573</t>
  </si>
  <si>
    <t>PROD-404</t>
  </si>
  <si>
    <t>PROD-335</t>
  </si>
  <si>
    <t>PROD-866</t>
  </si>
  <si>
    <t>PROD-340</t>
  </si>
  <si>
    <t>PROD-901</t>
  </si>
  <si>
    <t>PROD-486</t>
  </si>
  <si>
    <t>PROD-498</t>
  </si>
  <si>
    <t>PROD-614</t>
  </si>
  <si>
    <t>PROD-664</t>
  </si>
  <si>
    <t>PROD-850</t>
  </si>
  <si>
    <t>PROD-900</t>
  </si>
  <si>
    <t>PROD-713</t>
  </si>
  <si>
    <t>PROD-528</t>
  </si>
  <si>
    <t>PROD-828</t>
  </si>
  <si>
    <t>PROD-772</t>
  </si>
  <si>
    <t>PROD-729</t>
  </si>
  <si>
    <t>PROD-521</t>
  </si>
  <si>
    <t>PROD-795</t>
  </si>
  <si>
    <t>PROD-675</t>
  </si>
  <si>
    <t>PROD-773</t>
  </si>
  <si>
    <t>PROD-380</t>
  </si>
  <si>
    <t>PROD-669</t>
  </si>
  <si>
    <t>PROD-844</t>
  </si>
  <si>
    <t>PROD-531</t>
  </si>
  <si>
    <t>PROD-596</t>
  </si>
  <si>
    <t>PROD-449</t>
  </si>
  <si>
    <t>PROD-571</t>
  </si>
  <si>
    <t>PROD-578</t>
  </si>
  <si>
    <t>PROD-821</t>
  </si>
  <si>
    <t>PROD-606</t>
  </si>
  <si>
    <t>PROD-497</t>
  </si>
  <si>
    <t>PROD-270</t>
  </si>
  <si>
    <t>PROD-217</t>
  </si>
  <si>
    <t>PROD-779</t>
  </si>
  <si>
    <t>PROD-438</t>
  </si>
  <si>
    <t>PROD-710</t>
  </si>
  <si>
    <t>PROD-805</t>
  </si>
  <si>
    <t>PROD-192</t>
  </si>
  <si>
    <t>PROD-823</t>
  </si>
  <si>
    <t>PROD-970</t>
  </si>
  <si>
    <t>PROD-638</t>
  </si>
  <si>
    <t>PROD-299</t>
  </si>
  <si>
    <t>PROD-231</t>
  </si>
  <si>
    <t>PROD-532</t>
  </si>
  <si>
    <t>PROD-604</t>
  </si>
  <si>
    <t>PROD-874</t>
  </si>
  <si>
    <t>PROD-347</t>
  </si>
  <si>
    <t>Furniture</t>
  </si>
  <si>
    <t>Office Supplies</t>
  </si>
  <si>
    <t>Technology</t>
  </si>
  <si>
    <t>Tables</t>
  </si>
  <si>
    <t>Binders</t>
  </si>
  <si>
    <t>Storage</t>
  </si>
  <si>
    <t>Laptops</t>
  </si>
  <si>
    <t>Phones</t>
  </si>
  <si>
    <t>Accessories</t>
  </si>
  <si>
    <t>Bookcases</t>
  </si>
  <si>
    <t>Art Supplies</t>
  </si>
  <si>
    <t>Paper</t>
  </si>
  <si>
    <t>Chairs</t>
  </si>
  <si>
    <t>Desks</t>
  </si>
  <si>
    <t>Printers</t>
  </si>
  <si>
    <t>Tables Product 018</t>
  </si>
  <si>
    <t>Binders Product 064</t>
  </si>
  <si>
    <t>Binders Product 060</t>
  </si>
  <si>
    <t>Storage Product 095</t>
  </si>
  <si>
    <t>Laptops Product 065</t>
  </si>
  <si>
    <t>Phones Product 090</t>
  </si>
  <si>
    <t>Binders Product 027</t>
  </si>
  <si>
    <t>Binders Product 005</t>
  </si>
  <si>
    <t>Laptops Product 015</t>
  </si>
  <si>
    <t>Accessories Product 071</t>
  </si>
  <si>
    <t>Bookcases Product 059</t>
  </si>
  <si>
    <t>Art Supplies Product 073</t>
  </si>
  <si>
    <t>Accessories Product 093</t>
  </si>
  <si>
    <t>Bookcases Product 032</t>
  </si>
  <si>
    <t>Paper Product 011</t>
  </si>
  <si>
    <t>Accessories Product 011</t>
  </si>
  <si>
    <t>Phones Product 087</t>
  </si>
  <si>
    <t>Paper Product 078</t>
  </si>
  <si>
    <t>Storage Product 064</t>
  </si>
  <si>
    <t>Laptops Product 047</t>
  </si>
  <si>
    <t>Bookcases Product 012</t>
  </si>
  <si>
    <t>Chairs Product 076</t>
  </si>
  <si>
    <t>Chairs Product 046</t>
  </si>
  <si>
    <t>Art Supplies Product 002</t>
  </si>
  <si>
    <t>Tables Product 019</t>
  </si>
  <si>
    <t>Tables Product 037</t>
  </si>
  <si>
    <t>Tables Product 035</t>
  </si>
  <si>
    <t>Chairs Product 096</t>
  </si>
  <si>
    <t>Desks Product 081</t>
  </si>
  <si>
    <t>Binders Product 043</t>
  </si>
  <si>
    <t>Accessories Product 038</t>
  </si>
  <si>
    <t>Art Supplies Product 080</t>
  </si>
  <si>
    <t>Binders Product 073</t>
  </si>
  <si>
    <t>Desks Product 058</t>
  </si>
  <si>
    <t>Desks Product 020</t>
  </si>
  <si>
    <t>Laptops Product 087</t>
  </si>
  <si>
    <t>Tables Product 078</t>
  </si>
  <si>
    <t>Accessories Product 029</t>
  </si>
  <si>
    <t>Laptops Product 088</t>
  </si>
  <si>
    <t>Storage Product 051</t>
  </si>
  <si>
    <t>Phones Product 091</t>
  </si>
  <si>
    <t>Binders Product 026</t>
  </si>
  <si>
    <t>Bookcases Product 019</t>
  </si>
  <si>
    <t>Art Supplies Product 007</t>
  </si>
  <si>
    <t>Bookcases Product 088</t>
  </si>
  <si>
    <t>Printers Product 057</t>
  </si>
  <si>
    <t>Paper Product 030</t>
  </si>
  <si>
    <t>Printers Product 081</t>
  </si>
  <si>
    <t>Tables Product 034</t>
  </si>
  <si>
    <t>Art Supplies Product 050</t>
  </si>
  <si>
    <t>Printers Product 048</t>
  </si>
  <si>
    <t>Tables Product 071</t>
  </si>
  <si>
    <t>Binders Product 042</t>
  </si>
  <si>
    <t>Binders Product 015</t>
  </si>
  <si>
    <t>Paper Product 082</t>
  </si>
  <si>
    <t>Printers Product 016</t>
  </si>
  <si>
    <t>Storage Product 096</t>
  </si>
  <si>
    <t>Accessories Product 012</t>
  </si>
  <si>
    <t>Storage Product 045</t>
  </si>
  <si>
    <t>Art Supplies Product 041</t>
  </si>
  <si>
    <t>Binders Product 057</t>
  </si>
  <si>
    <t>Printers Product 026</t>
  </si>
  <si>
    <t>Art Supplies Product 066</t>
  </si>
  <si>
    <t>Paper Product 026</t>
  </si>
  <si>
    <t>Laptops Product 092</t>
  </si>
  <si>
    <t>Laptops Product 085</t>
  </si>
  <si>
    <t>Paper Product 018</t>
  </si>
  <si>
    <t>Storage Product 050</t>
  </si>
  <si>
    <t>Art Supplies Product 087</t>
  </si>
  <si>
    <t>Printers Product 014</t>
  </si>
  <si>
    <t>Tables Product 001</t>
  </si>
  <si>
    <t>Paper Product 070</t>
  </si>
  <si>
    <t>Desks Product 063</t>
  </si>
  <si>
    <t>Desks Product 018</t>
  </si>
  <si>
    <t>Storage Product 011</t>
  </si>
  <si>
    <t>Bookcases Product 023</t>
  </si>
  <si>
    <t>Storage Product 002</t>
  </si>
  <si>
    <t>Binders Product 059</t>
  </si>
  <si>
    <t>Tables Product 063</t>
  </si>
  <si>
    <t>Chairs Product 081</t>
  </si>
  <si>
    <t>Laptops Product 048</t>
  </si>
  <si>
    <t>Phones Product 001</t>
  </si>
  <si>
    <t>Phones Product 071</t>
  </si>
  <si>
    <t>Binders Product 023</t>
  </si>
  <si>
    <t>Paper Product 047</t>
  </si>
  <si>
    <t>Chairs Product 031</t>
  </si>
  <si>
    <t>Art Supplies Product 035</t>
  </si>
  <si>
    <t>Binders Product 006</t>
  </si>
  <si>
    <t>Binders Product 009</t>
  </si>
  <si>
    <t>Storage Product 097</t>
  </si>
  <si>
    <t>Chairs Product 060</t>
  </si>
  <si>
    <t>Chairs Product 024</t>
  </si>
  <si>
    <t>Paper Product 067</t>
  </si>
  <si>
    <t>Printers Product 040</t>
  </si>
  <si>
    <t>Paper Product 054</t>
  </si>
  <si>
    <t>Accessories Product 079</t>
  </si>
  <si>
    <t>Desks Product 078</t>
  </si>
  <si>
    <t>Binders Product 082</t>
  </si>
  <si>
    <t>Bookcases Product 021</t>
  </si>
  <si>
    <t>Laptops Product 062</t>
  </si>
  <si>
    <t>Bookcases Product 060</t>
  </si>
  <si>
    <t>Paper Product 057</t>
  </si>
  <si>
    <t>Tables Product 021</t>
  </si>
  <si>
    <t>Laptops Product 014</t>
  </si>
  <si>
    <t>Chairs Product 089</t>
  </si>
  <si>
    <t>Tables Product 049</t>
  </si>
  <si>
    <t>Bookcases Product 080</t>
  </si>
  <si>
    <t>Art Supplies Product 071</t>
  </si>
  <si>
    <t>Art Supplies Product 077</t>
  </si>
  <si>
    <t>Accessories Product 078</t>
  </si>
  <si>
    <t>Desks Product 051</t>
  </si>
  <si>
    <t>Printers Product 015</t>
  </si>
  <si>
    <t>Desks Product 011</t>
  </si>
  <si>
    <t>Tables Product 041</t>
  </si>
  <si>
    <t>Tables Product 004</t>
  </si>
  <si>
    <t>Laptops Product 011</t>
  </si>
  <si>
    <t>Art Supplies Product 021</t>
  </si>
  <si>
    <t>Printers Product 006</t>
  </si>
  <si>
    <t>Binders Product 088</t>
  </si>
  <si>
    <t>Tables Product 033</t>
  </si>
  <si>
    <t>Printers Product 090</t>
  </si>
  <si>
    <t>Desks Product 060</t>
  </si>
  <si>
    <t>Binders Product 007</t>
  </si>
  <si>
    <t>Desks Product 093</t>
  </si>
  <si>
    <t>Phones Product 012</t>
  </si>
  <si>
    <t>Paper Product 058</t>
  </si>
  <si>
    <t>Tables Product 038</t>
  </si>
  <si>
    <t>Storage Product 036</t>
  </si>
  <si>
    <t>Chairs Product 041</t>
  </si>
  <si>
    <t>Bookcases Product 091</t>
  </si>
  <si>
    <t>Printers Product 071</t>
  </si>
  <si>
    <t>Accessories Product 057</t>
  </si>
  <si>
    <t>Storage Product 049</t>
  </si>
  <si>
    <t>Printers Product 037</t>
  </si>
  <si>
    <t>Binders Product 068</t>
  </si>
  <si>
    <t>Bookcases Product 065</t>
  </si>
  <si>
    <t>Printers Product 061</t>
  </si>
  <si>
    <t>Printers Product 010</t>
  </si>
  <si>
    <t>Accessories Product 054</t>
  </si>
  <si>
    <t>Binders Product 021</t>
  </si>
  <si>
    <t>Bookcases Product 087</t>
  </si>
  <si>
    <t>Tables Product 042</t>
  </si>
  <si>
    <t>Bookcases Product 039</t>
  </si>
  <si>
    <t>Printers Product 083</t>
  </si>
  <si>
    <t>Desks Product 035</t>
  </si>
  <si>
    <t>Laptops Product 086</t>
  </si>
  <si>
    <t>Paper Product 038</t>
  </si>
  <si>
    <t>Bookcases Product 084</t>
  </si>
  <si>
    <t>Desks Product 057</t>
  </si>
  <si>
    <t>Bookcases Product 095</t>
  </si>
  <si>
    <t>Bookcases Product 050</t>
  </si>
  <si>
    <t>Binders Product 066</t>
  </si>
  <si>
    <t>Desks Product 004</t>
  </si>
  <si>
    <t>Printers Product 068</t>
  </si>
  <si>
    <t>Paper Product 043</t>
  </si>
  <si>
    <t>Accessories Product 041</t>
  </si>
  <si>
    <t>Phones Product 005</t>
  </si>
  <si>
    <t>Binders Product 070</t>
  </si>
  <si>
    <t>Paper Product 005</t>
  </si>
  <si>
    <t>Chairs Product 045</t>
  </si>
  <si>
    <t>Printers Product 087</t>
  </si>
  <si>
    <t>Printers Product 039</t>
  </si>
  <si>
    <t>Storage Product 085</t>
  </si>
  <si>
    <t>Binders Product 016</t>
  </si>
  <si>
    <t>Tables Product 093</t>
  </si>
  <si>
    <t>Art Supplies Product 023</t>
  </si>
  <si>
    <t>Phones Product 088</t>
  </si>
  <si>
    <t>Binders Product 046</t>
  </si>
  <si>
    <t>Tables Product 058</t>
  </si>
  <si>
    <t>Laptops Product 001</t>
  </si>
  <si>
    <t>Art Supplies Product 043</t>
  </si>
  <si>
    <t>Phones Product 032</t>
  </si>
  <si>
    <t>Art Supplies Product 089</t>
  </si>
  <si>
    <t>Printers Product 080</t>
  </si>
  <si>
    <t>Binders Product 080</t>
  </si>
  <si>
    <t>Art Supplies Product 082</t>
  </si>
  <si>
    <t>Desks Product 069</t>
  </si>
  <si>
    <t>Chairs Product 006</t>
  </si>
  <si>
    <t>Art Supplies Product 045</t>
  </si>
  <si>
    <t>Tables Product 031</t>
  </si>
  <si>
    <t>Binders Product 062</t>
  </si>
  <si>
    <t>Accessories Product 047</t>
  </si>
  <si>
    <t>Paper Product 071</t>
  </si>
  <si>
    <t>Paper Product 094</t>
  </si>
  <si>
    <t>Laptops Product 096</t>
  </si>
  <si>
    <t>Tables Product 007</t>
  </si>
  <si>
    <t>Tables Product 050</t>
  </si>
  <si>
    <t>Tables Product 006</t>
  </si>
  <si>
    <t>Laptops Product 055</t>
  </si>
  <si>
    <t>Storage Product 059</t>
  </si>
  <si>
    <t>Tables Product 068</t>
  </si>
  <si>
    <t>Phones Product 011</t>
  </si>
  <si>
    <t>Storage Product 087</t>
  </si>
  <si>
    <t>Tables Product 090</t>
  </si>
  <si>
    <t>Laptops Product 040</t>
  </si>
  <si>
    <t>Paper Product 069</t>
  </si>
  <si>
    <t>Storage Product 027</t>
  </si>
  <si>
    <t>Bookcases Product 025</t>
  </si>
  <si>
    <t>Laptops Product 025</t>
  </si>
  <si>
    <t>Binders Product 069</t>
  </si>
  <si>
    <t>Desks Product 089</t>
  </si>
  <si>
    <t>Tables Product 036</t>
  </si>
  <si>
    <t>Chairs Product 016</t>
  </si>
  <si>
    <t>Bookcases Product 014</t>
  </si>
  <si>
    <t>Chairs Product 033</t>
  </si>
  <si>
    <t>Desks Product 091</t>
  </si>
  <si>
    <t>Art Supplies Product 017</t>
  </si>
  <si>
    <t>Art Supplies Product 001</t>
  </si>
  <si>
    <t>Paper Product 092</t>
  </si>
  <si>
    <t>Bookcases Product 026</t>
  </si>
  <si>
    <t>Desks Product 066</t>
  </si>
  <si>
    <t>Storage Product 076</t>
  </si>
  <si>
    <t>Tables Product 012</t>
  </si>
  <si>
    <t>Printers Product 063</t>
  </si>
  <si>
    <t>Storage Product 082</t>
  </si>
  <si>
    <t>Accessories Product 025</t>
  </si>
  <si>
    <t>Bookcases Product 033</t>
  </si>
  <si>
    <t>Printers Product 019</t>
  </si>
  <si>
    <t>Accessories Product 048</t>
  </si>
  <si>
    <t>Binders Product 013</t>
  </si>
  <si>
    <t>Binders Product 089</t>
  </si>
  <si>
    <t>Accessories Product 035</t>
  </si>
  <si>
    <t>Binders Product 012</t>
  </si>
  <si>
    <t>Bookcases Product 017</t>
  </si>
  <si>
    <t>Paper Product 014</t>
  </si>
  <si>
    <t>Storage Product 062</t>
  </si>
  <si>
    <t>Desks Product 008</t>
  </si>
  <si>
    <t>Paper Product 096</t>
  </si>
  <si>
    <t>Chairs Product 069</t>
  </si>
  <si>
    <t>Paper Product 023</t>
  </si>
  <si>
    <t>Accessories Product 010</t>
  </si>
  <si>
    <t>Storage Product 070</t>
  </si>
  <si>
    <t>Accessories Product 064</t>
  </si>
  <si>
    <t>Accessories Product 055</t>
  </si>
  <si>
    <t>Chairs Product 071</t>
  </si>
  <si>
    <t>Storage Product 081</t>
  </si>
  <si>
    <t>Phones Product 029</t>
  </si>
  <si>
    <t>Accessories Product 097</t>
  </si>
  <si>
    <t>Storage Product 086</t>
  </si>
  <si>
    <t>Art Supplies Product 063</t>
  </si>
  <si>
    <t>Binders Product 084</t>
  </si>
  <si>
    <t>Tables Product 099</t>
  </si>
  <si>
    <t>Paper Product 041</t>
  </si>
  <si>
    <t>Laptops Product 031</t>
  </si>
  <si>
    <t>Paper Product 015</t>
  </si>
  <si>
    <t>Tables Product 026</t>
  </si>
  <si>
    <t>Paper Product 028</t>
  </si>
  <si>
    <t>Chairs Product 002</t>
  </si>
  <si>
    <t>Binders Product 040</t>
  </si>
  <si>
    <t>Phones Product 007</t>
  </si>
  <si>
    <t>Printers Product 072</t>
  </si>
  <si>
    <t>Accessories Product 034</t>
  </si>
  <si>
    <t>Storage Product 079</t>
  </si>
  <si>
    <t>Tables Product 048</t>
  </si>
  <si>
    <t>Phones Product 023</t>
  </si>
  <si>
    <t>Art Supplies Product 008</t>
  </si>
  <si>
    <t>Binders Product 074</t>
  </si>
  <si>
    <t>Laptops Product 053</t>
  </si>
  <si>
    <t>Tables Product 017</t>
  </si>
  <si>
    <t>Accessories Product 026</t>
  </si>
  <si>
    <t>Printers Product 074</t>
  </si>
  <si>
    <t>Accessories Product 018</t>
  </si>
  <si>
    <t>Storage Product 075</t>
  </si>
  <si>
    <t>Desks Product 068</t>
  </si>
  <si>
    <t>Accessories Product 083</t>
  </si>
  <si>
    <t>Phones Product 017</t>
  </si>
  <si>
    <t>Tables Product 062</t>
  </si>
  <si>
    <t>Storage Product 057</t>
  </si>
  <si>
    <t>Accessories Product 016</t>
  </si>
  <si>
    <t>Paper Product 049</t>
  </si>
  <si>
    <t>Storage Product 020</t>
  </si>
  <si>
    <t>Chairs Product 065</t>
  </si>
  <si>
    <t>Paper Product 010</t>
  </si>
  <si>
    <t>Desks Product 025</t>
  </si>
  <si>
    <t>Storage Product 019</t>
  </si>
  <si>
    <t>Bookcases Product 090</t>
  </si>
  <si>
    <t>Bookcases Product 068</t>
  </si>
  <si>
    <t>Laptops Product 032</t>
  </si>
  <si>
    <t>Desks Product 044</t>
  </si>
  <si>
    <t>Bookcases Product 052</t>
  </si>
  <si>
    <t>Phones Product 058</t>
  </si>
  <si>
    <t>Art Supplies Product 064</t>
  </si>
  <si>
    <t>Phones Product 038</t>
  </si>
  <si>
    <t>Paper Product 088</t>
  </si>
  <si>
    <t>Binders Product 029</t>
  </si>
  <si>
    <t>Binders Product 049</t>
  </si>
  <si>
    <t>Desks Product 071</t>
  </si>
  <si>
    <t>Accessories Product 075</t>
  </si>
  <si>
    <t>Phones Product 004</t>
  </si>
  <si>
    <t>Binders Product 055</t>
  </si>
  <si>
    <t>Paper Product 091</t>
  </si>
  <si>
    <t>Bookcases Product 036</t>
  </si>
  <si>
    <t>Art Supplies Product 047</t>
  </si>
  <si>
    <t>Bookcases Product 074</t>
  </si>
  <si>
    <t>Art Supplies Product 076</t>
  </si>
  <si>
    <t>Printers Product 011</t>
  </si>
  <si>
    <t>Storage Product 015</t>
  </si>
  <si>
    <t>Paper Product 099</t>
  </si>
  <si>
    <t>Phones Product 075</t>
  </si>
  <si>
    <t>Tables Product 080</t>
  </si>
  <si>
    <t>Binders Product 077</t>
  </si>
  <si>
    <t>Bookcases Product 009</t>
  </si>
  <si>
    <t>Storage Product 048</t>
  </si>
  <si>
    <t>Paper Product 059</t>
  </si>
  <si>
    <t>Desks Product 047</t>
  </si>
  <si>
    <t>Paper Product 029</t>
  </si>
  <si>
    <t>Phones Product 061</t>
  </si>
  <si>
    <t>Laptops Product 033</t>
  </si>
  <si>
    <t>Chairs Product 052</t>
  </si>
  <si>
    <t>Paper Product 024</t>
  </si>
  <si>
    <t>Storage Product 072</t>
  </si>
  <si>
    <t>Storage Product 090</t>
  </si>
  <si>
    <t>Phones Product 042</t>
  </si>
  <si>
    <t>Printers Product 024</t>
  </si>
  <si>
    <t>Binders Product 025</t>
  </si>
  <si>
    <t>Phones Product 094</t>
  </si>
  <si>
    <t>Printers Product 004</t>
  </si>
  <si>
    <t>Art Supplies Product 033</t>
  </si>
  <si>
    <t>Phones Product 095</t>
  </si>
  <si>
    <t>Art Supplies Product 056</t>
  </si>
  <si>
    <t>Binders Product 017</t>
  </si>
  <si>
    <t>Paper Product 072</t>
  </si>
  <si>
    <t>Bookcases Product 035</t>
  </si>
  <si>
    <t>Accessories Product 003</t>
  </si>
  <si>
    <t>Art Supplies Product 091</t>
  </si>
  <si>
    <t>Storage Product 054</t>
  </si>
  <si>
    <t>Paper Product 095</t>
  </si>
  <si>
    <t>Laptops Product 041</t>
  </si>
  <si>
    <t>Tables Product 022</t>
  </si>
  <si>
    <t>Storage Product 074</t>
  </si>
  <si>
    <t>Bookcases Product 046</t>
  </si>
  <si>
    <t>Storage Product 052</t>
  </si>
  <si>
    <t>Binders Product 031</t>
  </si>
  <si>
    <t>Art Supplies Product 068</t>
  </si>
  <si>
    <t>Binders Product 078</t>
  </si>
  <si>
    <t>Chairs Product 055</t>
  </si>
  <si>
    <t>Laptops Product 022</t>
  </si>
  <si>
    <t>Art Supplies Product 062</t>
  </si>
  <si>
    <t>Art Supplies Product 052</t>
  </si>
  <si>
    <t>Accessories Product 092</t>
  </si>
  <si>
    <t>Storage Product 093</t>
  </si>
  <si>
    <t>Desks Product 027</t>
  </si>
  <si>
    <t>Chairs Product 077</t>
  </si>
  <si>
    <t>Phones Product 074</t>
  </si>
  <si>
    <t>Accessories Product 062</t>
  </si>
  <si>
    <t>Storage Product 026</t>
  </si>
  <si>
    <t>Phones Product 078</t>
  </si>
  <si>
    <t>Laptops Product 071</t>
  </si>
  <si>
    <t>Paper Product 027</t>
  </si>
  <si>
    <t>Art Supplies Product 025</t>
  </si>
  <si>
    <t>Binders Product 056</t>
  </si>
  <si>
    <t>Binders Product 063</t>
  </si>
  <si>
    <t>Accessories Product 036</t>
  </si>
  <si>
    <t>Binders Product 075</t>
  </si>
  <si>
    <t>Paper Product 068</t>
  </si>
  <si>
    <t>Accessories Product 068</t>
  </si>
  <si>
    <t>Laptops Product 051</t>
  </si>
  <si>
    <t>Desks Product 017</t>
  </si>
  <si>
    <t>Printers Product 084</t>
  </si>
  <si>
    <t>Paper Product 052</t>
  </si>
  <si>
    <t>Bookcases Product 086</t>
  </si>
  <si>
    <t>Laptops Product 003</t>
  </si>
  <si>
    <t>Bookcases Product 031</t>
  </si>
  <si>
    <t>Bookcases Product 048</t>
  </si>
  <si>
    <t>Laptops Product 076</t>
  </si>
  <si>
    <t>Chairs Product 009</t>
  </si>
  <si>
    <t>Tables Product 013</t>
  </si>
  <si>
    <t>Tables Product 083</t>
  </si>
  <si>
    <t>Binders Product 072</t>
  </si>
  <si>
    <t>Printers Product 047</t>
  </si>
  <si>
    <t>Bookcases Product 004</t>
  </si>
  <si>
    <t>Storage Product 022</t>
  </si>
  <si>
    <t>Desks Product 036</t>
  </si>
  <si>
    <t>Desks Product 032</t>
  </si>
  <si>
    <t>Printers Product 097</t>
  </si>
  <si>
    <t>Printers Product 009</t>
  </si>
  <si>
    <t>Art Supplies Product 093</t>
  </si>
  <si>
    <t>Paper Product 006</t>
  </si>
  <si>
    <t>Binders Product 048</t>
  </si>
  <si>
    <t>Chairs Product 042</t>
  </si>
  <si>
    <t>Bookcases Product 075</t>
  </si>
  <si>
    <t>Art Supplies Product 019</t>
  </si>
  <si>
    <t>Art Supplies Product 067</t>
  </si>
  <si>
    <t>Paper Product 087</t>
  </si>
  <si>
    <t>Art Supplies Product 040</t>
  </si>
  <si>
    <t>Chairs Product 010</t>
  </si>
  <si>
    <t>Laptops Product 098</t>
  </si>
  <si>
    <t>Art Supplies Product 088</t>
  </si>
  <si>
    <t>Chairs Product 091</t>
  </si>
  <si>
    <t>Art Supplies Product 092</t>
  </si>
  <si>
    <t>Paper Product 039</t>
  </si>
  <si>
    <t>Storage Product 009</t>
  </si>
  <si>
    <t>Binders Product 014</t>
  </si>
  <si>
    <t>Desks Product 099</t>
  </si>
  <si>
    <t>Printers Product 036</t>
  </si>
  <si>
    <t>Storage Product 032</t>
  </si>
  <si>
    <t>Storage Product 018</t>
  </si>
  <si>
    <t>Chairs Product 088</t>
  </si>
  <si>
    <t>Printers Product 059</t>
  </si>
  <si>
    <t>Bookcases Product 064</t>
  </si>
  <si>
    <t>Desks Product 021</t>
  </si>
  <si>
    <t>Storage Product 012</t>
  </si>
  <si>
    <t>Chairs Product 013</t>
  </si>
  <si>
    <t>Storage Product 060</t>
  </si>
  <si>
    <t>Art Supplies Product 038</t>
  </si>
  <si>
    <t>Tables Product 008</t>
  </si>
  <si>
    <t>Printers Product 035</t>
  </si>
  <si>
    <t>Binders Product 010</t>
  </si>
  <si>
    <t>Bookcases Product 071</t>
  </si>
  <si>
    <t>Tables Product 096</t>
  </si>
  <si>
    <t>Chairs Product 018</t>
  </si>
  <si>
    <t>Binders Product 034</t>
  </si>
  <si>
    <t>Printers Product 060</t>
  </si>
  <si>
    <t>Storage Product 055</t>
  </si>
  <si>
    <t>Desks Product 090</t>
  </si>
  <si>
    <t>Desks Product 029</t>
  </si>
  <si>
    <t>Tables Product 020</t>
  </si>
  <si>
    <t>Storage Product 056</t>
  </si>
  <si>
    <t>Laptops Product 028</t>
  </si>
  <si>
    <t>Phones Product 014</t>
  </si>
  <si>
    <t>Printers Product 099</t>
  </si>
  <si>
    <t>Chairs Product 026</t>
  </si>
  <si>
    <t>Storage Product 001</t>
  </si>
  <si>
    <t>Tables Product 047</t>
  </si>
  <si>
    <t>Printers Product 043</t>
  </si>
  <si>
    <t>Desks Product 016</t>
  </si>
  <si>
    <t>Art Supplies Product 039</t>
  </si>
  <si>
    <t>Binders Product 095</t>
  </si>
  <si>
    <t>Storage Product 042</t>
  </si>
  <si>
    <t>Chairs Product 058</t>
  </si>
  <si>
    <t>Desks Product 084</t>
  </si>
  <si>
    <t>Art Supplies Product 032</t>
  </si>
  <si>
    <t>Storage Product 004</t>
  </si>
  <si>
    <t>Phones Product 051</t>
  </si>
  <si>
    <t>Accessories Product 015</t>
  </si>
  <si>
    <t>Accessories Product 061</t>
  </si>
  <si>
    <t>Bookcases Product 053</t>
  </si>
  <si>
    <t>Paper Product 084</t>
  </si>
  <si>
    <t>Laptops Product 090</t>
  </si>
  <si>
    <t>Binders Product 018</t>
  </si>
  <si>
    <t>Storage Product 058</t>
  </si>
  <si>
    <t>Tables Product 087</t>
  </si>
  <si>
    <t>Chairs Product 062</t>
  </si>
  <si>
    <t>Paper Product 086</t>
  </si>
  <si>
    <t>Phones Product 003</t>
  </si>
  <si>
    <t>Laptops Product 035</t>
  </si>
  <si>
    <t>Phones Product 053</t>
  </si>
  <si>
    <t>Desks Product 042</t>
  </si>
  <si>
    <t>Phones Product 030</t>
  </si>
  <si>
    <t>Storage Product 078</t>
  </si>
  <si>
    <t>Storage Product 033</t>
  </si>
  <si>
    <t>Bookcases Product 024</t>
  </si>
  <si>
    <t>Storage Product 063</t>
  </si>
  <si>
    <t>Binders Product 037</t>
  </si>
  <si>
    <t>Art Supplies Product 084</t>
  </si>
  <si>
    <t>Phones Product 065</t>
  </si>
  <si>
    <t>Paper Product 044</t>
  </si>
  <si>
    <t>Phones Product 016</t>
  </si>
  <si>
    <t>Bookcases Product 055</t>
  </si>
  <si>
    <t>Storage Product 014</t>
  </si>
  <si>
    <t>Desks Product 039</t>
  </si>
  <si>
    <t>Storage Product 028</t>
  </si>
  <si>
    <t>Phones Product 062</t>
  </si>
  <si>
    <t>Desks Product 094</t>
  </si>
  <si>
    <t>Storage Product 084</t>
  </si>
  <si>
    <t>Bookcases Product 042</t>
  </si>
  <si>
    <t>Accessories Product 081</t>
  </si>
  <si>
    <t>Accessories Product 056</t>
  </si>
  <si>
    <t>Laptops Product 016</t>
  </si>
  <si>
    <t>Chairs Product 092</t>
  </si>
  <si>
    <t>Accessories Product 072</t>
  </si>
  <si>
    <t>Storage Product 024</t>
  </si>
  <si>
    <t>Desks Product 072</t>
  </si>
  <si>
    <t>Accessories Product 004</t>
  </si>
  <si>
    <t>Bookcases Product 073</t>
  </si>
  <si>
    <t>Accessories Product 013</t>
  </si>
  <si>
    <t>Accessories Product 039</t>
  </si>
  <si>
    <t>Art Supplies Product 013</t>
  </si>
  <si>
    <t>Chairs Product 048</t>
  </si>
  <si>
    <t>Art Supplies Product 012</t>
  </si>
  <si>
    <t>Bookcases Product 070</t>
  </si>
  <si>
    <t>Tables Product 039</t>
  </si>
  <si>
    <t>Printers Product 053</t>
  </si>
  <si>
    <t>Phones Product 041</t>
  </si>
  <si>
    <t>Chairs Product 099</t>
  </si>
  <si>
    <t>Tables Product 009</t>
  </si>
  <si>
    <t>Desks Product 030</t>
  </si>
  <si>
    <t>Tables Product 055</t>
  </si>
  <si>
    <t>Phones Product 070</t>
  </si>
  <si>
    <t>Laptops Product 072</t>
  </si>
  <si>
    <t>Tables Product 025</t>
  </si>
  <si>
    <t>Paper Product 098</t>
  </si>
  <si>
    <t>Paper Product 021</t>
  </si>
  <si>
    <t>Storage Product 021</t>
  </si>
  <si>
    <t>Desks Product 059</t>
  </si>
  <si>
    <t>Binders Product 038</t>
  </si>
  <si>
    <t>Storage Product 068</t>
  </si>
  <si>
    <t>Art Supplies Product 096</t>
  </si>
  <si>
    <t>Phones Product 039</t>
  </si>
  <si>
    <t>Tables Product 029</t>
  </si>
  <si>
    <t>Tables Product 060</t>
  </si>
  <si>
    <t>Phones Product 045</t>
  </si>
  <si>
    <t>Desks Product 038</t>
  </si>
  <si>
    <t>Printers Product 012</t>
  </si>
  <si>
    <t>Bookcases Product 096</t>
  </si>
  <si>
    <t>Paper Product 090</t>
  </si>
  <si>
    <t>Laptops Product 044</t>
  </si>
  <si>
    <t>Accessories Product 094</t>
  </si>
  <si>
    <t>Tables Product 002</t>
  </si>
  <si>
    <t>Laptops Product 078</t>
  </si>
  <si>
    <t>Paper Product 036</t>
  </si>
  <si>
    <t>Desks Product 086</t>
  </si>
  <si>
    <t>Tables Product 092</t>
  </si>
  <si>
    <t>Binders Product 028</t>
  </si>
  <si>
    <t>Paper Product 007</t>
  </si>
  <si>
    <t>Printers Product 078</t>
  </si>
  <si>
    <t>Tables Product 081</t>
  </si>
  <si>
    <t>Art Supplies Product 081</t>
  </si>
  <si>
    <t>Art Supplies Product 014</t>
  </si>
  <si>
    <t>Storage Product 010</t>
  </si>
  <si>
    <t>Laptops Product 074</t>
  </si>
  <si>
    <t>Printers Product 020</t>
  </si>
  <si>
    <t>Phones Product 022</t>
  </si>
  <si>
    <t>Chairs Product 080</t>
  </si>
  <si>
    <t>Printers Product 041</t>
  </si>
  <si>
    <t>Printers Product 044</t>
  </si>
  <si>
    <t>Paper Product 019</t>
  </si>
  <si>
    <t>Desks Product 055</t>
  </si>
  <si>
    <t>Bookcases Product 015</t>
  </si>
  <si>
    <t>Desks Product 015</t>
  </si>
  <si>
    <t>Bookcases Product 062</t>
  </si>
  <si>
    <t>Printers Product 025</t>
  </si>
  <si>
    <t>Accessories Product 087</t>
  </si>
  <si>
    <t>Binders Product 019</t>
  </si>
  <si>
    <t>Art Supplies Product 042</t>
  </si>
  <si>
    <t>Printers Product 093</t>
  </si>
  <si>
    <t>Desks Product 092</t>
  </si>
  <si>
    <t>Bookcases Product 076</t>
  </si>
  <si>
    <t>Bookcases Product 057</t>
  </si>
  <si>
    <t>Laptops Product 030</t>
  </si>
  <si>
    <t>Phones Product 073</t>
  </si>
  <si>
    <t>Paper Product 075</t>
  </si>
  <si>
    <t>Storage Product 017</t>
  </si>
  <si>
    <t>Accessories Product 089</t>
  </si>
  <si>
    <t>Desks Product 077</t>
  </si>
  <si>
    <t>Paper Product 035</t>
  </si>
  <si>
    <t>Storage Product 007</t>
  </si>
  <si>
    <t>Printers Product 052</t>
  </si>
  <si>
    <t>Tables Product 082</t>
  </si>
  <si>
    <t>Paper Product 076</t>
  </si>
  <si>
    <t>Tables Product 072</t>
  </si>
  <si>
    <t>Paper Product 062</t>
  </si>
  <si>
    <t>Paper Product 085</t>
  </si>
  <si>
    <t>Laptops Product 060</t>
  </si>
  <si>
    <t>Desks Product 037</t>
  </si>
  <si>
    <t>Printers Product 067</t>
  </si>
  <si>
    <t>Bookcases Product 077</t>
  </si>
  <si>
    <t>Printers Product 029</t>
  </si>
  <si>
    <t>Binders Product 039</t>
  </si>
  <si>
    <t>Paper Product 045</t>
  </si>
  <si>
    <t>Art Supplies Product 058</t>
  </si>
  <si>
    <t>Storage Product 039</t>
  </si>
  <si>
    <t>Tables Product 064</t>
  </si>
  <si>
    <t>Art Supplies Product 027</t>
  </si>
  <si>
    <t>Binders Product 032</t>
  </si>
  <si>
    <t>Desks Product 075</t>
  </si>
  <si>
    <t>Paper Product 074</t>
  </si>
  <si>
    <t>Laptops Product 034</t>
  </si>
  <si>
    <t>Desks Product 067</t>
  </si>
  <si>
    <t>Chairs Product 047</t>
  </si>
  <si>
    <t>Art Supplies Product 048</t>
  </si>
  <si>
    <t>Chairs Product 064</t>
  </si>
  <si>
    <t>Printers Product 046</t>
  </si>
  <si>
    <t>Paper Product 079</t>
  </si>
  <si>
    <t>Art Supplies Product 069</t>
  </si>
  <si>
    <t>Tables Product 069</t>
  </si>
  <si>
    <t>Chairs Product 049</t>
  </si>
  <si>
    <t>Binders Product 092</t>
  </si>
  <si>
    <t>Chairs Product 015</t>
  </si>
  <si>
    <t>Desks Product 040</t>
  </si>
  <si>
    <t>Phones Product 048</t>
  </si>
  <si>
    <t>Phones Product 093</t>
  </si>
  <si>
    <t>Accessories Product 023</t>
  </si>
  <si>
    <t>Printers Product 082</t>
  </si>
  <si>
    <t>Binders Product 008</t>
  </si>
  <si>
    <t>Tables Product 075</t>
  </si>
  <si>
    <t>Bookcases Product 049</t>
  </si>
  <si>
    <t>Bookcases Product 005</t>
  </si>
  <si>
    <t>Art Supplies Product 090</t>
  </si>
  <si>
    <t>Accessories Product 001</t>
  </si>
  <si>
    <t>Binders Product 076</t>
  </si>
  <si>
    <t>Storage Product 073</t>
  </si>
  <si>
    <t>Laptops Product 008</t>
  </si>
  <si>
    <t>Art Supplies Product 011</t>
  </si>
  <si>
    <t>Binders Product 004</t>
  </si>
  <si>
    <t>Bookcases Product 066</t>
  </si>
  <si>
    <t>Binders Product 024</t>
  </si>
  <si>
    <t>Paper Product 064</t>
  </si>
  <si>
    <t>Phones Product 020</t>
  </si>
  <si>
    <t>Printers Product 050</t>
  </si>
  <si>
    <t>Desks Product 062</t>
  </si>
  <si>
    <t>Laptops Product 084</t>
  </si>
  <si>
    <t>Art Supplies Product 057</t>
  </si>
  <si>
    <t>Chairs Product 025</t>
  </si>
  <si>
    <t>Chairs Product 030</t>
  </si>
  <si>
    <t>Bookcases Product 045</t>
  </si>
  <si>
    <t>Bookcases Product 011</t>
  </si>
  <si>
    <t>Storage Product 069</t>
  </si>
  <si>
    <t>Chairs Product 019</t>
  </si>
  <si>
    <t>Tables Product 043</t>
  </si>
  <si>
    <t>Phones Product 060</t>
  </si>
  <si>
    <t>Tables Product 065</t>
  </si>
  <si>
    <t>Desks Product 073</t>
  </si>
  <si>
    <t>Laptops Product 094</t>
  </si>
  <si>
    <t>Paper Product 077</t>
  </si>
  <si>
    <t>Laptops Product 081</t>
  </si>
  <si>
    <t>Storage Product 067</t>
  </si>
  <si>
    <t>Paper Product 066</t>
  </si>
  <si>
    <t>Storage Product 098</t>
  </si>
  <si>
    <t>Paper Product 034</t>
  </si>
  <si>
    <t>Paper Product 003</t>
  </si>
  <si>
    <t>Tables Product 054</t>
  </si>
  <si>
    <t>Phones Product 086</t>
  </si>
  <si>
    <t>Chairs Product 003</t>
  </si>
  <si>
    <t>Bookcases Product 010</t>
  </si>
  <si>
    <t>Accessories Product 050</t>
  </si>
  <si>
    <t>Laptops Product 007</t>
  </si>
  <si>
    <t>Paper Product 002</t>
  </si>
  <si>
    <t>Storage Product 099</t>
  </si>
  <si>
    <t>Phones Product 067</t>
  </si>
  <si>
    <t>Storage Product 044</t>
  </si>
  <si>
    <t>Paper Product 089</t>
  </si>
  <si>
    <t>Paper Product 060</t>
  </si>
  <si>
    <t>Binders Product 079</t>
  </si>
  <si>
    <t>Phones Product 002</t>
  </si>
  <si>
    <t>Art Supplies Product 094</t>
  </si>
  <si>
    <t>Printers Product 076</t>
  </si>
  <si>
    <t>Storage Product 029</t>
  </si>
  <si>
    <t>Laptops Product 038</t>
  </si>
  <si>
    <t>Storage Product 065</t>
  </si>
  <si>
    <t>Tables Product 094</t>
  </si>
  <si>
    <t>Binders Product 041</t>
  </si>
  <si>
    <t>Bookcases Product 093</t>
  </si>
  <si>
    <t>Chairs Product 098</t>
  </si>
  <si>
    <t>Phones Product 077</t>
  </si>
  <si>
    <t>Printers Product 066</t>
  </si>
  <si>
    <t>Tables Product 066</t>
  </si>
  <si>
    <t>Tables Product 079</t>
  </si>
  <si>
    <t>Bookcases Product 089</t>
  </si>
  <si>
    <t>Storage Product 035</t>
  </si>
  <si>
    <t>Laptops Product 056</t>
  </si>
  <si>
    <t>Printers Product 075</t>
  </si>
  <si>
    <t>Bookcases Product 063</t>
  </si>
  <si>
    <t>Phones Product 092</t>
  </si>
  <si>
    <t>Art Supplies Product 049</t>
  </si>
  <si>
    <t>Storage Product 030</t>
  </si>
  <si>
    <t>Chairs Product 078</t>
  </si>
  <si>
    <t>Bookcases Product 013</t>
  </si>
  <si>
    <t>Chairs Product 035</t>
  </si>
  <si>
    <t>Accessories Product 095</t>
  </si>
  <si>
    <t>Art Supplies Product 034</t>
  </si>
  <si>
    <t>Storage Product 031</t>
  </si>
  <si>
    <t>Storage Product 071</t>
  </si>
  <si>
    <t>Chairs Product 043</t>
  </si>
  <si>
    <t>Phones Product 015</t>
  </si>
  <si>
    <t>Binders Product 044</t>
  </si>
  <si>
    <t>Art Supplies Product 026</t>
  </si>
  <si>
    <t>Laptops Product 083</t>
  </si>
  <si>
    <t>Storage Product 089</t>
  </si>
  <si>
    <t>Art Supplies Product 030</t>
  </si>
  <si>
    <t>Laptops Product 018</t>
  </si>
  <si>
    <t>Printers Product 005</t>
  </si>
  <si>
    <t>Desks Product 002</t>
  </si>
  <si>
    <t>Tables Product 014</t>
  </si>
  <si>
    <t>Chairs Product 004</t>
  </si>
  <si>
    <t>Tables Product 024</t>
  </si>
  <si>
    <t>Printers Product 030</t>
  </si>
  <si>
    <t>Laptops Product 026</t>
  </si>
  <si>
    <t>Laptops Product 082</t>
  </si>
  <si>
    <t>Laptops Product 009</t>
  </si>
  <si>
    <t>Bookcases Product 079</t>
  </si>
  <si>
    <t>Binders Product 054</t>
  </si>
  <si>
    <t>Accessories Product 020</t>
  </si>
  <si>
    <t>Bookcases Product 047</t>
  </si>
  <si>
    <t>Laptops Product 049</t>
  </si>
  <si>
    <t>Laptops Product 012</t>
  </si>
  <si>
    <t>Art Supplies Product 070</t>
  </si>
  <si>
    <t>Bookcases Product 098</t>
  </si>
  <si>
    <t>Printers Product 085</t>
  </si>
  <si>
    <t>Chairs Product 001</t>
  </si>
  <si>
    <t>Tables Product 095</t>
  </si>
  <si>
    <t>Desks Product 010</t>
  </si>
  <si>
    <t>Paper Product 040</t>
  </si>
  <si>
    <t>Chairs Product 074</t>
  </si>
  <si>
    <t>Desks Product 080</t>
  </si>
  <si>
    <t>Chairs Product 066</t>
  </si>
  <si>
    <t>Binders Product 081</t>
  </si>
  <si>
    <t>Tables Product 016</t>
  </si>
  <si>
    <t>Bookcases Product 037</t>
  </si>
  <si>
    <t>Desks Product 098</t>
  </si>
  <si>
    <t>Art Supplies Product 059</t>
  </si>
  <si>
    <t>Storage Product 041</t>
  </si>
  <si>
    <t>Tables Product 032</t>
  </si>
  <si>
    <t>Binders Product 086</t>
  </si>
  <si>
    <t>Paper Product 033</t>
  </si>
  <si>
    <t>Storage Product 013</t>
  </si>
  <si>
    <t>Laptops Product 024</t>
  </si>
  <si>
    <t>Art Supplies Product 065</t>
  </si>
  <si>
    <t>Chairs Product 056</t>
  </si>
  <si>
    <t>Storage Product 006</t>
  </si>
  <si>
    <t>Accessories Product 002</t>
  </si>
  <si>
    <t>Art Supplies Product 074</t>
  </si>
  <si>
    <t>Chairs Product 093</t>
  </si>
  <si>
    <t>Phones Product 068</t>
  </si>
  <si>
    <t>Bookcases Product 058</t>
  </si>
  <si>
    <t>Desks Product 014</t>
  </si>
  <si>
    <t>Chairs Product 005</t>
  </si>
  <si>
    <t>Paper Product 093</t>
  </si>
  <si>
    <t>Art Supplies Product 051</t>
  </si>
  <si>
    <t>Storage Product 023</t>
  </si>
  <si>
    <t>Paper Product 073</t>
  </si>
  <si>
    <t>Desks Product 074</t>
  </si>
  <si>
    <t>Laptops Product 057</t>
  </si>
  <si>
    <t>Bookcases Product 018</t>
  </si>
  <si>
    <t>Printers Product 038</t>
  </si>
  <si>
    <t>Desks Product 097</t>
  </si>
  <si>
    <t>Accessories Product 006</t>
  </si>
  <si>
    <t>Tables Product 003</t>
  </si>
  <si>
    <t>Chairs Product 082</t>
  </si>
  <si>
    <t>Chairs Product 037</t>
  </si>
  <si>
    <t>Desks Product 013</t>
  </si>
  <si>
    <t>Bookcases Product 027</t>
  </si>
  <si>
    <t>Art Supplies Product 054</t>
  </si>
  <si>
    <t>Tables Product 088</t>
  </si>
  <si>
    <t>Chairs Product 036</t>
  </si>
  <si>
    <t>Bookcases Product 054</t>
  </si>
  <si>
    <t>Art Supplies Product 004</t>
  </si>
  <si>
    <t>Binders Product 083</t>
  </si>
  <si>
    <t>Phones Product 096</t>
  </si>
  <si>
    <t>Binders Product 091</t>
  </si>
  <si>
    <t>Accessories Product 073</t>
  </si>
  <si>
    <t>Art Supplies Product 061</t>
  </si>
  <si>
    <t>Art Supplies Product 053</t>
  </si>
  <si>
    <t>Printers Product 017</t>
  </si>
  <si>
    <t>Bookcases Product 003</t>
  </si>
  <si>
    <t>Chairs Product 070</t>
  </si>
  <si>
    <t>Art Supplies Product 029</t>
  </si>
  <si>
    <t>Paper Product 083</t>
  </si>
  <si>
    <t>Chairs Product 095</t>
  </si>
  <si>
    <t>Paper Product 031</t>
  </si>
  <si>
    <t>Laptops Product 017</t>
  </si>
  <si>
    <t>Tables Product 011</t>
  </si>
  <si>
    <t>Desks Product 026</t>
  </si>
  <si>
    <t>Storage Product 061</t>
  </si>
  <si>
    <t>Paper Product 056</t>
  </si>
  <si>
    <t>Tables Product 077</t>
  </si>
  <si>
    <t>Desks Product 028</t>
  </si>
  <si>
    <t>Storage Product 088</t>
  </si>
  <si>
    <t>Binders Product 045</t>
  </si>
  <si>
    <t>Bookcases Product 081</t>
  </si>
  <si>
    <t>Paper Product 008</t>
  </si>
  <si>
    <t>Tables Product 086</t>
  </si>
  <si>
    <t>Desks Product 053</t>
  </si>
  <si>
    <t>Laptops Product 036</t>
  </si>
  <si>
    <t>Accessories Product 067</t>
  </si>
  <si>
    <t>Accessories Product 022</t>
  </si>
  <si>
    <t>Laptops Product 079</t>
  </si>
  <si>
    <t>Binders Product 051</t>
  </si>
  <si>
    <t>Accessories Product 063</t>
  </si>
  <si>
    <t>Laptops Product 070</t>
  </si>
  <si>
    <t>Printers Product 045</t>
  </si>
  <si>
    <t>Printers Product 049</t>
  </si>
  <si>
    <t>Bookcases Product 085</t>
  </si>
  <si>
    <t>Laptops Product 061</t>
  </si>
  <si>
    <t>Accessories Product 082</t>
  </si>
  <si>
    <t>Accessories Product 014</t>
  </si>
  <si>
    <t>Desks Product 041</t>
  </si>
  <si>
    <t>Phones Product 089</t>
  </si>
  <si>
    <t>Chairs Product 084</t>
  </si>
  <si>
    <t>Printers Product 069</t>
  </si>
  <si>
    <t>Paper Product 001</t>
  </si>
  <si>
    <t>Bookcases Product 022</t>
  </si>
  <si>
    <t>Phones Product 052</t>
  </si>
  <si>
    <t>Phones Product 006</t>
  </si>
  <si>
    <t>Chairs Product 061</t>
  </si>
  <si>
    <t>Paper Product 048</t>
  </si>
  <si>
    <t>Binders Product 002</t>
  </si>
  <si>
    <t>Desks Product 033</t>
  </si>
  <si>
    <t>Desks Product 061</t>
  </si>
  <si>
    <t>Laptops Product 052</t>
  </si>
  <si>
    <t>Art Supplies Product 046</t>
  </si>
  <si>
    <t>Phones Product 066</t>
  </si>
  <si>
    <t>Chairs Product 022</t>
  </si>
  <si>
    <t>Storage Product 037</t>
  </si>
  <si>
    <t>Phones Product 031</t>
  </si>
  <si>
    <t>Paper Product 050</t>
  </si>
  <si>
    <t>Paper Product 017</t>
  </si>
  <si>
    <t>Desks Product 088</t>
  </si>
  <si>
    <t>Binders Product 036</t>
  </si>
  <si>
    <t>Chairs Product 011</t>
  </si>
  <si>
    <t>Paper Product 022</t>
  </si>
  <si>
    <t>Accessories Product 024</t>
  </si>
  <si>
    <t>Accessories Product 021</t>
  </si>
  <si>
    <t>Art Supplies Product 036</t>
  </si>
  <si>
    <t>Laptops Product 093</t>
  </si>
  <si>
    <t>Desks Product 085</t>
  </si>
  <si>
    <t>Desks Product 006</t>
  </si>
  <si>
    <t>Laptops Product 013</t>
  </si>
  <si>
    <t>Chairs Product 040</t>
  </si>
  <si>
    <t>Binders Product 030</t>
  </si>
  <si>
    <t>Binders Product 003</t>
  </si>
  <si>
    <t>Phones Product 050</t>
  </si>
  <si>
    <t>Binders Product 001</t>
  </si>
  <si>
    <t>Accessories Product 059</t>
  </si>
  <si>
    <t>Laptops Product 042</t>
  </si>
  <si>
    <t>Paper Product 020</t>
  </si>
  <si>
    <t>Tables Product 085</t>
  </si>
  <si>
    <t>Chairs Product 053</t>
  </si>
  <si>
    <t>Art Supplies Product 015</t>
  </si>
  <si>
    <t>Chairs Product 028</t>
  </si>
  <si>
    <t>Phones Product 035</t>
  </si>
  <si>
    <t>Art Supplies Product 003</t>
  </si>
  <si>
    <t>Binders Product 047</t>
  </si>
  <si>
    <t>Tables Product 052</t>
  </si>
  <si>
    <t>Tables Product 098</t>
  </si>
  <si>
    <t>Accessories Product 042</t>
  </si>
  <si>
    <t>Desks Product 019</t>
  </si>
  <si>
    <t>Printers Product 051</t>
  </si>
  <si>
    <t>Accessories Product 044</t>
  </si>
  <si>
    <t>Accessories Product 033</t>
  </si>
  <si>
    <t>Art Supplies Product 018</t>
  </si>
  <si>
    <t>Storage Product 034</t>
  </si>
  <si>
    <t>Bookcases Product 083</t>
  </si>
  <si>
    <t>Printers Product 086</t>
  </si>
  <si>
    <t>Printers Product 079</t>
  </si>
  <si>
    <t>Row Labels</t>
  </si>
  <si>
    <t>Grand Total</t>
  </si>
  <si>
    <t>Sum of Sales</t>
  </si>
  <si>
    <t>(blank)</t>
  </si>
  <si>
    <t>Sum of Profit</t>
  </si>
  <si>
    <t>Sum of Quantity</t>
  </si>
  <si>
    <t>Count of Order ID</t>
  </si>
  <si>
    <t xml:space="preserve">         Retail Sales &amp; Profit Dashboard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</si>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</sst>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1"/>
      <color theme="1"/>
      <name val="Calibri"/>
      <family val="2"/>
      <scheme val="minor"/>
    </font>
    <font>
      <sz val="11"/>
      <color theme="1"/>
      <name val="Book Antiqua"/>
      <family val="1"/>
    </font>
    <font>
      <sz val="48"/>
      <color theme="0"/>
      <name val="Book Antiqua"/>
      <family val="1"/>
    </font>
    <font>
      <sz val="48"/>
      <color theme="0"/>
      <name val="Century Schoolbook"/>
      <family val="1"/>
    </font>
    <font>
      <b/>
      <sz val="48"/>
      <color theme="0"/>
      <name val="Century Schoolbook"/>
      <family val="1"/>
    </font>
    <font>
      <b/>
      <sz val="11"/>
      <color theme="1"/>
      <name val="Century Schoolbook"/>
      <family val="1"/>
    </font>
    <font>
      <b/>
      <sz val="11"/>
      <color theme="1"/>
      <name val="Book Antiqua"/>
      <family val="1"/>
    </font>
  </fonts>
  <fills count="4">
    <fill>
      <patternFill patternType="none"/>
    </fill>
    <fill>
      <patternFill patternType="gray125"/>
    </fill>
    <fill>
      <patternFill patternType="solid">
        <fgColor theme="5" tint="0.39997558519241921"/>
        <bgColor indexed="64"/>
      </patternFill>
    </fill>
    <fill>
      <patternFill patternType="solid">
        <fgColor theme="7" tint="-0.249977111117893"/>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auto="1"/>
      </left>
      <right/>
      <top style="thick">
        <color auto="1"/>
      </top>
      <bottom/>
      <diagonal/>
    </border>
    <border>
      <left style="thick">
        <color auto="1"/>
      </left>
      <right/>
      <top/>
      <bottom/>
      <diagonal/>
    </border>
    <border>
      <left style="thick">
        <color auto="1"/>
      </left>
      <right/>
      <top/>
      <bottom style="thick">
        <color auto="1"/>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4" xfId="0" applyFill="1" applyBorder="1"/>
    <xf numFmtId="0" fontId="0" fillId="3" borderId="6" xfId="0" applyFill="1" applyBorder="1"/>
    <xf numFmtId="0" fontId="0" fillId="3"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xf numFmtId="0" fontId="2" fillId="3" borderId="2" xfId="0" applyFont="1" applyFill="1" applyBorder="1"/>
    <xf numFmtId="0" fontId="2" fillId="3" borderId="3" xfId="0" applyFont="1" applyFill="1" applyBorder="1"/>
    <xf numFmtId="0" fontId="3" fillId="3" borderId="6" xfId="0" applyFont="1" applyFill="1" applyBorder="1"/>
    <xf numFmtId="0" fontId="2" fillId="3" borderId="6" xfId="0" applyFont="1" applyFill="1" applyBorder="1"/>
    <xf numFmtId="0" fontId="4" fillId="3" borderId="6" xfId="0" applyFont="1" applyFill="1" applyBorder="1"/>
    <xf numFmtId="0" fontId="5" fillId="3" borderId="6" xfId="0" applyFont="1" applyFill="1" applyBorder="1"/>
    <xf numFmtId="0" fontId="6" fillId="3" borderId="6" xfId="0" applyFont="1" applyFill="1" applyBorder="1"/>
    <xf numFmtId="0" fontId="7" fillId="3" borderId="6" xfId="0" applyFont="1" applyFill="1" applyBorder="1"/>
    <xf numFmtId="0" fontId="3" fillId="3" borderId="5" xfId="0" applyFont="1" applyFill="1"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[Excel_Sales_Dashboard_Dataset.xlsx]Sheet2!PivotTable2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Sheet2!$A$4:$A$8</c:f>
              <c:strCache>
                <c:ptCount val="4"/>
                <c:pt idx="0">
                  <c:v>Furniture</c:v>
                </c:pt>
                <c:pt idx="1">
                  <c:v>Office Supplies</c:v>
                </c:pt>
                <c:pt idx="2">
                  <c:v>Technology</c:v>
                </c:pt>
                <c:pt idx="3">
                  <c:v>(blank)</c:v>
                </c:pt>
              </c:strCache>
            </c:strRef>
          </c:cat>
          <c:val>
            <c:numRef>
              <c:f>Sheet2!$B$4:$B$8</c:f>
              <c:numCache>
                <c:formatCode>General</c:formatCode>
                <c:ptCount val="4"/>
                <c:pt idx="0">
                  <c:v>127287.80000000005</c:v>
                </c:pt>
                <c:pt idx="1">
                  <c:v>61717.419999999976</c:v>
                </c:pt>
                <c:pt idx="2">
                  <c:v>186802.98999999985</c:v>
                </c:pt>
              </c:numCache>
            </c:numRef>
          </c:val>
          <c:extLst>
            <c:ext xmlns:c16="http://schemas.microsoft.com/office/drawing/2014/chart" uri="{C3380CC4-5D6E-409C-BE32-E72D297353CC}">
              <c16:uniqueId val="{00000000-6671-4856-A4F8-ED1839100EAC}"/>
            </c:ext>
          </c:extLst>
        </c:ser>
        <c:dLbls>
          <c:showLegendKey val="0"/>
          <c:showVal val="0"/>
          <c:showCatName val="0"/>
          <c:showSerName val="0"/>
          <c:showPercent val="0"/>
          <c:showBubbleSize val="0"/>
        </c:dLbls>
        <c:gapWidth val="100"/>
        <c:overlap val="-24"/>
        <c:axId val="336735520"/>
        <c:axId val="237455856"/>
      </c:barChart>
      <c:catAx>
        <c:axId val="336735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55856"/>
        <c:crosses val="autoZero"/>
        <c:auto val="1"/>
        <c:lblAlgn val="ctr"/>
        <c:lblOffset val="100"/>
        <c:noMultiLvlLbl val="0"/>
      </c:catAx>
      <c:valAx>
        <c:axId val="23745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3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[Excel_Sales_Dashboard_Dataset.xlsx]Sheet2!PivotTable3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t>
            </a:r>
            <a:r>
              <a:rPr lang="en-US" baseline="0"/>
              <a:t>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50A-4C5C-BACD-356FD5E5A5F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50A-4C5C-BACD-356FD5E5A5F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50A-4C5C-BACD-356FD5E5A5F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50A-4C5C-BACD-356FD5E5A5F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50A-4C5C-BACD-356FD5E5A5F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50A-4C5C-BACD-356FD5E5A5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Sheet2!$A$16:$A$21</c:f>
              <c:strCache>
                <c:ptCount val="5"/>
                <c:pt idx="0">
                  <c:v>Central</c:v>
                </c:pt>
                <c:pt idx="1">
                  <c:v>East</c:v>
                </c:pt>
                <c:pt idx="2">
                  <c:v>North</c:v>
                </c:pt>
                <c:pt idx="3">
                  <c:v>South</c:v>
                </c:pt>
                <c:pt idx="4">
                  <c:v>West</c:v>
                </c:pt>
              </c:strCache>
            </c:strRef>
          </c:cat>
          <c:val>
            <c:numRef>
              <c:f>Sheet2!$B$16:$B$21</c:f>
              <c:numCache>
                <c:formatCode>General</c:formatCode>
                <c:ptCount val="5"/>
                <c:pt idx="0">
                  <c:v>4157.1699999999983</c:v>
                </c:pt>
                <c:pt idx="1">
                  <c:v>2554.1500000000005</c:v>
                </c:pt>
                <c:pt idx="2">
                  <c:v>5010.3199999999979</c:v>
                </c:pt>
                <c:pt idx="3">
                  <c:v>7108.1000000000013</c:v>
                </c:pt>
                <c:pt idx="4">
                  <c:v>5211.1899999999969</c:v>
                </c:pt>
              </c:numCache>
            </c:numRef>
          </c:val>
          <c:extLst>
            <c:ext xmlns:c16="http://schemas.microsoft.com/office/drawing/2014/chart" uri="{C3380CC4-5D6E-409C-BE32-E72D297353CC}">
              <c16:uniqueId val="{00000000-6221-47C8-8D69-759366AC16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[Excel_Sales_Dashboard_Dataset.xlsx]Sheet2!PivotTable4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 Trend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Sheet2!$B$29:$B$41</c:f>
              <c:numCache>
                <c:formatCode>General</c:formatCode>
                <c:ptCount val="12"/>
                <c:pt idx="0">
                  <c:v>40955.800000000003</c:v>
                </c:pt>
                <c:pt idx="1">
                  <c:v>32947.369999999981</c:v>
                </c:pt>
                <c:pt idx="2">
                  <c:v>31434.699999999997</c:v>
                </c:pt>
                <c:pt idx="3">
                  <c:v>30166.720000000008</c:v>
                </c:pt>
                <c:pt idx="4">
                  <c:v>35742.990000000005</c:v>
                </c:pt>
                <c:pt idx="5">
                  <c:v>29779.389999999992</c:v>
                </c:pt>
                <c:pt idx="6">
                  <c:v>26270.360000000004</c:v>
                </c:pt>
                <c:pt idx="7">
                  <c:v>27372.610000000004</c:v>
                </c:pt>
                <c:pt idx="8">
                  <c:v>25801.660000000007</c:v>
                </c:pt>
                <c:pt idx="9">
                  <c:v>33825</c:v>
                </c:pt>
                <c:pt idx="10">
                  <c:v>30227.280000000002</c:v>
                </c:pt>
                <c:pt idx="11">
                  <c:v>31284.329999999998</c:v>
                </c:pt>
              </c:numCache>
            </c:numRef>
          </c:val>
          <c:smooth val="0"/>
          <c:extLst>
            <c:ext xmlns:c16="http://schemas.microsoft.com/office/drawing/2014/chart" uri="{C3380CC4-5D6E-409C-BE32-E72D297353CC}">
              <c16:uniqueId val="{00000000-A7BA-497E-96DD-FCF478D268DF}"/>
            </c:ext>
          </c:extLst>
        </c:ser>
        <c:dLbls>
          <c:showLegendKey val="0"/>
          <c:showVal val="0"/>
          <c:showCatName val="0"/>
          <c:showSerName val="0"/>
          <c:showPercent val="0"/>
          <c:showBubbleSize val="0"/>
        </c:dLbls>
        <c:marker val="1"/>
        <c:smooth val="0"/>
        <c:axId val="336770320"/>
        <c:axId val="237431376"/>
      </c:lineChart>
      <c:catAx>
        <c:axId val="33677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31376"/>
        <c:crosses val="autoZero"/>
        <c:auto val="1"/>
        <c:lblAlgn val="ctr"/>
        <c:lblOffset val="100"/>
        <c:noMultiLvlLbl val="0"/>
      </c:catAx>
      <c:valAx>
        <c:axId val="2374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[Excel_Sales_Dashboard_Dataset.xlsx]Sheet2!PivotTable5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segment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Sheet2!$Q$4:$Q$8</c:f>
              <c:strCache>
                <c:ptCount val="4"/>
                <c:pt idx="0">
                  <c:v>Consumer</c:v>
                </c:pt>
                <c:pt idx="1">
                  <c:v>Corporate</c:v>
                </c:pt>
                <c:pt idx="2">
                  <c:v>Home Office</c:v>
                </c:pt>
                <c:pt idx="3">
                  <c:v>(blank)</c:v>
                </c:pt>
              </c:strCache>
            </c:strRef>
          </c:cat>
          <c:val>
            <c:numRef>
              <c:f>Sheet2!$R$4:$R$8</c:f>
              <c:numCache>
                <c:formatCode>General</c:formatCode>
                <c:ptCount val="4"/>
                <c:pt idx="0">
                  <c:v>117508.96000000006</c:v>
                </c:pt>
                <c:pt idx="1">
                  <c:v>123346.79000000001</c:v>
                </c:pt>
                <c:pt idx="2">
                  <c:v>134952.45999999993</c:v>
                </c:pt>
              </c:numCache>
            </c:numRef>
          </c:val>
          <c:extLst>
            <c:ext xmlns:c16="http://schemas.microsoft.com/office/drawing/2014/chart" uri="{C3380CC4-5D6E-409C-BE32-E72D297353CC}">
              <c16:uniqueId val="{00000000-5881-4077-A390-661851FCFCBB}"/>
            </c:ext>
          </c:extLst>
        </c:ser>
        <c:dLbls>
          <c:showLegendKey val="0"/>
          <c:showVal val="0"/>
          <c:showCatName val="0"/>
          <c:showSerName val="0"/>
          <c:showPercent val="0"/>
          <c:showBubbleSize val="0"/>
        </c:dLbls>
        <c:gapWidth val="100"/>
        <c:overlap val="-24"/>
        <c:axId val="499998895"/>
        <c:axId val="237399216"/>
      </c:barChart>
      <c:catAx>
        <c:axId val="49999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99216"/>
        <c:crosses val="autoZero"/>
        <c:auto val="1"/>
        <c:lblAlgn val="ctr"/>
        <c:lblOffset val="100"/>
        <c:noMultiLvlLbl val="0"/>
      </c:catAx>
      <c:valAx>
        <c:axId val="23739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[Excel_Sales_Dashboard_Dataset.xlsx]Sheet2!PivotTable6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Sheet2!$Q$19:$Q$29</c:f>
              <c:strCache>
                <c:ptCount val="10"/>
                <c:pt idx="0">
                  <c:v>Accessories Product 013</c:v>
                </c:pt>
                <c:pt idx="1">
                  <c:v>Accessories Product 015</c:v>
                </c:pt>
                <c:pt idx="2">
                  <c:v>Accessories Product 094</c:v>
                </c:pt>
                <c:pt idx="3">
                  <c:v>Laptops Product 086</c:v>
                </c:pt>
                <c:pt idx="4">
                  <c:v>Laptops Product 094</c:v>
                </c:pt>
                <c:pt idx="5">
                  <c:v>Printers Product 010</c:v>
                </c:pt>
                <c:pt idx="6">
                  <c:v>Printers Product 026</c:v>
                </c:pt>
                <c:pt idx="7">
                  <c:v>Printers Product 039</c:v>
                </c:pt>
                <c:pt idx="8">
                  <c:v>Printers Product 063</c:v>
                </c:pt>
                <c:pt idx="9">
                  <c:v>Printers Product 081</c:v>
                </c:pt>
              </c:strCache>
            </c:strRef>
          </c:cat>
          <c:val>
            <c:numRef>
              <c:f>Sheet2!$R$19:$R$29</c:f>
              <c:numCache>
                <c:formatCode>General</c:formatCode>
                <c:ptCount val="10"/>
                <c:pt idx="0">
                  <c:v>2500.7600000000002</c:v>
                </c:pt>
                <c:pt idx="1">
                  <c:v>3366.8</c:v>
                </c:pt>
                <c:pt idx="2">
                  <c:v>2096.87</c:v>
                </c:pt>
                <c:pt idx="3">
                  <c:v>2368.62</c:v>
                </c:pt>
                <c:pt idx="4">
                  <c:v>2224.84</c:v>
                </c:pt>
                <c:pt idx="5">
                  <c:v>2105.89</c:v>
                </c:pt>
                <c:pt idx="6">
                  <c:v>3933.59</c:v>
                </c:pt>
                <c:pt idx="7">
                  <c:v>2586.0899999999997</c:v>
                </c:pt>
                <c:pt idx="8">
                  <c:v>2309.7599999999998</c:v>
                </c:pt>
                <c:pt idx="9">
                  <c:v>2098.02</c:v>
                </c:pt>
              </c:numCache>
            </c:numRef>
          </c:val>
          <c:extLst>
            <c:ext xmlns:c16="http://schemas.microsoft.com/office/drawing/2014/chart" uri="{C3380CC4-5D6E-409C-BE32-E72D297353CC}">
              <c16:uniqueId val="{00000000-C413-4D91-9353-DACF3BAA49BB}"/>
            </c:ext>
          </c:extLst>
        </c:ser>
        <c:dLbls>
          <c:showLegendKey val="0"/>
          <c:showVal val="0"/>
          <c:showCatName val="0"/>
          <c:showSerName val="0"/>
          <c:showPercent val="0"/>
          <c:showBubbleSize val="0"/>
        </c:dLbls>
        <c:gapWidth val="150"/>
        <c:axId val="331052176"/>
        <c:axId val="237394896"/>
      </c:barChart>
      <c:catAx>
        <c:axId val="33105217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94896"/>
        <c:crosses val="autoZero"/>
        <c:auto val="1"/>
        <c:lblAlgn val="ctr"/>
        <c:lblOffset val="100"/>
        <c:noMultiLvlLbl val="0"/>
      </c:catAx>
      <c:valAx>
        <c:axId val="23739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5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[Excel_Sales_Dashboard_Dataset.xlsx]Sheet2!PivotTable7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Sub-Category</a:t>
            </a: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Sheet2!$R$36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Sheet2!$Q$37:$Q$49</c:f>
              <c:strCache>
                <c:ptCount val="12"/>
                <c:pt idx="0">
                  <c:v>Accessories</c:v>
                </c:pt>
                <c:pt idx="1">
                  <c:v>Art Supplies</c:v>
                </c:pt>
                <c:pt idx="2">
                  <c:v>Binders</c:v>
                </c:pt>
                <c:pt idx="3">
                  <c:v>Bookcases</c:v>
                </c:pt>
                <c:pt idx="4">
                  <c:v>Chairs</c:v>
                </c:pt>
                <c:pt idx="5">
                  <c:v>Desks</c:v>
                </c:pt>
                <c:pt idx="6">
                  <c:v>Laptops</c:v>
                </c:pt>
                <c:pt idx="7">
                  <c:v>Paper</c:v>
                </c:pt>
                <c:pt idx="8">
                  <c:v>Phones</c:v>
                </c:pt>
                <c:pt idx="9">
                  <c:v>Printers</c:v>
                </c:pt>
                <c:pt idx="10">
                  <c:v>Storage</c:v>
                </c:pt>
                <c:pt idx="11">
                  <c:v>Tables</c:v>
                </c:pt>
              </c:strCache>
            </c:strRef>
          </c:cat>
          <c:val>
            <c:numRef>
              <c:f>Sheet2!$R$37:$R$49</c:f>
              <c:numCache>
                <c:formatCode>General</c:formatCode>
                <c:ptCount val="12"/>
                <c:pt idx="0">
                  <c:v>4543.5699999999988</c:v>
                </c:pt>
                <c:pt idx="1">
                  <c:v>1165.4999999999993</c:v>
                </c:pt>
                <c:pt idx="2">
                  <c:v>2013.7400000000005</c:v>
                </c:pt>
                <c:pt idx="3">
                  <c:v>1104.0999999999999</c:v>
                </c:pt>
                <c:pt idx="4">
                  <c:v>851.35</c:v>
                </c:pt>
                <c:pt idx="5">
                  <c:v>1375.05</c:v>
                </c:pt>
                <c:pt idx="6">
                  <c:v>3397.16</c:v>
                </c:pt>
                <c:pt idx="7">
                  <c:v>1521.0499999999993</c:v>
                </c:pt>
                <c:pt idx="8">
                  <c:v>2454.7400000000011</c:v>
                </c:pt>
                <c:pt idx="9">
                  <c:v>4110.3799999999983</c:v>
                </c:pt>
                <c:pt idx="10">
                  <c:v>1791.0099999999998</c:v>
                </c:pt>
                <c:pt idx="11">
                  <c:v>-286.71999999999997</c:v>
                </c:pt>
              </c:numCache>
            </c:numRef>
          </c:val>
          <c:extLst>
            <c:ext xmlns:c16="http://schemas.microsoft.com/office/drawing/2014/chart" uri="{C3380CC4-5D6E-409C-BE32-E72D297353CC}">
              <c16:uniqueId val="{00000000-3879-4A24-9BF2-E142AAACAB1D}"/>
            </c:ext>
          </c:extLst>
        </c:ser>
        <c:dLbls>
          <c:showLegendKey val="0"/>
          <c:showVal val="0"/>
          <c:showCatName val="0"/>
          <c:showSerName val="0"/>
          <c:showPercent val="0"/>
          <c:showBubbleSize val="0"/>
        </c:dLbls>
        <c:gapWidth val="115"/>
        <c:overlap val="-20"/>
        <c:axId val="330998816"/>
        <c:axId val="237409776"/>
      </c:barChart>
      <c:catAx>
        <c:axId val="330998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09776"/>
        <c:crosses val="autoZero"/>
        <c:auto val="1"/>
        <c:lblAlgn val="ctr"/>
        <c:lblOffset val="100"/>
        <c:noMultiLvlLbl val="0"/>
      </c:catAx>
      <c:valAx>
        <c:axId val="23740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r>
              <a:rPr lang="en-US"/>
              <a:t>Sales</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9031753088006"/>
          <c:y val="0.2432065039673639"/>
          <c:w val="0.67654340401243418"/>
          <c:h val="0.52802491210953117"/>
        </c:manualLayout>
      </c:layout>
      <c:barChart>
        <c:barDir val="col"/>
        <c:grouping val="clustered"/>
        <c:varyColors val="0"/>
        <c:ser>
          <c:idx val="0"/>
          <c:order val="0"/>
          <c:tx>
            <c:strRef>
              <c:f>Sheet2!$B$3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Furniture</c:v>
                </c:pt>
                <c:pt idx="1">
                  <c:v>Office Supplies</c:v>
                </c:pt>
                <c:pt idx="2">
                  <c:v>Technology</c:v>
                </c:pt>
                <c:pt idx="3">
                  <c:v>(blank)</c:v>
                </c:pt>
              </c:strCache>
            </c:strRef>
          </c:cat>
          <c:val>
            <c:numRef>
              <c:f>Sheet2!$B$4:$B$8</c:f>
              <c:numCache>
                <c:formatCode>General</c:formatCode>
                <c:ptCount val="4"/>
                <c:pt idx="0">
                  <c:v>127287.80000000005</c:v>
                </c:pt>
                <c:pt idx="1">
                  <c:v>61717.419999999976</c:v>
                </c:pt>
                <c:pt idx="2">
                  <c:v>186802.98999999985</c:v>
                </c:pt>
              </c:numCache>
            </c:numRef>
          </c:val>
          <c:extLst>
            <c:ext xmlns:c16="http://schemas.microsoft.com/office/drawing/2014/chart" uri="{C3380CC4-5D6E-409C-BE32-E72D297353CC}">
              <c16:uniqueId val="{00000000-3C33-430F-822D-51F733406DBA}"/>
            </c:ext>
          </c:extLst>
        </c:ser>
        <c:dLbls>
          <c:dLblPos val="outEnd"/>
          <c:showLegendKey val="0"/>
          <c:showVal val="1"/>
          <c:showCatName val="0"/>
          <c:showSerName val="0"/>
          <c:showPercent val="0"/>
          <c:showBubbleSize val="0"/>
        </c:dLbls>
        <c:gapWidth val="100"/>
        <c:overlap val="-24"/>
        <c:axId val="336735520"/>
        <c:axId val="237455856"/>
      </c:barChart>
      <c:catAx>
        <c:axId val="336735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237455856"/>
        <c:crosses val="autoZero"/>
        <c:auto val="1"/>
        <c:lblAlgn val="ctr"/>
        <c:lblOffset val="100"/>
        <c:noMultiLvlLbl val="0"/>
      </c:catAx>
      <c:valAx>
        <c:axId val="23745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33673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latin typeface="Century Schoolbook" panose="020406040505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Sheet2!$B$15</c:f>
              <c:strCache>
                <c:ptCount val="1"/>
                <c:pt idx="0">
                  <c:v>Total</c:v>
                </c:pt>
              </c:strCache>
            </c:strRef>
          </c:tx>
          <c:dPt>
            <c:idx val="0"/>
            <c:bubble3D val="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65-4986-9FD9-48FCDBF430CA}"/>
              </c:ext>
            </c:extLst>
          </c:dPt>
          <c:dPt>
            <c:idx val="1"/>
            <c:bubble3D val="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65-4986-9FD9-48FCDBF430CA}"/>
              </c:ext>
            </c:extLst>
          </c:dPt>
          <c:dPt>
            <c:idx val="2"/>
            <c:bubble3D val="0"/>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65-4986-9FD9-48FCDBF430CA}"/>
              </c:ext>
            </c:extLst>
          </c:dPt>
          <c:dPt>
            <c:idx val="3"/>
            <c:bubble3D val="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B65-4986-9FD9-48FCDBF430CA}"/>
              </c:ext>
            </c:extLst>
          </c:dPt>
          <c:dPt>
            <c:idx val="4"/>
            <c:bubble3D val="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B65-4986-9FD9-48FCDBF430CA}"/>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Sheet2!$A$16:$A$21</c:f>
              <c:strCache>
                <c:ptCount val="5"/>
                <c:pt idx="0">
                  <c:v>Central</c:v>
                </c:pt>
                <c:pt idx="1">
                  <c:v>East</c:v>
                </c:pt>
                <c:pt idx="2">
                  <c:v>North</c:v>
                </c:pt>
                <c:pt idx="3">
                  <c:v>South</c:v>
                </c:pt>
                <c:pt idx="4">
                  <c:v>West</c:v>
                </c:pt>
              </c:strCache>
            </c:strRef>
          </c:cat>
          <c:val>
            <c:numRef>
              <c:f>Sheet2!$B$16:$B$21</c:f>
              <c:numCache>
                <c:formatCode>General</c:formatCode>
                <c:ptCount val="5"/>
                <c:pt idx="0">
                  <c:v>4157.1699999999983</c:v>
                </c:pt>
                <c:pt idx="1">
                  <c:v>2554.1500000000005</c:v>
                </c:pt>
                <c:pt idx="2">
                  <c:v>5010.3199999999979</c:v>
                </c:pt>
                <c:pt idx="3">
                  <c:v>7108.1000000000013</c:v>
                </c:pt>
                <c:pt idx="4">
                  <c:v>5211.1899999999969</c:v>
                </c:pt>
              </c:numCache>
            </c:numRef>
          </c:val>
          <c:extLst>
            <c:ext xmlns:c16="http://schemas.microsoft.com/office/drawing/2014/chart" uri="{C3380CC4-5D6E-409C-BE32-E72D297353CC}">
              <c16:uniqueId val="{0000000C-CC10-4677-9627-DB317A9E5B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Sheet2!$B$28</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Sheet2!$B$29:$B$41</c:f>
              <c:numCache>
                <c:formatCode>General</c:formatCode>
                <c:ptCount val="12"/>
                <c:pt idx="0">
                  <c:v>40955.800000000003</c:v>
                </c:pt>
                <c:pt idx="1">
                  <c:v>32947.369999999981</c:v>
                </c:pt>
                <c:pt idx="2">
                  <c:v>31434.699999999997</c:v>
                </c:pt>
                <c:pt idx="3">
                  <c:v>30166.720000000008</c:v>
                </c:pt>
                <c:pt idx="4">
                  <c:v>35742.990000000005</c:v>
                </c:pt>
                <c:pt idx="5">
                  <c:v>29779.389999999992</c:v>
                </c:pt>
                <c:pt idx="6">
                  <c:v>26270.360000000004</c:v>
                </c:pt>
                <c:pt idx="7">
                  <c:v>27372.610000000004</c:v>
                </c:pt>
                <c:pt idx="8">
                  <c:v>25801.660000000007</c:v>
                </c:pt>
                <c:pt idx="9">
                  <c:v>33825</c:v>
                </c:pt>
                <c:pt idx="10">
                  <c:v>30227.280000000002</c:v>
                </c:pt>
                <c:pt idx="11">
                  <c:v>31284.329999999998</c:v>
                </c:pt>
              </c:numCache>
            </c:numRef>
          </c:val>
          <c:smooth val="0"/>
          <c:extLst>
            <c:ext xmlns:c16="http://schemas.microsoft.com/office/drawing/2014/chart" uri="{C3380CC4-5D6E-409C-BE32-E72D297353CC}">
              <c16:uniqueId val="{00000000-C7A2-4661-9BFC-D604B729A15A}"/>
            </c:ext>
          </c:extLst>
        </c:ser>
        <c:dLbls>
          <c:showLegendKey val="0"/>
          <c:showVal val="0"/>
          <c:showCatName val="0"/>
          <c:showSerName val="0"/>
          <c:showPercent val="0"/>
          <c:showBubbleSize val="0"/>
        </c:dLbls>
        <c:marker val="1"/>
        <c:smooth val="0"/>
        <c:axId val="336770320"/>
        <c:axId val="237431376"/>
      </c:lineChart>
      <c:catAx>
        <c:axId val="33677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431376"/>
        <c:crosses val="autoZero"/>
        <c:auto val="1"/>
        <c:lblAlgn val="ctr"/>
        <c:lblOffset val="100"/>
        <c:noMultiLvlLbl val="0"/>
      </c:catAx>
      <c:valAx>
        <c:axId val="2374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67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Sheet2!$Q$4:$Q$8</c:f>
              <c:strCache>
                <c:ptCount val="4"/>
                <c:pt idx="0">
                  <c:v>Consumer</c:v>
                </c:pt>
                <c:pt idx="1">
                  <c:v>Corporate</c:v>
                </c:pt>
                <c:pt idx="2">
                  <c:v>Home Office</c:v>
                </c:pt>
                <c:pt idx="3">
                  <c:v>(blank)</c:v>
                </c:pt>
              </c:strCache>
            </c:strRef>
          </c:cat>
          <c:val>
            <c:numRef>
              <c:f>Sheet2!$R$4:$R$8</c:f>
              <c:numCache>
                <c:formatCode>General</c:formatCode>
                <c:ptCount val="4"/>
                <c:pt idx="0">
                  <c:v>117508.96000000006</c:v>
                </c:pt>
                <c:pt idx="1">
                  <c:v>123346.79000000001</c:v>
                </c:pt>
                <c:pt idx="2">
                  <c:v>134952.45999999993</c:v>
                </c:pt>
              </c:numCache>
            </c:numRef>
          </c:val>
          <c:extLst>
            <c:ext xmlns:c16="http://schemas.microsoft.com/office/drawing/2014/chart" uri="{C3380CC4-5D6E-409C-BE32-E72D297353CC}">
              <c16:uniqueId val="{00000000-B162-47C9-A0BE-354AC753DF00}"/>
            </c:ext>
          </c:extLst>
        </c:ser>
        <c:dLbls>
          <c:showLegendKey val="0"/>
          <c:showVal val="0"/>
          <c:showCatName val="0"/>
          <c:showSerName val="0"/>
          <c:showPercent val="0"/>
          <c:showBubbleSize val="0"/>
        </c:dLbls>
        <c:gapWidth val="100"/>
        <c:overlap val="-24"/>
        <c:axId val="499998895"/>
        <c:axId val="237399216"/>
      </c:barChart>
      <c:catAx>
        <c:axId val="49999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399216"/>
        <c:crosses val="autoZero"/>
        <c:auto val="1"/>
        <c:lblAlgn val="ctr"/>
        <c:lblOffset val="100"/>
        <c:noMultiLvlLbl val="0"/>
      </c:catAx>
      <c:valAx>
        <c:axId val="23739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99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r>
              <a:rPr lang="en-US"/>
              <a:t>Top</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Sheet2!$R$18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Sheet2!$Q$19:$Q$29</c:f>
              <c:strCache>
                <c:ptCount val="10"/>
                <c:pt idx="0">
                  <c:v>Accessories Product 013</c:v>
                </c:pt>
                <c:pt idx="1">
                  <c:v>Accessories Product 015</c:v>
                </c:pt>
                <c:pt idx="2">
                  <c:v>Accessories Product 094</c:v>
                </c:pt>
                <c:pt idx="3">
                  <c:v>Laptops Product 086</c:v>
                </c:pt>
                <c:pt idx="4">
                  <c:v>Laptops Product 094</c:v>
                </c:pt>
                <c:pt idx="5">
                  <c:v>Printers Product 010</c:v>
                </c:pt>
                <c:pt idx="6">
                  <c:v>Printers Product 026</c:v>
                </c:pt>
                <c:pt idx="7">
                  <c:v>Printers Product 039</c:v>
                </c:pt>
                <c:pt idx="8">
                  <c:v>Printers Product 063</c:v>
                </c:pt>
                <c:pt idx="9">
                  <c:v>Printers Product 081</c:v>
                </c:pt>
              </c:strCache>
            </c:strRef>
          </c:cat>
          <c:val>
            <c:numRef>
              <c:f>Sheet2!$R$19:$R$29</c:f>
              <c:numCache>
                <c:formatCode>General</c:formatCode>
                <c:ptCount val="10"/>
                <c:pt idx="0">
                  <c:v>2500.7600000000002</c:v>
                </c:pt>
                <c:pt idx="1">
                  <c:v>3366.8</c:v>
                </c:pt>
                <c:pt idx="2">
                  <c:v>2096.87</c:v>
                </c:pt>
                <c:pt idx="3">
                  <c:v>2368.62</c:v>
                </c:pt>
                <c:pt idx="4">
                  <c:v>2224.84</c:v>
                </c:pt>
                <c:pt idx="5">
                  <c:v>2105.89</c:v>
                </c:pt>
                <c:pt idx="6">
                  <c:v>3933.59</c:v>
                </c:pt>
                <c:pt idx="7">
                  <c:v>2586.0899999999997</c:v>
                </c:pt>
                <c:pt idx="8">
                  <c:v>2309.7599999999998</c:v>
                </c:pt>
                <c:pt idx="9">
                  <c:v>2098.02</c:v>
                </c:pt>
              </c:numCache>
            </c:numRef>
          </c:val>
          <c:extLst>
            <c:ext xmlns:c16="http://schemas.microsoft.com/office/drawing/2014/chart" uri="{C3380CC4-5D6E-409C-BE32-E72D297353CC}">
              <c16:uniqueId val="{00000003-46CB-4D1B-A9BD-BB9447EF1E32}"/>
            </c:ext>
          </c:extLst>
        </c:ser>
        <c:dLbls>
          <c:showLegendKey val="0"/>
          <c:showVal val="0"/>
          <c:showCatName val="0"/>
          <c:showSerName val="0"/>
          <c:showPercent val="0"/>
          <c:showBubbleSize val="0"/>
        </c:dLbls>
        <c:gapWidth val="150"/>
        <c:axId val="331052176"/>
        <c:axId val="237394896"/>
      </c:barChart>
      <c:catAx>
        <c:axId val="33105217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237394896"/>
        <c:crosses val="autoZero"/>
        <c:auto val="1"/>
        <c:lblAlgn val="ctr"/>
        <c:lblOffset val="100"/>
        <c:noMultiLvlLbl val="0"/>
      </c:catAx>
      <c:valAx>
        <c:axId val="23739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33105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latin typeface="Century Schoolbook" panose="020406040505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Sub Category</a:t>
            </a: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Sheet2!$R$36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Sheet2!$Q$37:$Q$49</c:f>
              <c:strCache>
                <c:ptCount val="12"/>
                <c:pt idx="0">
                  <c:v>Accessories</c:v>
                </c:pt>
                <c:pt idx="1">
                  <c:v>Art Supplies</c:v>
                </c:pt>
                <c:pt idx="2">
                  <c:v>Binders</c:v>
                </c:pt>
                <c:pt idx="3">
                  <c:v>Bookcases</c:v>
                </c:pt>
                <c:pt idx="4">
                  <c:v>Chairs</c:v>
                </c:pt>
                <c:pt idx="5">
                  <c:v>Desks</c:v>
                </c:pt>
                <c:pt idx="6">
                  <c:v>Laptops</c:v>
                </c:pt>
                <c:pt idx="7">
                  <c:v>Paper</c:v>
                </c:pt>
                <c:pt idx="8">
                  <c:v>Phones</c:v>
                </c:pt>
                <c:pt idx="9">
                  <c:v>Printers</c:v>
                </c:pt>
                <c:pt idx="10">
                  <c:v>Storage</c:v>
                </c:pt>
                <c:pt idx="11">
                  <c:v>Tables</c:v>
                </c:pt>
              </c:strCache>
            </c:strRef>
          </c:cat>
          <c:val>
            <c:numRef>
              <c:f>Sheet2!$R$37:$R$49</c:f>
              <c:numCache>
                <c:formatCode>General</c:formatCode>
                <c:ptCount val="12"/>
                <c:pt idx="0">
                  <c:v>4543.5699999999988</c:v>
                </c:pt>
                <c:pt idx="1">
                  <c:v>1165.4999999999993</c:v>
                </c:pt>
                <c:pt idx="2">
                  <c:v>2013.7400000000005</c:v>
                </c:pt>
                <c:pt idx="3">
                  <c:v>1104.0999999999999</c:v>
                </c:pt>
                <c:pt idx="4">
                  <c:v>851.35</c:v>
                </c:pt>
                <c:pt idx="5">
                  <c:v>1375.05</c:v>
                </c:pt>
                <c:pt idx="6">
                  <c:v>3397.16</c:v>
                </c:pt>
                <c:pt idx="7">
                  <c:v>1521.0499999999993</c:v>
                </c:pt>
                <c:pt idx="8">
                  <c:v>2454.7400000000011</c:v>
                </c:pt>
                <c:pt idx="9">
                  <c:v>4110.3799999999983</c:v>
                </c:pt>
                <c:pt idx="10">
                  <c:v>1791.0099999999998</c:v>
                </c:pt>
                <c:pt idx="11">
                  <c:v>-286.71999999999997</c:v>
                </c:pt>
              </c:numCache>
            </c:numRef>
          </c:val>
          <c:extLst>
            <c:ext xmlns:c16="http://schemas.microsoft.com/office/drawing/2014/chart" uri="{C3380CC4-5D6E-409C-BE32-E72D297353CC}">
              <c16:uniqueId val="{00000000-F0FB-4D03-B00B-958846C050C6}"/>
            </c:ext>
          </c:extLst>
        </c:ser>
        <c:dLbls>
          <c:showLegendKey val="0"/>
          <c:showVal val="0"/>
          <c:showCatName val="0"/>
          <c:showSerName val="0"/>
          <c:showPercent val="0"/>
          <c:showBubbleSize val="0"/>
        </c:dLbls>
        <c:gapWidth val="115"/>
        <c:overlap val="-20"/>
        <c:axId val="330998816"/>
        <c:axId val="237409776"/>
      </c:barChart>
      <c:catAx>
        <c:axId val="330998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409776"/>
        <c:crosses val="autoZero"/>
        <c:auto val="1"/>
        <c:lblAlgn val="ctr"/>
        <c:lblOffset val="100"/>
        <c:noMultiLvlLbl val="0"/>
      </c:catAx>
      <c:valAx>
        <c:axId val="23740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9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[Excel_Sales_Dashboard_Dataset.xlsx]Sheet2!PivotTable2</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r>
              <a:rPr lang="en-US"/>
              <a:t>Sales</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9031753088006"/>
          <c:y val="0.2432065039673639"/>
          <c:w val="0.67654340401243418"/>
          <c:h val="0.52802491210953117"/>
        </c:manualLayout>
      </c:layout>
      <c:barChart>
        <c:barDir val="col"/>
        <c:grouping val="clustered"/>
        <c:varyColors val="0"/>
        <c:ser>
          <c:idx val="0"/>
          <c:order val="0"/>
          <c:tx>
            <c:strRef>
              <c:f>Sheet2!$B$3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Furniture</c:v>
                </c:pt>
                <c:pt idx="1">
                  <c:v>Office Supplies</c:v>
                </c:pt>
                <c:pt idx="2">
                  <c:v>Technology</c:v>
                </c:pt>
                <c:pt idx="3">
                  <c:v>(blank)</c:v>
                </c:pt>
              </c:strCache>
            </c:strRef>
          </c:cat>
          <c:val>
            <c:numRef>
              <c:f>Sheet2!$B$4:$B$8</c:f>
              <c:numCache>
                <c:formatCode>General</c:formatCode>
                <c:ptCount val="4"/>
                <c:pt idx="0">
                  <c:v>127287.80000000005</c:v>
                </c:pt>
                <c:pt idx="1">
                  <c:v>61717.419999999976</c:v>
                </c:pt>
                <c:pt idx="2">
                  <c:v>186802.98999999985</c:v>
                </c:pt>
              </c:numCache>
            </c:numRef>
          </c:val>
          <c:extLst>
            <c:ext xmlns:c16="http://schemas.microsoft.com/office/drawing/2014/chart" uri="{C3380CC4-5D6E-409C-BE32-E72D297353CC}">
              <c16:uniqueId val="{00000000-5A01-4B32-B012-14F409A217A6}"/>
            </c:ext>
          </c:extLst>
        </c:ser>
        <c:dLbls>
          <c:dLblPos val="outEnd"/>
          <c:showLegendKey val="0"/>
          <c:showVal val="1"/>
          <c:showCatName val="0"/>
          <c:showSerName val="0"/>
          <c:showPercent val="0"/>
          <c:showBubbleSize val="0"/>
        </c:dLbls>
        <c:gapWidth val="100"/>
        <c:overlap val="-24"/>
        <c:axId val="336735520"/>
        <c:axId val="237455856"/>
      </c:barChart>
      <c:catAx>
        <c:axId val="336735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237455856"/>
        <c:crosses val="autoZero"/>
        <c:auto val="1"/>
        <c:lblAlgn val="ctr"/>
        <c:lblOffset val="100"/>
        <c:noMultiLvlLbl val="0"/>
      </c:catAx>
      <c:valAx>
        <c:axId val="23745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33673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latin typeface="Century Schoolbook" panose="020406040505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Sheet2!$B$15</c:f>
              <c:strCache>
                <c:ptCount val="1"/>
                <c:pt idx="0">
                  <c:v>Total</c:v>
                </c:pt>
              </c:strCache>
            </c:strRef>
          </c:tx>
          <c:dPt>
            <c:idx val="0"/>
            <c:bubble3D val="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844-420B-99CE-41E36D70620A}"/>
              </c:ext>
            </c:extLst>
          </c:dPt>
          <c:dPt>
            <c:idx val="1"/>
            <c:bubble3D val="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844-420B-99CE-41E36D70620A}"/>
              </c:ext>
            </c:extLst>
          </c:dPt>
          <c:dPt>
            <c:idx val="2"/>
            <c:bubble3D val="0"/>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844-420B-99CE-41E36D70620A}"/>
              </c:ext>
            </c:extLst>
          </c:dPt>
          <c:dPt>
            <c:idx val="3"/>
            <c:bubble3D val="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844-420B-99CE-41E36D70620A}"/>
              </c:ext>
            </c:extLst>
          </c:dPt>
          <c:dPt>
            <c:idx val="4"/>
            <c:bubble3D val="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844-420B-99CE-41E36D70620A}"/>
              </c:ext>
            </c:extLst>
          </c:dPt>
          <c:dPt>
            <c:idx val="5"/>
            <c:bubble3D val="0"/>
            <c:spPr>
              <a:gradFill rotWithShape="1">
                <a:gsLst>
                  <a:gs pos="0">
                    <a:schemeClr val="accent4">
                      <a:shade val="53000"/>
                      <a:shade val="51000"/>
                      <a:satMod val="130000"/>
                    </a:schemeClr>
                  </a:gs>
                  <a:gs pos="80000">
                    <a:schemeClr val="accent4">
                      <a:shade val="53000"/>
                      <a:shade val="93000"/>
                      <a:satMod val="130000"/>
                    </a:schemeClr>
                  </a:gs>
                  <a:gs pos="100000">
                    <a:schemeClr val="accent4">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844-420B-99CE-41E36D70620A}"/>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Sheet2!$A$16:$A$21</c:f>
              <c:strCache>
                <c:ptCount val="5"/>
                <c:pt idx="0">
                  <c:v>Central</c:v>
                </c:pt>
                <c:pt idx="1">
                  <c:v>East</c:v>
                </c:pt>
                <c:pt idx="2">
                  <c:v>North</c:v>
                </c:pt>
                <c:pt idx="3">
                  <c:v>South</c:v>
                </c:pt>
                <c:pt idx="4">
                  <c:v>West</c:v>
                </c:pt>
              </c:strCache>
            </c:strRef>
          </c:cat>
          <c:val>
            <c:numRef>
              <c:f>Sheet2!$B$16:$B$21</c:f>
              <c:numCache>
                <c:formatCode>General</c:formatCode>
                <c:ptCount val="5"/>
                <c:pt idx="0">
                  <c:v>4157.1699999999983</c:v>
                </c:pt>
                <c:pt idx="1">
                  <c:v>2554.1500000000005</c:v>
                </c:pt>
                <c:pt idx="2">
                  <c:v>5010.3199999999979</c:v>
                </c:pt>
                <c:pt idx="3">
                  <c:v>7108.1000000000013</c:v>
                </c:pt>
                <c:pt idx="4">
                  <c:v>5211.1899999999969</c:v>
                </c:pt>
              </c:numCache>
            </c:numRef>
          </c:val>
          <c:extLst>
            <c:ext xmlns:c16="http://schemas.microsoft.com/office/drawing/2014/chart" uri="{C3380CC4-5D6E-409C-BE32-E72D297353CC}">
              <c16:uniqueId val="{0000000C-4844-420B-99CE-41E36D7062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Trend By Year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Sheet2!$B$28</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Sheet2!$B$29:$B$41</c:f>
              <c:numCache>
                <c:formatCode>General</c:formatCode>
                <c:ptCount val="12"/>
                <c:pt idx="0">
                  <c:v>40955.800000000003</c:v>
                </c:pt>
                <c:pt idx="1">
                  <c:v>32947.369999999981</c:v>
                </c:pt>
                <c:pt idx="2">
                  <c:v>31434.699999999997</c:v>
                </c:pt>
                <c:pt idx="3">
                  <c:v>30166.720000000008</c:v>
                </c:pt>
                <c:pt idx="4">
                  <c:v>35742.990000000005</c:v>
                </c:pt>
                <c:pt idx="5">
                  <c:v>29779.389999999992</c:v>
                </c:pt>
                <c:pt idx="6">
                  <c:v>26270.360000000004</c:v>
                </c:pt>
                <c:pt idx="7">
                  <c:v>27372.610000000004</c:v>
                </c:pt>
                <c:pt idx="8">
                  <c:v>25801.660000000007</c:v>
                </c:pt>
                <c:pt idx="9">
                  <c:v>33825</c:v>
                </c:pt>
                <c:pt idx="10">
                  <c:v>30227.280000000002</c:v>
                </c:pt>
                <c:pt idx="11">
                  <c:v>31284.329999999998</c:v>
                </c:pt>
              </c:numCache>
            </c:numRef>
          </c:val>
          <c:smooth val="0"/>
          <c:extLst>
            <c:ext xmlns:c16="http://schemas.microsoft.com/office/drawing/2014/chart" uri="{C3380CC4-5D6E-409C-BE32-E72D297353CC}">
              <c16:uniqueId val="{00000000-5022-4498-9759-EFD08C6FFF28}"/>
            </c:ext>
          </c:extLst>
        </c:ser>
        <c:dLbls>
          <c:showLegendKey val="0"/>
          <c:showVal val="0"/>
          <c:showCatName val="0"/>
          <c:showSerName val="0"/>
          <c:showPercent val="0"/>
          <c:showBubbleSize val="0"/>
        </c:dLbls>
        <c:marker val="1"/>
        <c:smooth val="0"/>
        <c:axId val="336770320"/>
        <c:axId val="237431376"/>
      </c:lineChart>
      <c:catAx>
        <c:axId val="33677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431376"/>
        <c:crosses val="autoZero"/>
        <c:auto val="1"/>
        <c:lblAlgn val="ctr"/>
        <c:lblOffset val="100"/>
        <c:noMultiLvlLbl val="0"/>
      </c:catAx>
      <c:valAx>
        <c:axId val="2374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67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[Excel_Sales_Dashboard_Dataset.xlsx]Sheet2!PivotTable5</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Sheet2!$Q$4:$Q$8</c:f>
              <c:strCache>
                <c:ptCount val="4"/>
                <c:pt idx="0">
                  <c:v>Consumer</c:v>
                </c:pt>
                <c:pt idx="1">
                  <c:v>Corporate</c:v>
                </c:pt>
                <c:pt idx="2">
                  <c:v>Home Office</c:v>
                </c:pt>
                <c:pt idx="3">
                  <c:v>(blank)</c:v>
                </c:pt>
              </c:strCache>
            </c:strRef>
          </c:cat>
          <c:val>
            <c:numRef>
              <c:f>Sheet2!$R$4:$R$8</c:f>
              <c:numCache>
                <c:formatCode>General</c:formatCode>
                <c:ptCount val="4"/>
                <c:pt idx="0">
                  <c:v>117508.96000000006</c:v>
                </c:pt>
                <c:pt idx="1">
                  <c:v>123346.79000000001</c:v>
                </c:pt>
                <c:pt idx="2">
                  <c:v>134952.45999999993</c:v>
                </c:pt>
              </c:numCache>
            </c:numRef>
          </c:val>
          <c:extLst>
            <c:ext xmlns:c16="http://schemas.microsoft.com/office/drawing/2014/chart" uri="{C3380CC4-5D6E-409C-BE32-E72D297353CC}">
              <c16:uniqueId val="{00000000-337C-415B-9A9A-3C35438811F3}"/>
            </c:ext>
          </c:extLst>
        </c:ser>
        <c:dLbls>
          <c:showLegendKey val="0"/>
          <c:showVal val="0"/>
          <c:showCatName val="0"/>
          <c:showSerName val="0"/>
          <c:showPercent val="0"/>
          <c:showBubbleSize val="0"/>
        </c:dLbls>
        <c:gapWidth val="100"/>
        <c:overlap val="-24"/>
        <c:axId val="499998895"/>
        <c:axId val="237399216"/>
      </c:barChart>
      <c:catAx>
        <c:axId val="49999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399216"/>
        <c:crosses val="autoZero"/>
        <c:auto val="1"/>
        <c:lblAlgn val="ctr"/>
        <c:lblOffset val="100"/>
        <c:noMultiLvlLbl val="0"/>
      </c:catAx>
      <c:valAx>
        <c:axId val="23739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99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[Excel_Sales_Dashboard_Dataset.xlsx]Sheet2!PivotTable6</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r>
              <a:rPr lang="en-US"/>
              <a:t>Qty</a:t>
            </a:r>
            <a:r>
              <a:rPr lang="en-US" baseline="0"/>
              <a:t> Sold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Schoolbook"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Sheet2!$R$18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Sheet2!$Q$19:$Q$29</c:f>
              <c:strCache>
                <c:ptCount val="10"/>
                <c:pt idx="0">
                  <c:v>Accessories Product 013</c:v>
                </c:pt>
                <c:pt idx="1">
                  <c:v>Accessories Product 015</c:v>
                </c:pt>
                <c:pt idx="2">
                  <c:v>Accessories Product 094</c:v>
                </c:pt>
                <c:pt idx="3">
                  <c:v>Laptops Product 086</c:v>
                </c:pt>
                <c:pt idx="4">
                  <c:v>Laptops Product 094</c:v>
                </c:pt>
                <c:pt idx="5">
                  <c:v>Printers Product 010</c:v>
                </c:pt>
                <c:pt idx="6">
                  <c:v>Printers Product 026</c:v>
                </c:pt>
                <c:pt idx="7">
                  <c:v>Printers Product 039</c:v>
                </c:pt>
                <c:pt idx="8">
                  <c:v>Printers Product 063</c:v>
                </c:pt>
                <c:pt idx="9">
                  <c:v>Printers Product 081</c:v>
                </c:pt>
              </c:strCache>
            </c:strRef>
          </c:cat>
          <c:val>
            <c:numRef>
              <c:f>Sheet2!$R$19:$R$29</c:f>
              <c:numCache>
                <c:formatCode>General</c:formatCode>
                <c:ptCount val="10"/>
                <c:pt idx="0">
                  <c:v>2500.7600000000002</c:v>
                </c:pt>
                <c:pt idx="1">
                  <c:v>3366.8</c:v>
                </c:pt>
                <c:pt idx="2">
                  <c:v>2096.87</c:v>
                </c:pt>
                <c:pt idx="3">
                  <c:v>2368.62</c:v>
                </c:pt>
                <c:pt idx="4">
                  <c:v>2224.84</c:v>
                </c:pt>
                <c:pt idx="5">
                  <c:v>2105.89</c:v>
                </c:pt>
                <c:pt idx="6">
                  <c:v>3933.59</c:v>
                </c:pt>
                <c:pt idx="7">
                  <c:v>2586.0899999999997</c:v>
                </c:pt>
                <c:pt idx="8">
                  <c:v>2309.7599999999998</c:v>
                </c:pt>
                <c:pt idx="9">
                  <c:v>2098.02</c:v>
                </c:pt>
              </c:numCache>
            </c:numRef>
          </c:val>
          <c:extLst>
            <c:ext xmlns:c16="http://schemas.microsoft.com/office/drawing/2014/chart" uri="{C3380CC4-5D6E-409C-BE32-E72D297353CC}">
              <c16:uniqueId val="{00000001-CF4A-480F-BACA-2175412F2683}"/>
            </c:ext>
          </c:extLst>
        </c:ser>
        <c:dLbls>
          <c:showLegendKey val="0"/>
          <c:showVal val="0"/>
          <c:showCatName val="0"/>
          <c:showSerName val="0"/>
          <c:showPercent val="0"/>
          <c:showBubbleSize val="0"/>
        </c:dLbls>
        <c:gapWidth val="150"/>
        <c:axId val="331052176"/>
        <c:axId val="237394896"/>
      </c:barChart>
      <c:catAx>
        <c:axId val="33105217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237394896"/>
        <c:crosses val="autoZero"/>
        <c:auto val="1"/>
        <c:lblAlgn val="ctr"/>
        <c:lblOffset val="100"/>
        <c:noMultiLvlLbl val="0"/>
      </c:catAx>
      <c:valAx>
        <c:axId val="23739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crossAx val="33105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Schoolbook" panose="02040604050505020304" pitchFamily="18"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latin typeface="Century Schoolbook" panose="020406040505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[Excel_Sales_Dashboard_Dataset.xlsx]Sheet2!PivotTable7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Sub Category</a:t>
            </a: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Sheet2!$R$36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Sheet2!$Q$37:$Q$49</c:f>
              <c:strCache>
                <c:ptCount val="12"/>
                <c:pt idx="0">
                  <c:v>Accessories</c:v>
                </c:pt>
                <c:pt idx="1">
                  <c:v>Art Supplies</c:v>
                </c:pt>
                <c:pt idx="2">
                  <c:v>Binders</c:v>
                </c:pt>
                <c:pt idx="3">
                  <c:v>Bookcases</c:v>
                </c:pt>
                <c:pt idx="4">
                  <c:v>Chairs</c:v>
                </c:pt>
                <c:pt idx="5">
                  <c:v>Desks</c:v>
                </c:pt>
                <c:pt idx="6">
                  <c:v>Laptops</c:v>
                </c:pt>
                <c:pt idx="7">
                  <c:v>Paper</c:v>
                </c:pt>
                <c:pt idx="8">
                  <c:v>Phones</c:v>
                </c:pt>
                <c:pt idx="9">
                  <c:v>Printers</c:v>
                </c:pt>
                <c:pt idx="10">
                  <c:v>Storage</c:v>
                </c:pt>
                <c:pt idx="11">
                  <c:v>Tables</c:v>
                </c:pt>
              </c:strCache>
            </c:strRef>
          </c:cat>
          <c:val>
            <c:numRef>
              <c:f>Sheet2!$R$37:$R$49</c:f>
              <c:numCache>
                <c:formatCode>General</c:formatCode>
                <c:ptCount val="12"/>
                <c:pt idx="0">
                  <c:v>4543.5699999999988</c:v>
                </c:pt>
                <c:pt idx="1">
                  <c:v>1165.4999999999993</c:v>
                </c:pt>
                <c:pt idx="2">
                  <c:v>2013.7400000000005</c:v>
                </c:pt>
                <c:pt idx="3">
                  <c:v>1104.0999999999999</c:v>
                </c:pt>
                <c:pt idx="4">
                  <c:v>851.35</c:v>
                </c:pt>
                <c:pt idx="5">
                  <c:v>1375.05</c:v>
                </c:pt>
                <c:pt idx="6">
                  <c:v>3397.16</c:v>
                </c:pt>
                <c:pt idx="7">
                  <c:v>1521.0499999999993</c:v>
                </c:pt>
                <c:pt idx="8">
                  <c:v>2454.7400000000011</c:v>
                </c:pt>
                <c:pt idx="9">
                  <c:v>4110.3799999999983</c:v>
                </c:pt>
                <c:pt idx="10">
                  <c:v>1791.0099999999998</c:v>
                </c:pt>
                <c:pt idx="11">
                  <c:v>-286.71999999999997</c:v>
                </c:pt>
              </c:numCache>
            </c:numRef>
          </c:val>
          <c:extLst>
            <c:ext xmlns:c16="http://schemas.microsoft.com/office/drawing/2014/chart" uri="{C3380CC4-5D6E-409C-BE32-E72D297353CC}">
              <c16:uniqueId val="{00000000-CD55-4B56-91F0-32A18C55B672}"/>
            </c:ext>
          </c:extLst>
        </c:ser>
        <c:dLbls>
          <c:showLegendKey val="0"/>
          <c:showVal val="0"/>
          <c:showCatName val="0"/>
          <c:showSerName val="0"/>
          <c:showPercent val="0"/>
          <c:showBubbleSize val="0"/>
        </c:dLbls>
        <c:gapWidth val="115"/>
        <c:overlap val="-20"/>
        <c:axId val="330998816"/>
        <c:axId val="237409776"/>
      </c:barChart>
      <c:catAx>
        <c:axId val="330998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409776"/>
        <c:crosses val="autoZero"/>
        <c:auto val="1"/>
        <c:lblAlgn val="ctr"/>
        <c:lblOffset val="100"/>
        <c:noMultiLvlLbl val="0"/>
      </c:catAx>
      <c:valAx>
        <c:axId val="23740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9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635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6" Type="http://schemas.openxmlformats.org/officeDocument/2006/relationships/image" Target="../media/image10.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7.png"/><Relationship Id="rId3" Type="http://schemas.openxmlformats.org/officeDocument/2006/relationships/chart" Target="../charts/chart15.xml"/><Relationship Id="rId7" Type="http://schemas.openxmlformats.org/officeDocument/2006/relationships/image" Target="../media/image11.png"/><Relationship Id="rId12" Type="http://schemas.openxmlformats.org/officeDocument/2006/relationships/image" Target="../media/image16.svg"/><Relationship Id="rId2" Type="http://schemas.openxmlformats.org/officeDocument/2006/relationships/chart" Target="../charts/chart14.xml"/><Relationship Id="rId16" Type="http://schemas.openxmlformats.org/officeDocument/2006/relationships/image" Target="../media/image10.svg"/><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15.png"/><Relationship Id="rId5" Type="http://schemas.openxmlformats.org/officeDocument/2006/relationships/chart" Target="../charts/chart17.xml"/><Relationship Id="rId15" Type="http://schemas.openxmlformats.org/officeDocument/2006/relationships/image" Target="../media/image9.png"/><Relationship Id="rId10" Type="http://schemas.openxmlformats.org/officeDocument/2006/relationships/image" Target="../media/image14.svg"/><Relationship Id="rId4" Type="http://schemas.openxmlformats.org/officeDocument/2006/relationships/chart" Target="../charts/chart16.xml"/><Relationship Id="rId9" Type="http://schemas.openxmlformats.org/officeDocument/2006/relationships/image" Target="../media/image13.png"/><Relationship Id="rId14"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3</xdr:col>
      <xdr:colOff>480060</xdr:colOff>
      <xdr:row>0</xdr:row>
      <xdr:rowOff>26670</xdr:rowOff>
    </xdr:from>
    <xdr:to>
      <xdr:col>9</xdr:col>
      <xdr:colOff>373380</xdr:colOff>
      <xdr:row>11</xdr:row>
      <xdr:rowOff>99060</xdr:rowOff>
    </xdr:to>
    <xdr:graphicFrame macro="">
      <xdr:nvGraphicFramePr>
        <xdr:cNvPr id="2" name="Chart 1">
          <a:extLst>
            <a:ext uri="{FF2B5EF4-FFF2-40B4-BE49-F238E27FC236}">
              <a16:creationId xmlns:a16="http://schemas.microsoft.com/office/drawing/2014/main" id="{393398F1-B003-C8B2-7B48-C8F65B4B8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373380</xdr:colOff>
      <xdr:row>11</xdr:row>
      <xdr:rowOff>156210</xdr:rowOff>
    </xdr:from>
    <xdr:to>
      <xdr:col>8</xdr:col>
      <xdr:colOff>281946</xdr:colOff>
      <xdr:row>25</xdr:row>
      <xdr:rowOff>152400</xdr:rowOff>
    </xdr:to>
    <xdr:graphicFrame macro="">
      <xdr:nvGraphicFramePr>
        <xdr:cNvPr id="3" name="Chart 2">
          <a:extLst>
            <a:ext uri="{FF2B5EF4-FFF2-40B4-BE49-F238E27FC236}">
              <a16:creationId xmlns:a16="http://schemas.microsoft.com/office/drawing/2014/main" id="{EEB4AAC5-2843-8611-C7BB-9ACC2F58E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26</xdr:row>
      <xdr:rowOff>11430</xdr:rowOff>
    </xdr:from>
    <xdr:to>
      <xdr:col>9</xdr:col>
      <xdr:colOff>365760</xdr:colOff>
      <xdr:row>38</xdr:row>
      <xdr:rowOff>91440</xdr:rowOff>
    </xdr:to>
    <xdr:graphicFrame macro="">
      <xdr:nvGraphicFramePr>
        <xdr:cNvPr id="4" name="Chart 3">
          <a:extLst>
            <a:ext uri="{FF2B5EF4-FFF2-40B4-BE49-F238E27FC236}">
              <a16:creationId xmlns:a16="http://schemas.microsoft.com/office/drawing/2014/main" id="{89DC0859-F394-B0F7-B425-329F9BF99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350520</xdr:colOff>
      <xdr:row>0</xdr:row>
      <xdr:rowOff>128270</xdr:rowOff>
    </xdr:from>
    <xdr:to>
      <xdr:col>23</xdr:col>
      <xdr:colOff>99066</xdr:colOff>
      <xdr:row>12</xdr:row>
      <xdr:rowOff>142240</xdr:rowOff>
    </xdr:to>
    <xdr:graphicFrame macro="">
      <xdr:nvGraphicFramePr>
        <xdr:cNvPr id="5" name="Chart 4">
          <a:extLst>
            <a:ext uri="{FF2B5EF4-FFF2-40B4-BE49-F238E27FC236}">
              <a16:creationId xmlns:a16="http://schemas.microsoft.com/office/drawing/2014/main" id="{01AAE739-3B38-08E8-877C-190B656E3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457200</xdr:colOff>
      <xdr:row>15</xdr:row>
      <xdr:rowOff>105410</xdr:rowOff>
    </xdr:from>
    <xdr:to>
      <xdr:col>25</xdr:col>
      <xdr:colOff>601986</xdr:colOff>
      <xdr:row>27</xdr:row>
      <xdr:rowOff>162560</xdr:rowOff>
    </xdr:to>
    <xdr:graphicFrame macro="">
      <xdr:nvGraphicFramePr>
        <xdr:cNvPr id="6" name="Chart 5">
          <a:extLst>
            <a:ext uri="{FF2B5EF4-FFF2-40B4-BE49-F238E27FC236}">
              <a16:creationId xmlns:a16="http://schemas.microsoft.com/office/drawing/2014/main" id="{A8EDA134-7E48-3C6C-9DA1-DDAC854C6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513080</xdr:colOff>
      <xdr:row>30</xdr:row>
      <xdr:rowOff>36830</xdr:rowOff>
    </xdr:from>
    <xdr:to>
      <xdr:col>24</xdr:col>
      <xdr:colOff>535946</xdr:colOff>
      <xdr:row>41</xdr:row>
      <xdr:rowOff>142240</xdr:rowOff>
    </xdr:to>
    <xdr:graphicFrame macro="">
      <xdr:nvGraphicFramePr>
        <xdr:cNvPr id="7" name="Chart 6">
          <a:extLst>
            <a:ext uri="{FF2B5EF4-FFF2-40B4-BE49-F238E27FC236}">
              <a16:creationId xmlns:a16="http://schemas.microsoft.com/office/drawing/2014/main" id="{63AE008C-00CD-AC51-51B2-2E4A1ABB7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24987</xdr:colOff>
      <xdr:row>7</xdr:row>
      <xdr:rowOff>77792</xdr:rowOff>
    </xdr:from>
    <xdr:to>
      <xdr:col>12</xdr:col>
      <xdr:colOff>540773</xdr:colOff>
      <xdr:row>21</xdr:row>
      <xdr:rowOff>61451</xdr:rowOff>
    </xdr:to>
    <xdr:graphicFrame macro="">
      <xdr:nvGraphicFramePr>
        <xdr:cNvPr id="3" name="Chart 2">
          <a:extLst>
            <a:ext uri="{FF2B5EF4-FFF2-40B4-BE49-F238E27FC236}">
              <a16:creationId xmlns:a16="http://schemas.microsoft.com/office/drawing/2014/main" id="{7EC5B10B-1E4E-46D8-BFD6-DCEE77517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491612</xdr:colOff>
      <xdr:row>7</xdr:row>
      <xdr:rowOff>51331</xdr:rowOff>
    </xdr:from>
    <xdr:to>
      <xdr:col>17</xdr:col>
      <xdr:colOff>479323</xdr:colOff>
      <xdr:row>23</xdr:row>
      <xdr:rowOff>36871</xdr:rowOff>
    </xdr:to>
    <xdr:graphicFrame macro="">
      <xdr:nvGraphicFramePr>
        <xdr:cNvPr id="4" name="Chart 3">
          <a:extLst>
            <a:ext uri="{FF2B5EF4-FFF2-40B4-BE49-F238E27FC236}">
              <a16:creationId xmlns:a16="http://schemas.microsoft.com/office/drawing/2014/main" id="{5DAE10FF-1342-491A-8E97-ED4AC560E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503903</xdr:colOff>
      <xdr:row>36</xdr:row>
      <xdr:rowOff>36870</xdr:rowOff>
    </xdr:from>
    <xdr:to>
      <xdr:col>17</xdr:col>
      <xdr:colOff>503903</xdr:colOff>
      <xdr:row>48</xdr:row>
      <xdr:rowOff>61451</xdr:rowOff>
    </xdr:to>
    <xdr:graphicFrame macro="">
      <xdr:nvGraphicFramePr>
        <xdr:cNvPr id="5" name="Chart 4">
          <a:extLst>
            <a:ext uri="{FF2B5EF4-FFF2-40B4-BE49-F238E27FC236}">
              <a16:creationId xmlns:a16="http://schemas.microsoft.com/office/drawing/2014/main" id="{07D32525-116D-4B24-8E10-556525DA9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479321</xdr:colOff>
      <xdr:row>22</xdr:row>
      <xdr:rowOff>135193</xdr:rowOff>
    </xdr:from>
    <xdr:to>
      <xdr:col>17</xdr:col>
      <xdr:colOff>503903</xdr:colOff>
      <xdr:row>36</xdr:row>
      <xdr:rowOff>73741</xdr:rowOff>
    </xdr:to>
    <xdr:graphicFrame macro="">
      <xdr:nvGraphicFramePr>
        <xdr:cNvPr id="6" name="Chart 5">
          <a:extLst>
            <a:ext uri="{FF2B5EF4-FFF2-40B4-BE49-F238E27FC236}">
              <a16:creationId xmlns:a16="http://schemas.microsoft.com/office/drawing/2014/main" id="{12E531DD-9C6D-402D-BC43-70673595E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63373</xdr:colOff>
      <xdr:row>21</xdr:row>
      <xdr:rowOff>12290</xdr:rowOff>
    </xdr:from>
    <xdr:to>
      <xdr:col>12</xdr:col>
      <xdr:colOff>540774</xdr:colOff>
      <xdr:row>34</xdr:row>
      <xdr:rowOff>122902</xdr:rowOff>
    </xdr:to>
    <xdr:graphicFrame macro="">
      <xdr:nvGraphicFramePr>
        <xdr:cNvPr id="7" name="Chart 6">
          <a:extLst>
            <a:ext uri="{FF2B5EF4-FFF2-40B4-BE49-F238E27FC236}">
              <a16:creationId xmlns:a16="http://schemas.microsoft.com/office/drawing/2014/main" id="{E6AF898D-C82B-4A95-A5C5-241D6C961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99087</xdr:colOff>
      <xdr:row>34</xdr:row>
      <xdr:rowOff>73742</xdr:rowOff>
    </xdr:from>
    <xdr:to>
      <xdr:col>12</xdr:col>
      <xdr:colOff>565354</xdr:colOff>
      <xdr:row>48</xdr:row>
      <xdr:rowOff>98323</xdr:rowOff>
    </xdr:to>
    <xdr:graphicFrame macro="">
      <xdr:nvGraphicFramePr>
        <xdr:cNvPr id="8" name="Chart 7">
          <a:extLst>
            <a:ext uri="{FF2B5EF4-FFF2-40B4-BE49-F238E27FC236}">
              <a16:creationId xmlns:a16="http://schemas.microsoft.com/office/drawing/2014/main" id="{F77F2D63-6EDC-4BCA-AF2E-058510BB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97628</xdr:colOff>
      <xdr:row>17</xdr:row>
      <xdr:rowOff>102072</xdr:rowOff>
    </xdr:from>
    <xdr:to>
      <xdr:col>6</xdr:col>
      <xdr:colOff>30799</xdr:colOff>
      <xdr:row>27</xdr:row>
      <xdr:rowOff>52885</xdr:rowOff>
    </xdr:to>
    <xdr:sp macro="" textlink="Sheet2!N10">
      <xdr:nvSpPr>
        <xdr:cNvPr id="11" name="Rectangle: Diagonal Corners Rounded 10">
          <a:extLst>
            <a:ext uri="{FF2B5EF4-FFF2-40B4-BE49-F238E27FC236}">
              <a16:creationId xmlns:a16="http://schemas.microsoft.com/office/drawing/2014/main" id="{1259706E-44AA-644D-DAA8-0439FDCC5769}"/>
            </a:ext>
          </a:extLst>
        </xdr:cNvPr>
        <xdr:cNvSpPr/>
      </xdr:nvSpPr>
      <xdr:spPr>
        <a:xfrm>
          <a:off x="1321446" y="3888981"/>
          <a:ext cx="2380808" cy="1798086"/>
        </a:xfrm>
        <a:prstGeom prst="round2DiagRect">
          <a:avLst/>
        </a:prstGeom>
        <a:ln>
          <a:solidFill>
            <a:schemeClr val="bg1"/>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2400" b="0" i="0">
              <a:solidFill>
                <a:schemeClr val="accent4">
                  <a:lumMod val="50000"/>
                </a:schemeClr>
              </a:solidFill>
              <a:effectLst/>
              <a:latin typeface="Century Schoolbook" panose="02040604050505020304" pitchFamily="18" charset="0"/>
              <a:ea typeface="+mn-ea"/>
              <a:cs typeface="+mn-cs"/>
            </a:rPr>
            <a:t>TOTAL</a:t>
          </a:r>
          <a:endParaRPr lang="en-IN" sz="2400">
            <a:solidFill>
              <a:schemeClr val="accent4">
                <a:lumMod val="50000"/>
              </a:schemeClr>
            </a:solidFill>
            <a:effectLst/>
            <a:latin typeface="Century Schoolbook" panose="02040604050505020304" pitchFamily="18" charset="0"/>
          </a:endParaRPr>
        </a:p>
        <a:p>
          <a:r>
            <a:rPr lang="en-US" sz="2400" b="0" i="0">
              <a:solidFill>
                <a:schemeClr val="accent4">
                  <a:lumMod val="50000"/>
                </a:schemeClr>
              </a:solidFill>
              <a:effectLst/>
              <a:latin typeface="Century Schoolbook" panose="02040604050505020304" pitchFamily="18" charset="0"/>
              <a:ea typeface="+mn-ea"/>
              <a:cs typeface="+mn-cs"/>
            </a:rPr>
            <a:t>QTY</a:t>
          </a:r>
          <a:endParaRPr lang="en-IN" sz="2400">
            <a:solidFill>
              <a:schemeClr val="accent4">
                <a:lumMod val="50000"/>
              </a:schemeClr>
            </a:solidFill>
            <a:effectLst/>
            <a:latin typeface="Century Schoolbook" panose="02040604050505020304" pitchFamily="18" charset="0"/>
          </a:endParaRPr>
        </a:p>
        <a:p>
          <a:pPr algn="l"/>
          <a:fld id="{C2B3E915-6852-4437-A643-CDD6B8ED676A}" type="TxLink">
            <a:rPr lang="en-US" sz="2400" b="0" i="0" u="none" strike="noStrike">
              <a:solidFill>
                <a:schemeClr val="accent4">
                  <a:lumMod val="50000"/>
                </a:schemeClr>
              </a:solidFill>
              <a:latin typeface="Century Schoolbook" panose="02040604050505020304" pitchFamily="18" charset="0"/>
              <a:ea typeface="Calibri"/>
              <a:cs typeface="Calibri"/>
            </a:rPr>
            <a:pPr algn="l"/>
            <a:t>7359</a:t>
          </a:fld>
          <a:endParaRPr lang="en-IN" sz="4800">
            <a:solidFill>
              <a:schemeClr val="accent4">
                <a:lumMod val="50000"/>
              </a:schemeClr>
            </a:solidFill>
            <a:latin typeface="Century Schoolbook" panose="02040604050505020304" pitchFamily="18" charset="0"/>
          </a:endParaRPr>
        </a:p>
      </xdr:txBody>
    </xdr:sp>
    <xdr:clientData/>
  </xdr:twoCellAnchor>
  <xdr:twoCellAnchor>
    <xdr:from>
      <xdr:col>2</xdr:col>
      <xdr:colOff>110614</xdr:colOff>
      <xdr:row>28</xdr:row>
      <xdr:rowOff>19202</xdr:rowOff>
    </xdr:from>
    <xdr:to>
      <xdr:col>6</xdr:col>
      <xdr:colOff>30341</xdr:colOff>
      <xdr:row>37</xdr:row>
      <xdr:rowOff>172065</xdr:rowOff>
    </xdr:to>
    <xdr:sp macro="" textlink="Sheet2!N14">
      <xdr:nvSpPr>
        <xdr:cNvPr id="12" name="Rectangle: Diagonal Corners Rounded 11">
          <a:extLst>
            <a:ext uri="{FF2B5EF4-FFF2-40B4-BE49-F238E27FC236}">
              <a16:creationId xmlns:a16="http://schemas.microsoft.com/office/drawing/2014/main" id="{0D6918FB-0133-8DEC-9C39-63911B23B7CB}"/>
            </a:ext>
          </a:extLst>
        </xdr:cNvPr>
        <xdr:cNvSpPr/>
      </xdr:nvSpPr>
      <xdr:spPr>
        <a:xfrm>
          <a:off x="1339646" y="5832525"/>
          <a:ext cx="2377792" cy="1812056"/>
        </a:xfrm>
        <a:prstGeom prst="round2DiagRect">
          <a:avLst/>
        </a:prstGeom>
        <a:ln>
          <a:solidFill>
            <a:schemeClr val="bg1"/>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2400" b="0" i="0">
              <a:solidFill>
                <a:schemeClr val="accent4">
                  <a:lumMod val="50000"/>
                </a:schemeClr>
              </a:solidFill>
              <a:effectLst/>
              <a:latin typeface="Century Schoolbook" panose="02040604050505020304" pitchFamily="18" charset="0"/>
              <a:ea typeface="+mn-ea"/>
              <a:cs typeface="+mn-cs"/>
            </a:rPr>
            <a:t>TOTAL</a:t>
          </a:r>
          <a:r>
            <a:rPr lang="en-US" sz="2400" b="0" i="0" baseline="0">
              <a:solidFill>
                <a:schemeClr val="accent4">
                  <a:lumMod val="50000"/>
                </a:schemeClr>
              </a:solidFill>
              <a:effectLst/>
              <a:latin typeface="Century Schoolbook" panose="02040604050505020304" pitchFamily="18" charset="0"/>
              <a:ea typeface="+mn-ea"/>
              <a:cs typeface="+mn-cs"/>
            </a:rPr>
            <a:t> </a:t>
          </a:r>
          <a:endParaRPr lang="en-IN" sz="2400">
            <a:solidFill>
              <a:schemeClr val="accent4">
                <a:lumMod val="50000"/>
              </a:schemeClr>
            </a:solidFill>
            <a:effectLst/>
            <a:latin typeface="Century Schoolbook" panose="02040604050505020304" pitchFamily="18" charset="0"/>
          </a:endParaRPr>
        </a:p>
        <a:p>
          <a:r>
            <a:rPr lang="en-US" sz="2400" b="0" i="0" baseline="0">
              <a:solidFill>
                <a:schemeClr val="accent4">
                  <a:lumMod val="50000"/>
                </a:schemeClr>
              </a:solidFill>
              <a:effectLst/>
              <a:latin typeface="Century Schoolbook" panose="02040604050505020304" pitchFamily="18" charset="0"/>
              <a:ea typeface="+mn-ea"/>
              <a:cs typeface="+mn-cs"/>
            </a:rPr>
            <a:t>PROFIT</a:t>
          </a:r>
          <a:endParaRPr lang="en-IN" sz="2400">
            <a:solidFill>
              <a:schemeClr val="accent4">
                <a:lumMod val="50000"/>
              </a:schemeClr>
            </a:solidFill>
            <a:effectLst/>
            <a:latin typeface="Century Schoolbook" panose="02040604050505020304" pitchFamily="18" charset="0"/>
          </a:endParaRPr>
        </a:p>
        <a:p>
          <a:pPr algn="l"/>
          <a:r>
            <a:rPr lang="en-US" sz="2400" b="0" i="0" u="none" strike="noStrike">
              <a:solidFill>
                <a:schemeClr val="accent4">
                  <a:lumMod val="50000"/>
                </a:schemeClr>
              </a:solidFill>
              <a:latin typeface="Century Schoolbook" panose="02040604050505020304" pitchFamily="18" charset="0"/>
              <a:ea typeface="Calibri"/>
              <a:cs typeface="Calibri"/>
            </a:rPr>
            <a:t>$</a:t>
          </a:r>
          <a:fld id="{50C8E830-07F0-41CF-A97B-7BFE101E77D5}" type="TxLink">
            <a:rPr lang="en-US" sz="2400" b="0" i="0" u="none" strike="noStrike">
              <a:solidFill>
                <a:schemeClr val="accent4">
                  <a:lumMod val="50000"/>
                </a:schemeClr>
              </a:solidFill>
              <a:latin typeface="Century Schoolbook" panose="02040604050505020304" pitchFamily="18" charset="0"/>
              <a:ea typeface="Calibri"/>
              <a:cs typeface="Calibri"/>
            </a:rPr>
            <a:pPr algn="l"/>
            <a:t>24040.93</a:t>
          </a:fld>
          <a:endParaRPr lang="en-IN" sz="4800">
            <a:solidFill>
              <a:schemeClr val="accent4">
                <a:lumMod val="50000"/>
              </a:schemeClr>
            </a:solidFill>
            <a:latin typeface="Century Schoolbook" panose="02040604050505020304" pitchFamily="18" charset="0"/>
          </a:endParaRPr>
        </a:p>
      </xdr:txBody>
    </xdr:sp>
    <xdr:clientData/>
  </xdr:twoCellAnchor>
  <xdr:twoCellAnchor>
    <xdr:from>
      <xdr:col>2</xdr:col>
      <xdr:colOff>120956</xdr:colOff>
      <xdr:row>38</xdr:row>
      <xdr:rowOff>61066</xdr:rowOff>
    </xdr:from>
    <xdr:to>
      <xdr:col>6</xdr:col>
      <xdr:colOff>54127</xdr:colOff>
      <xdr:row>47</xdr:row>
      <xdr:rowOff>159773</xdr:rowOff>
    </xdr:to>
    <xdr:sp macro="" textlink="Sheet2!N18">
      <xdr:nvSpPr>
        <xdr:cNvPr id="13" name="Rectangle: Diagonal Corners Rounded 12">
          <a:extLst>
            <a:ext uri="{FF2B5EF4-FFF2-40B4-BE49-F238E27FC236}">
              <a16:creationId xmlns:a16="http://schemas.microsoft.com/office/drawing/2014/main" id="{E12F0545-D0E3-D4C1-FC1C-DE503BDF237B}"/>
            </a:ext>
          </a:extLst>
        </xdr:cNvPr>
        <xdr:cNvSpPr/>
      </xdr:nvSpPr>
      <xdr:spPr>
        <a:xfrm>
          <a:off x="1349988" y="7717937"/>
          <a:ext cx="2391236" cy="1757901"/>
        </a:xfrm>
        <a:prstGeom prst="round2DiagRect">
          <a:avLst/>
        </a:prstGeom>
        <a:ln>
          <a:solidFill>
            <a:schemeClr val="bg1"/>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2400" b="0" i="0">
              <a:solidFill>
                <a:schemeClr val="accent4">
                  <a:lumMod val="50000"/>
                </a:schemeClr>
              </a:solidFill>
              <a:effectLst/>
              <a:latin typeface="Century Schoolbook" panose="02040604050505020304" pitchFamily="18" charset="0"/>
              <a:ea typeface="+mn-ea"/>
              <a:cs typeface="+mn-cs"/>
            </a:rPr>
            <a:t>TOTAL</a:t>
          </a:r>
          <a:endParaRPr lang="en-IN" sz="2400">
            <a:solidFill>
              <a:schemeClr val="accent4">
                <a:lumMod val="50000"/>
              </a:schemeClr>
            </a:solidFill>
            <a:effectLst/>
            <a:latin typeface="Century Schoolbook" panose="02040604050505020304" pitchFamily="18" charset="0"/>
          </a:endParaRPr>
        </a:p>
        <a:p>
          <a:r>
            <a:rPr lang="en-US" sz="2400" b="0" i="0">
              <a:solidFill>
                <a:schemeClr val="accent4">
                  <a:lumMod val="50000"/>
                </a:schemeClr>
              </a:solidFill>
              <a:effectLst/>
              <a:latin typeface="Century Schoolbook" panose="02040604050505020304" pitchFamily="18" charset="0"/>
              <a:ea typeface="+mn-ea"/>
              <a:cs typeface="+mn-cs"/>
            </a:rPr>
            <a:t>ORDERS</a:t>
          </a:r>
          <a:endParaRPr lang="en-IN" sz="2400">
            <a:solidFill>
              <a:schemeClr val="accent4">
                <a:lumMod val="50000"/>
              </a:schemeClr>
            </a:solidFill>
            <a:effectLst/>
            <a:latin typeface="Century Schoolbook" panose="02040604050505020304" pitchFamily="18" charset="0"/>
          </a:endParaRPr>
        </a:p>
        <a:p>
          <a:pPr algn="l"/>
          <a:fld id="{9FA6C4DF-4ED3-4A77-819F-B3935C1DAF36}" type="TxLink">
            <a:rPr lang="en-US" sz="2400" b="0" i="0" u="none" strike="noStrike">
              <a:solidFill>
                <a:schemeClr val="accent4">
                  <a:lumMod val="50000"/>
                </a:schemeClr>
              </a:solidFill>
              <a:latin typeface="Century Schoolbook" panose="02040604050505020304" pitchFamily="18" charset="0"/>
              <a:ea typeface="Calibri"/>
              <a:cs typeface="Calibri"/>
            </a:rPr>
            <a:pPr algn="l"/>
            <a:t>1500</a:t>
          </a:fld>
          <a:endParaRPr lang="en-IN" sz="4800">
            <a:solidFill>
              <a:schemeClr val="accent4">
                <a:lumMod val="50000"/>
              </a:schemeClr>
            </a:solidFill>
            <a:latin typeface="Century Schoolbook" panose="02040604050505020304" pitchFamily="18" charset="0"/>
          </a:endParaRPr>
        </a:p>
      </xdr:txBody>
    </xdr:sp>
    <xdr:clientData/>
  </xdr:twoCellAnchor>
  <xdr:twoCellAnchor>
    <xdr:from>
      <xdr:col>2</xdr:col>
      <xdr:colOff>96814</xdr:colOff>
      <xdr:row>7</xdr:row>
      <xdr:rowOff>146818</xdr:rowOff>
    </xdr:from>
    <xdr:to>
      <xdr:col>6</xdr:col>
      <xdr:colOff>18077</xdr:colOff>
      <xdr:row>17</xdr:row>
      <xdr:rowOff>73741</xdr:rowOff>
    </xdr:to>
    <xdr:sp macro="" textlink="Sheet2!N6">
      <xdr:nvSpPr>
        <xdr:cNvPr id="14" name="Rectangle: Diagonal Corners Rounded 13">
          <a:extLst>
            <a:ext uri="{FF2B5EF4-FFF2-40B4-BE49-F238E27FC236}">
              <a16:creationId xmlns:a16="http://schemas.microsoft.com/office/drawing/2014/main" id="{D664ADBC-129F-27C2-B614-B0D6E3DE4E54}"/>
            </a:ext>
          </a:extLst>
        </xdr:cNvPr>
        <xdr:cNvSpPr/>
      </xdr:nvSpPr>
      <xdr:spPr>
        <a:xfrm>
          <a:off x="1325846" y="2088689"/>
          <a:ext cx="2379328" cy="1770471"/>
        </a:xfrm>
        <a:prstGeom prst="round2DiagRect">
          <a:avLst/>
        </a:prstGeom>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2400" b="0" i="0" baseline="0">
              <a:solidFill>
                <a:schemeClr val="accent4">
                  <a:lumMod val="50000"/>
                </a:schemeClr>
              </a:solidFill>
              <a:effectLst/>
              <a:latin typeface="Century Schoolbook" panose="02040604050505020304" pitchFamily="18" charset="0"/>
              <a:ea typeface="+mn-ea"/>
              <a:cs typeface="+mn-cs"/>
            </a:rPr>
            <a:t>TOTAL</a:t>
          </a:r>
          <a:endParaRPr lang="en-IN" sz="2400">
            <a:solidFill>
              <a:schemeClr val="accent4">
                <a:lumMod val="50000"/>
              </a:schemeClr>
            </a:solidFill>
            <a:effectLst/>
            <a:latin typeface="Century Schoolbook" panose="02040604050505020304" pitchFamily="18" charset="0"/>
          </a:endParaRPr>
        </a:p>
        <a:p>
          <a:r>
            <a:rPr lang="en-US" sz="2400" b="0" i="0" baseline="0">
              <a:solidFill>
                <a:schemeClr val="accent4">
                  <a:lumMod val="50000"/>
                </a:schemeClr>
              </a:solidFill>
              <a:effectLst/>
              <a:latin typeface="Century Schoolbook" panose="02040604050505020304" pitchFamily="18" charset="0"/>
              <a:ea typeface="+mn-ea"/>
              <a:cs typeface="+mn-cs"/>
            </a:rPr>
            <a:t>SALES</a:t>
          </a:r>
          <a:endParaRPr lang="en-IN" sz="2400">
            <a:solidFill>
              <a:schemeClr val="accent4">
                <a:lumMod val="50000"/>
              </a:schemeClr>
            </a:solidFill>
            <a:effectLst/>
            <a:latin typeface="Century Schoolbook" panose="02040604050505020304" pitchFamily="18" charset="0"/>
          </a:endParaRPr>
        </a:p>
        <a:p>
          <a:pPr algn="l"/>
          <a:r>
            <a:rPr lang="en-US" sz="2400" b="0" i="0" u="none" strike="noStrike" baseline="0">
              <a:solidFill>
                <a:schemeClr val="accent4">
                  <a:lumMod val="50000"/>
                </a:schemeClr>
              </a:solidFill>
              <a:latin typeface="Century Schoolbook" panose="02040604050505020304" pitchFamily="18" charset="0"/>
              <a:ea typeface="Calibri"/>
              <a:cs typeface="Calibri"/>
            </a:rPr>
            <a:t>$</a:t>
          </a:r>
          <a:fld id="{B3645771-D634-4104-A4ED-981EE5424BCA}" type="TxLink">
            <a:rPr lang="en-US" sz="2400" b="0" i="0" u="none" strike="noStrike" baseline="0">
              <a:solidFill>
                <a:schemeClr val="accent4">
                  <a:lumMod val="50000"/>
                </a:schemeClr>
              </a:solidFill>
              <a:latin typeface="Century Schoolbook" panose="02040604050505020304" pitchFamily="18" charset="0"/>
              <a:ea typeface="Calibri"/>
              <a:cs typeface="Calibri"/>
            </a:rPr>
            <a:pPr algn="l"/>
            <a:t>375808.21</a:t>
          </a:fld>
          <a:endParaRPr lang="en-US" sz="2400" b="0" i="0" u="none" strike="noStrike" baseline="0">
            <a:solidFill>
              <a:schemeClr val="accent4">
                <a:lumMod val="50000"/>
              </a:schemeClr>
            </a:solidFill>
            <a:latin typeface="Century Schoolbook" panose="02040604050505020304" pitchFamily="18" charset="0"/>
            <a:ea typeface="Calibri"/>
            <a:cs typeface="Calibri"/>
          </a:endParaRPr>
        </a:p>
        <a:p>
          <a:pPr algn="l"/>
          <a:endParaRPr lang="en-IN" sz="4800">
            <a:solidFill>
              <a:schemeClr val="accent4">
                <a:lumMod val="50000"/>
              </a:schemeClr>
            </a:solidFill>
            <a:latin typeface="Century Schoolbook" panose="02040604050505020304" pitchFamily="18" charset="0"/>
          </a:endParaRPr>
        </a:p>
      </xdr:txBody>
    </xdr:sp>
    <xdr:clientData/>
  </xdr:twoCellAnchor>
  <xdr:twoCellAnchor editAs="oneCell">
    <xdr:from>
      <xdr:col>17</xdr:col>
      <xdr:colOff>505223</xdr:colOff>
      <xdr:row>30</xdr:row>
      <xdr:rowOff>58010</xdr:rowOff>
    </xdr:from>
    <xdr:to>
      <xdr:col>21</xdr:col>
      <xdr:colOff>331837</xdr:colOff>
      <xdr:row>38</xdr:row>
      <xdr:rowOff>172063</xdr:rowOff>
    </xdr:to>
    <mc:AlternateContent xmlns:mc="http://schemas.openxmlformats.org/markup-compatibility/2006" xmlns:a14="http://schemas.microsoft.com/office/drawing/2010/main">
      <mc:Choice Requires="a14">
        <xdr:graphicFrame macro="">
          <xdr:nvGraphicFramePr>
            <xdr:cNvPr id="16" name="Ship Mode">
              <a:extLst>
                <a:ext uri="{FF2B5EF4-FFF2-40B4-BE49-F238E27FC236}">
                  <a16:creationId xmlns:a16="http://schemas.microsoft.com/office/drawing/2014/main" id="{9C0052B0-45D8-6AA6-E769-833F8FC1EB0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824511" y="6141095"/>
              <a:ext cx="2254682" cy="1560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509035</xdr:colOff>
      <xdr:row>22</xdr:row>
      <xdr:rowOff>131723</xdr:rowOff>
    </xdr:from>
    <xdr:to>
      <xdr:col>21</xdr:col>
      <xdr:colOff>331838</xdr:colOff>
      <xdr:row>29</xdr:row>
      <xdr:rowOff>147485</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6A8084FD-E468-0D5D-5A78-4E440B3270E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28323" y="4768299"/>
              <a:ext cx="2250871" cy="1281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537808</xdr:colOff>
      <xdr:row>39</xdr:row>
      <xdr:rowOff>79075</xdr:rowOff>
    </xdr:from>
    <xdr:to>
      <xdr:col>21</xdr:col>
      <xdr:colOff>344128</xdr:colOff>
      <xdr:row>48</xdr:row>
      <xdr:rowOff>12291</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4C1B32B-87CE-3B65-CE64-CEB653CE2D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7096" y="7789482"/>
              <a:ext cx="2234388" cy="1560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491688</xdr:colOff>
      <xdr:row>15</xdr:row>
      <xdr:rowOff>69440</xdr:rowOff>
    </xdr:from>
    <xdr:to>
      <xdr:col>21</xdr:col>
      <xdr:colOff>307259</xdr:colOff>
      <xdr:row>22</xdr:row>
      <xdr:rowOff>49161</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4C847649-3E77-B0DF-6AF9-7649CF9DFE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10976" y="3440321"/>
              <a:ext cx="2243639" cy="1245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495498</xdr:colOff>
      <xdr:row>7</xdr:row>
      <xdr:rowOff>110505</xdr:rowOff>
    </xdr:from>
    <xdr:to>
      <xdr:col>21</xdr:col>
      <xdr:colOff>294967</xdr:colOff>
      <xdr:row>15</xdr:row>
      <xdr:rowOff>12290</xdr:rowOff>
    </xdr:to>
    <mc:AlternateContent xmlns:mc="http://schemas.openxmlformats.org/markup-compatibility/2006" xmlns:a14="http://schemas.microsoft.com/office/drawing/2010/main">
      <mc:Choice Requires="a14">
        <xdr:graphicFrame macro="">
          <xdr:nvGraphicFramePr>
            <xdr:cNvPr id="20" name="Years (Order Date)">
              <a:extLst>
                <a:ext uri="{FF2B5EF4-FFF2-40B4-BE49-F238E27FC236}">
                  <a16:creationId xmlns:a16="http://schemas.microsoft.com/office/drawing/2014/main" id="{02AE98B7-93FA-FE59-FDE6-404E49D8C6A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814786" y="2034878"/>
              <a:ext cx="2227537" cy="1348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556342</xdr:colOff>
      <xdr:row>8</xdr:row>
      <xdr:rowOff>29497</xdr:rowOff>
    </xdr:from>
    <xdr:to>
      <xdr:col>6</xdr:col>
      <xdr:colOff>5326</xdr:colOff>
      <xdr:row>11</xdr:row>
      <xdr:rowOff>175752</xdr:rowOff>
    </xdr:to>
    <xdr:pic>
      <xdr:nvPicPr>
        <xdr:cNvPr id="9" name="Graphic 8" descr="Statistics with solid fill">
          <a:extLst>
            <a:ext uri="{FF2B5EF4-FFF2-40B4-BE49-F238E27FC236}">
              <a16:creationId xmlns:a16="http://schemas.microsoft.com/office/drawing/2014/main" id="{AA7446B9-66AE-03EE-D2DF-E8DCA4A3B5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14407" y="2155723"/>
          <a:ext cx="678016" cy="699319"/>
        </a:xfrm>
        <a:prstGeom prst="rect">
          <a:avLst/>
        </a:prstGeom>
      </xdr:spPr>
    </xdr:pic>
    <xdr:clientData/>
  </xdr:twoCellAnchor>
  <xdr:twoCellAnchor editAs="oneCell">
    <xdr:from>
      <xdr:col>4</xdr:col>
      <xdr:colOff>454612</xdr:colOff>
      <xdr:row>18</xdr:row>
      <xdr:rowOff>37505</xdr:rowOff>
    </xdr:from>
    <xdr:to>
      <xdr:col>6</xdr:col>
      <xdr:colOff>9265</xdr:colOff>
      <xdr:row>22</xdr:row>
      <xdr:rowOff>14144</xdr:rowOff>
    </xdr:to>
    <xdr:pic>
      <xdr:nvPicPr>
        <xdr:cNvPr id="15" name="Graphic 14" descr="Coins with solid fill">
          <a:extLst>
            <a:ext uri="{FF2B5EF4-FFF2-40B4-BE49-F238E27FC236}">
              <a16:creationId xmlns:a16="http://schemas.microsoft.com/office/drawing/2014/main" id="{EFAEC16B-8763-7AF3-5C31-D63FB7407A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12677" y="4007279"/>
          <a:ext cx="783685" cy="714059"/>
        </a:xfrm>
        <a:prstGeom prst="rect">
          <a:avLst/>
        </a:prstGeom>
      </xdr:spPr>
    </xdr:pic>
    <xdr:clientData/>
  </xdr:twoCellAnchor>
  <xdr:twoCellAnchor editAs="oneCell">
    <xdr:from>
      <xdr:col>4</xdr:col>
      <xdr:colOff>493792</xdr:colOff>
      <xdr:row>28</xdr:row>
      <xdr:rowOff>102441</xdr:rowOff>
    </xdr:from>
    <xdr:to>
      <xdr:col>5</xdr:col>
      <xdr:colOff>596126</xdr:colOff>
      <xdr:row>32</xdr:row>
      <xdr:rowOff>12290</xdr:rowOff>
    </xdr:to>
    <xdr:pic>
      <xdr:nvPicPr>
        <xdr:cNvPr id="22" name="Graphic 21" descr="Money with solid fill">
          <a:extLst>
            <a:ext uri="{FF2B5EF4-FFF2-40B4-BE49-F238E27FC236}">
              <a16:creationId xmlns:a16="http://schemas.microsoft.com/office/drawing/2014/main" id="{FB04F88C-FA27-722D-8656-7C67861DBA1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51857" y="5915764"/>
          <a:ext cx="716850" cy="647268"/>
        </a:xfrm>
        <a:prstGeom prst="rect">
          <a:avLst/>
        </a:prstGeom>
      </xdr:spPr>
    </xdr:pic>
    <xdr:clientData/>
  </xdr:twoCellAnchor>
  <xdr:twoCellAnchor editAs="oneCell">
    <xdr:from>
      <xdr:col>4</xdr:col>
      <xdr:colOff>566993</xdr:colOff>
      <xdr:row>38</xdr:row>
      <xdr:rowOff>136013</xdr:rowOff>
    </xdr:from>
    <xdr:to>
      <xdr:col>6</xdr:col>
      <xdr:colOff>54077</xdr:colOff>
      <xdr:row>42</xdr:row>
      <xdr:rowOff>136014</xdr:rowOff>
    </xdr:to>
    <xdr:pic>
      <xdr:nvPicPr>
        <xdr:cNvPr id="25" name="Graphic 24" descr="Business Growth with solid fill">
          <a:extLst>
            <a:ext uri="{FF2B5EF4-FFF2-40B4-BE49-F238E27FC236}">
              <a16:creationId xmlns:a16="http://schemas.microsoft.com/office/drawing/2014/main" id="{86782217-53ED-6539-977B-B66E78130DF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25058" y="7792884"/>
          <a:ext cx="716116" cy="737420"/>
        </a:xfrm>
        <a:prstGeom prst="rect">
          <a:avLst/>
        </a:prstGeom>
      </xdr:spPr>
    </xdr:pic>
    <xdr:clientData/>
  </xdr:twoCellAnchor>
  <xdr:twoCellAnchor editAs="oneCell">
    <xdr:from>
      <xdr:col>3</xdr:col>
      <xdr:colOff>169332</xdr:colOff>
      <xdr:row>4</xdr:row>
      <xdr:rowOff>133048</xdr:rowOff>
    </xdr:from>
    <xdr:to>
      <xdr:col>4</xdr:col>
      <xdr:colOff>350761</xdr:colOff>
      <xdr:row>5</xdr:row>
      <xdr:rowOff>737810</xdr:rowOff>
    </xdr:to>
    <xdr:pic>
      <xdr:nvPicPr>
        <xdr:cNvPr id="10" name="Graphic 9" descr="Customer review with solid fill">
          <a:extLst>
            <a:ext uri="{FF2B5EF4-FFF2-40B4-BE49-F238E27FC236}">
              <a16:creationId xmlns:a16="http://schemas.microsoft.com/office/drawing/2014/main" id="{50502572-CD7F-FC28-65F3-D590565BD69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83618" y="895048"/>
          <a:ext cx="786191" cy="7861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24987</xdr:colOff>
      <xdr:row>7</xdr:row>
      <xdr:rowOff>77792</xdr:rowOff>
    </xdr:from>
    <xdr:to>
      <xdr:col>12</xdr:col>
      <xdr:colOff>540773</xdr:colOff>
      <xdr:row>21</xdr:row>
      <xdr:rowOff>61451</xdr:rowOff>
    </xdr:to>
    <xdr:graphicFrame macro="">
      <xdr:nvGraphicFramePr>
        <xdr:cNvPr id="2" name="Chart 1">
          <a:extLst>
            <a:ext uri="{FF2B5EF4-FFF2-40B4-BE49-F238E27FC236}">
              <a16:creationId xmlns:a16="http://schemas.microsoft.com/office/drawing/2014/main" id="{7BE61638-1BC8-462F-9BA0-73FF40251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491612</xdr:colOff>
      <xdr:row>7</xdr:row>
      <xdr:rowOff>51331</xdr:rowOff>
    </xdr:from>
    <xdr:to>
      <xdr:col>17</xdr:col>
      <xdr:colOff>479323</xdr:colOff>
      <xdr:row>23</xdr:row>
      <xdr:rowOff>36871</xdr:rowOff>
    </xdr:to>
    <xdr:graphicFrame macro="">
      <xdr:nvGraphicFramePr>
        <xdr:cNvPr id="3" name="Chart 2">
          <a:extLst>
            <a:ext uri="{FF2B5EF4-FFF2-40B4-BE49-F238E27FC236}">
              <a16:creationId xmlns:a16="http://schemas.microsoft.com/office/drawing/2014/main" id="{561EE9EE-E0F2-4426-8999-B6B5BB37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503903</xdr:colOff>
      <xdr:row>36</xdr:row>
      <xdr:rowOff>36870</xdr:rowOff>
    </xdr:from>
    <xdr:to>
      <xdr:col>17</xdr:col>
      <xdr:colOff>503903</xdr:colOff>
      <xdr:row>48</xdr:row>
      <xdr:rowOff>61451</xdr:rowOff>
    </xdr:to>
    <xdr:graphicFrame macro="">
      <xdr:nvGraphicFramePr>
        <xdr:cNvPr id="4" name="Chart 3">
          <a:extLst>
            <a:ext uri="{FF2B5EF4-FFF2-40B4-BE49-F238E27FC236}">
              <a16:creationId xmlns:a16="http://schemas.microsoft.com/office/drawing/2014/main" id="{09E69D0C-3D4D-4ED4-932F-DAF50F9D0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479321</xdr:colOff>
      <xdr:row>22</xdr:row>
      <xdr:rowOff>135193</xdr:rowOff>
    </xdr:from>
    <xdr:to>
      <xdr:col>17</xdr:col>
      <xdr:colOff>503903</xdr:colOff>
      <xdr:row>36</xdr:row>
      <xdr:rowOff>73741</xdr:rowOff>
    </xdr:to>
    <xdr:graphicFrame macro="">
      <xdr:nvGraphicFramePr>
        <xdr:cNvPr id="5" name="Chart 4">
          <a:extLst>
            <a:ext uri="{FF2B5EF4-FFF2-40B4-BE49-F238E27FC236}">
              <a16:creationId xmlns:a16="http://schemas.microsoft.com/office/drawing/2014/main" id="{A816ABE9-835A-4359-8FE7-82AE76BD6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63373</xdr:colOff>
      <xdr:row>21</xdr:row>
      <xdr:rowOff>12290</xdr:rowOff>
    </xdr:from>
    <xdr:to>
      <xdr:col>12</xdr:col>
      <xdr:colOff>540774</xdr:colOff>
      <xdr:row>34</xdr:row>
      <xdr:rowOff>122902</xdr:rowOff>
    </xdr:to>
    <xdr:graphicFrame macro="">
      <xdr:nvGraphicFramePr>
        <xdr:cNvPr id="6" name="Chart 5">
          <a:extLst>
            <a:ext uri="{FF2B5EF4-FFF2-40B4-BE49-F238E27FC236}">
              <a16:creationId xmlns:a16="http://schemas.microsoft.com/office/drawing/2014/main" id="{8D33C5FF-65EB-49A4-9216-F5C8A0B41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99087</xdr:colOff>
      <xdr:row>34</xdr:row>
      <xdr:rowOff>73742</xdr:rowOff>
    </xdr:from>
    <xdr:to>
      <xdr:col>12</xdr:col>
      <xdr:colOff>565354</xdr:colOff>
      <xdr:row>48</xdr:row>
      <xdr:rowOff>98323</xdr:rowOff>
    </xdr:to>
    <xdr:graphicFrame macro="">
      <xdr:nvGraphicFramePr>
        <xdr:cNvPr id="7" name="Chart 6">
          <a:extLst>
            <a:ext uri="{FF2B5EF4-FFF2-40B4-BE49-F238E27FC236}">
              <a16:creationId xmlns:a16="http://schemas.microsoft.com/office/drawing/2014/main" id="{3903A5CF-14C4-4C51-B542-54D03BF51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86083</xdr:colOff>
      <xdr:row>17</xdr:row>
      <xdr:rowOff>159799</xdr:rowOff>
    </xdr:from>
    <xdr:to>
      <xdr:col>6</xdr:col>
      <xdr:colOff>19254</xdr:colOff>
      <xdr:row>27</xdr:row>
      <xdr:rowOff>110612</xdr:rowOff>
    </xdr:to>
    <xdr:sp macro="" textlink="Sheet2!N10">
      <xdr:nvSpPr>
        <xdr:cNvPr id="8" name="Rectangle: Diagonal Corners Rounded 7">
          <a:extLst>
            <a:ext uri="{FF2B5EF4-FFF2-40B4-BE49-F238E27FC236}">
              <a16:creationId xmlns:a16="http://schemas.microsoft.com/office/drawing/2014/main" id="{62DD585A-D8F0-4917-89CB-A6FDF5B3CF6C}"/>
            </a:ext>
          </a:extLst>
        </xdr:cNvPr>
        <xdr:cNvSpPr/>
      </xdr:nvSpPr>
      <xdr:spPr>
        <a:xfrm>
          <a:off x="1305283" y="3908839"/>
          <a:ext cx="2371571" cy="1779613"/>
        </a:xfrm>
        <a:prstGeom prst="round2DiagRect">
          <a:avLst/>
        </a:prstGeom>
        <a:ln>
          <a:solidFill>
            <a:schemeClr val="bg1"/>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0" i="0" u="none" strike="noStrike">
              <a:solidFill>
                <a:schemeClr val="accent4">
                  <a:lumMod val="75000"/>
                </a:schemeClr>
              </a:solidFill>
              <a:latin typeface="Century Schoolbook" panose="02040604050505020304" pitchFamily="18" charset="0"/>
              <a:ea typeface="Calibri"/>
              <a:cs typeface="Calibri"/>
            </a:rPr>
            <a:t>TOTAL</a:t>
          </a:r>
        </a:p>
        <a:p>
          <a:pPr algn="l"/>
          <a:r>
            <a:rPr lang="en-US" sz="2400" b="0" i="0" u="none" strike="noStrike">
              <a:solidFill>
                <a:schemeClr val="accent4">
                  <a:lumMod val="75000"/>
                </a:schemeClr>
              </a:solidFill>
              <a:latin typeface="Century Schoolbook" panose="02040604050505020304" pitchFamily="18" charset="0"/>
              <a:ea typeface="Calibri"/>
              <a:cs typeface="Calibri"/>
            </a:rPr>
            <a:t>QTY</a:t>
          </a:r>
        </a:p>
        <a:p>
          <a:pPr algn="l"/>
          <a:fld id="{10D2EBAF-1099-42BC-9BF3-FCE472E62F31}" type="TxLink">
            <a:rPr lang="en-US" sz="2400" b="0" i="0" u="none" strike="noStrike">
              <a:solidFill>
                <a:schemeClr val="accent4">
                  <a:lumMod val="75000"/>
                </a:schemeClr>
              </a:solidFill>
              <a:latin typeface="Century Schoolbook" panose="02040604050505020304" pitchFamily="18" charset="0"/>
              <a:ea typeface="Calibri"/>
              <a:cs typeface="Calibri"/>
            </a:rPr>
            <a:pPr algn="l"/>
            <a:t>7359</a:t>
          </a:fld>
          <a:endParaRPr lang="en-IN" sz="2400">
            <a:solidFill>
              <a:schemeClr val="accent4">
                <a:lumMod val="75000"/>
              </a:schemeClr>
            </a:solidFill>
            <a:latin typeface="Century Schoolbook" panose="02040604050505020304" pitchFamily="18" charset="0"/>
          </a:endParaRPr>
        </a:p>
      </xdr:txBody>
    </xdr:sp>
    <xdr:clientData/>
  </xdr:twoCellAnchor>
  <xdr:twoCellAnchor>
    <xdr:from>
      <xdr:col>2</xdr:col>
      <xdr:colOff>110614</xdr:colOff>
      <xdr:row>28</xdr:row>
      <xdr:rowOff>19202</xdr:rowOff>
    </xdr:from>
    <xdr:to>
      <xdr:col>6</xdr:col>
      <xdr:colOff>30341</xdr:colOff>
      <xdr:row>37</xdr:row>
      <xdr:rowOff>172065</xdr:rowOff>
    </xdr:to>
    <xdr:sp macro="" textlink="Sheet2!N14">
      <xdr:nvSpPr>
        <xdr:cNvPr id="9" name="Rectangle: Diagonal Corners Rounded 8">
          <a:extLst>
            <a:ext uri="{FF2B5EF4-FFF2-40B4-BE49-F238E27FC236}">
              <a16:creationId xmlns:a16="http://schemas.microsoft.com/office/drawing/2014/main" id="{7E271622-F2C5-4228-AF66-2E212AC649F3}"/>
            </a:ext>
          </a:extLst>
        </xdr:cNvPr>
        <xdr:cNvSpPr/>
      </xdr:nvSpPr>
      <xdr:spPr>
        <a:xfrm>
          <a:off x="1329814" y="5779922"/>
          <a:ext cx="2358127" cy="1798783"/>
        </a:xfrm>
        <a:prstGeom prst="round2DiagRect">
          <a:avLst/>
        </a:prstGeom>
        <a:ln>
          <a:solidFill>
            <a:schemeClr val="bg1"/>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0" i="0" u="none" strike="noStrike">
              <a:solidFill>
                <a:schemeClr val="accent4">
                  <a:lumMod val="75000"/>
                </a:schemeClr>
              </a:solidFill>
              <a:latin typeface="Century Schoolbook" panose="02040604050505020304" pitchFamily="18" charset="0"/>
              <a:ea typeface="Calibri"/>
              <a:cs typeface="Calibri"/>
            </a:rPr>
            <a:t>TOTAL</a:t>
          </a:r>
          <a:r>
            <a:rPr lang="en-US" sz="2400" b="0" i="0" u="none" strike="noStrike" baseline="0">
              <a:solidFill>
                <a:schemeClr val="accent4">
                  <a:lumMod val="75000"/>
                </a:schemeClr>
              </a:solidFill>
              <a:latin typeface="Century Schoolbook" panose="02040604050505020304" pitchFamily="18" charset="0"/>
              <a:ea typeface="Calibri"/>
              <a:cs typeface="Calibri"/>
            </a:rPr>
            <a:t> </a:t>
          </a:r>
        </a:p>
        <a:p>
          <a:pPr algn="l"/>
          <a:r>
            <a:rPr lang="en-US" sz="2400" b="0" i="0" u="none" strike="noStrike" baseline="0">
              <a:solidFill>
                <a:schemeClr val="accent4">
                  <a:lumMod val="75000"/>
                </a:schemeClr>
              </a:solidFill>
              <a:latin typeface="Century Schoolbook" panose="02040604050505020304" pitchFamily="18" charset="0"/>
              <a:ea typeface="Calibri"/>
              <a:cs typeface="Calibri"/>
            </a:rPr>
            <a:t>PROFIT</a:t>
          </a:r>
        </a:p>
        <a:p>
          <a:pPr algn="l"/>
          <a:r>
            <a:rPr lang="en-US" sz="2400" b="0" i="0" u="none" strike="noStrike">
              <a:solidFill>
                <a:schemeClr val="accent4">
                  <a:lumMod val="75000"/>
                </a:schemeClr>
              </a:solidFill>
              <a:latin typeface="Century Schoolbook" panose="02040604050505020304" pitchFamily="18" charset="0"/>
              <a:ea typeface="Calibri"/>
              <a:cs typeface="Calibri"/>
            </a:rPr>
            <a:t>$</a:t>
          </a:r>
          <a:fld id="{8F364F24-B7CD-4E2D-A7BA-BA22E5E23835}" type="TxLink">
            <a:rPr lang="en-US" sz="2400" b="0" i="0" u="none" strike="noStrike">
              <a:solidFill>
                <a:schemeClr val="accent4">
                  <a:lumMod val="75000"/>
                </a:schemeClr>
              </a:solidFill>
              <a:latin typeface="Century Schoolbook" panose="02040604050505020304" pitchFamily="18" charset="0"/>
              <a:ea typeface="Calibri"/>
              <a:cs typeface="Calibri"/>
            </a:rPr>
            <a:pPr algn="l"/>
            <a:t>24040.93</a:t>
          </a:fld>
          <a:endParaRPr lang="en-IN" sz="2400">
            <a:solidFill>
              <a:schemeClr val="accent4">
                <a:lumMod val="75000"/>
              </a:schemeClr>
            </a:solidFill>
            <a:latin typeface="Century Schoolbook" panose="02040604050505020304" pitchFamily="18" charset="0"/>
          </a:endParaRPr>
        </a:p>
      </xdr:txBody>
    </xdr:sp>
    <xdr:clientData/>
  </xdr:twoCellAnchor>
  <xdr:twoCellAnchor>
    <xdr:from>
      <xdr:col>2</xdr:col>
      <xdr:colOff>120956</xdr:colOff>
      <xdr:row>38</xdr:row>
      <xdr:rowOff>61066</xdr:rowOff>
    </xdr:from>
    <xdr:to>
      <xdr:col>6</xdr:col>
      <xdr:colOff>54127</xdr:colOff>
      <xdr:row>47</xdr:row>
      <xdr:rowOff>159773</xdr:rowOff>
    </xdr:to>
    <xdr:sp macro="" textlink="Sheet2!N18">
      <xdr:nvSpPr>
        <xdr:cNvPr id="10" name="Rectangle: Diagonal Corners Rounded 9">
          <a:extLst>
            <a:ext uri="{FF2B5EF4-FFF2-40B4-BE49-F238E27FC236}">
              <a16:creationId xmlns:a16="http://schemas.microsoft.com/office/drawing/2014/main" id="{E18A5EC5-53BA-42B2-95E1-7B4AAB620EE4}"/>
            </a:ext>
          </a:extLst>
        </xdr:cNvPr>
        <xdr:cNvSpPr/>
      </xdr:nvSpPr>
      <xdr:spPr>
        <a:xfrm>
          <a:off x="1340156" y="7650586"/>
          <a:ext cx="2371571" cy="1744627"/>
        </a:xfrm>
        <a:prstGeom prst="round2DiagRect">
          <a:avLst/>
        </a:prstGeom>
        <a:ln>
          <a:solidFill>
            <a:schemeClr val="bg1"/>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0" i="0" u="none" strike="noStrike">
              <a:solidFill>
                <a:schemeClr val="accent4">
                  <a:lumMod val="75000"/>
                </a:schemeClr>
              </a:solidFill>
              <a:latin typeface="Century Schoolbook" panose="02040604050505020304" pitchFamily="18" charset="0"/>
              <a:ea typeface="Calibri"/>
              <a:cs typeface="Calibri"/>
            </a:rPr>
            <a:t>TOTAL</a:t>
          </a:r>
        </a:p>
        <a:p>
          <a:pPr algn="l"/>
          <a:r>
            <a:rPr lang="en-US" sz="2400" b="0" i="0" u="none" strike="noStrike">
              <a:solidFill>
                <a:schemeClr val="accent4">
                  <a:lumMod val="75000"/>
                </a:schemeClr>
              </a:solidFill>
              <a:latin typeface="Century Schoolbook" panose="02040604050505020304" pitchFamily="18" charset="0"/>
              <a:ea typeface="Calibri"/>
              <a:cs typeface="Calibri"/>
            </a:rPr>
            <a:t>ORDERS</a:t>
          </a:r>
        </a:p>
        <a:p>
          <a:pPr algn="l"/>
          <a:fld id="{ECEF3E57-60D9-4E74-91F5-040FFE518193}" type="TxLink">
            <a:rPr lang="en-US" sz="2400" b="0" i="0" u="none" strike="noStrike">
              <a:solidFill>
                <a:schemeClr val="accent4">
                  <a:lumMod val="75000"/>
                </a:schemeClr>
              </a:solidFill>
              <a:latin typeface="Century Schoolbook" panose="02040604050505020304" pitchFamily="18" charset="0"/>
              <a:ea typeface="Calibri"/>
              <a:cs typeface="Calibri"/>
            </a:rPr>
            <a:pPr algn="l"/>
            <a:t>1500</a:t>
          </a:fld>
          <a:endParaRPr lang="en-IN" sz="2400">
            <a:solidFill>
              <a:schemeClr val="accent4">
                <a:lumMod val="75000"/>
              </a:schemeClr>
            </a:solidFill>
            <a:latin typeface="Century Schoolbook" panose="02040604050505020304" pitchFamily="18" charset="0"/>
          </a:endParaRPr>
        </a:p>
      </xdr:txBody>
    </xdr:sp>
    <xdr:clientData/>
  </xdr:twoCellAnchor>
  <xdr:twoCellAnchor>
    <xdr:from>
      <xdr:col>2</xdr:col>
      <xdr:colOff>96814</xdr:colOff>
      <xdr:row>7</xdr:row>
      <xdr:rowOff>146818</xdr:rowOff>
    </xdr:from>
    <xdr:to>
      <xdr:col>6</xdr:col>
      <xdr:colOff>18077</xdr:colOff>
      <xdr:row>17</xdr:row>
      <xdr:rowOff>73741</xdr:rowOff>
    </xdr:to>
    <xdr:sp macro="" textlink="Sheet2!N6">
      <xdr:nvSpPr>
        <xdr:cNvPr id="11" name="Rectangle: Diagonal Corners Rounded 10">
          <a:extLst>
            <a:ext uri="{FF2B5EF4-FFF2-40B4-BE49-F238E27FC236}">
              <a16:creationId xmlns:a16="http://schemas.microsoft.com/office/drawing/2014/main" id="{4FEC4517-FAB4-4D6A-A89D-B19816A191EF}"/>
            </a:ext>
          </a:extLst>
        </xdr:cNvPr>
        <xdr:cNvSpPr/>
      </xdr:nvSpPr>
      <xdr:spPr>
        <a:xfrm>
          <a:off x="1316014" y="2067058"/>
          <a:ext cx="2359663" cy="1755723"/>
        </a:xfrm>
        <a:prstGeom prst="round2DiagRect">
          <a:avLst/>
        </a:prstGeom>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0" i="0" u="none" strike="noStrike" baseline="0">
              <a:solidFill>
                <a:schemeClr val="accent4">
                  <a:lumMod val="75000"/>
                </a:schemeClr>
              </a:solidFill>
              <a:latin typeface="Century Schoolbook" panose="02040604050505020304" pitchFamily="18" charset="0"/>
              <a:ea typeface="Calibri"/>
              <a:cs typeface="Calibri"/>
            </a:rPr>
            <a:t>TOTAL</a:t>
          </a:r>
        </a:p>
        <a:p>
          <a:pPr algn="l"/>
          <a:r>
            <a:rPr lang="en-US" sz="2400" b="0" i="0" u="none" strike="noStrike" baseline="0">
              <a:solidFill>
                <a:schemeClr val="accent4">
                  <a:lumMod val="75000"/>
                </a:schemeClr>
              </a:solidFill>
              <a:latin typeface="Century Schoolbook" panose="02040604050505020304" pitchFamily="18" charset="0"/>
              <a:ea typeface="Calibri"/>
              <a:cs typeface="Calibri"/>
            </a:rPr>
            <a:t>SALES</a:t>
          </a:r>
          <a:endParaRPr lang="en-US" sz="2400" b="0" i="0" u="none" strike="noStrike">
            <a:solidFill>
              <a:schemeClr val="accent4">
                <a:lumMod val="75000"/>
              </a:schemeClr>
            </a:solidFill>
            <a:latin typeface="Century Schoolbook" panose="02040604050505020304" pitchFamily="18" charset="0"/>
            <a:ea typeface="Calibri"/>
            <a:cs typeface="Calibri"/>
          </a:endParaRPr>
        </a:p>
        <a:p>
          <a:pPr algn="l"/>
          <a:r>
            <a:rPr lang="en-US" sz="2400" b="0" i="0" u="none" strike="noStrike">
              <a:solidFill>
                <a:schemeClr val="accent4">
                  <a:lumMod val="75000"/>
                </a:schemeClr>
              </a:solidFill>
              <a:latin typeface="Century Schoolbook" panose="02040604050505020304" pitchFamily="18" charset="0"/>
              <a:ea typeface="Calibri"/>
              <a:cs typeface="Calibri"/>
            </a:rPr>
            <a:t>$</a:t>
          </a:r>
          <a:fld id="{17D99559-4113-4661-BB7E-2FEBAA8BDB26}" type="TxLink">
            <a:rPr lang="en-US" sz="2400" b="0" i="0" u="none" strike="noStrike">
              <a:solidFill>
                <a:schemeClr val="accent4">
                  <a:lumMod val="75000"/>
                </a:schemeClr>
              </a:solidFill>
              <a:latin typeface="Century Schoolbook" panose="02040604050505020304" pitchFamily="18" charset="0"/>
              <a:ea typeface="Calibri"/>
              <a:cs typeface="Calibri"/>
            </a:rPr>
            <a:pPr algn="l"/>
            <a:t>375808.21</a:t>
          </a:fld>
          <a:endParaRPr lang="en-IN" sz="2400">
            <a:solidFill>
              <a:schemeClr val="accent4">
                <a:lumMod val="75000"/>
              </a:schemeClr>
            </a:solidFill>
            <a:latin typeface="Century Schoolbook" panose="02040604050505020304" pitchFamily="18" charset="0"/>
          </a:endParaRPr>
        </a:p>
      </xdr:txBody>
    </xdr:sp>
    <xdr:clientData/>
  </xdr:twoCellAnchor>
  <xdr:twoCellAnchor editAs="oneCell">
    <xdr:from>
      <xdr:col>17</xdr:col>
      <xdr:colOff>505223</xdr:colOff>
      <xdr:row>30</xdr:row>
      <xdr:rowOff>58010</xdr:rowOff>
    </xdr:from>
    <xdr:to>
      <xdr:col>21</xdr:col>
      <xdr:colOff>331837</xdr:colOff>
      <xdr:row>38</xdr:row>
      <xdr:rowOff>172063</xdr:rowOff>
    </xdr:to>
    <mc:AlternateContent xmlns:mc="http://schemas.openxmlformats.org/markup-compatibility/2006" xmlns:a14="http://schemas.microsoft.com/office/drawing/2010/main">
      <mc:Choice Requires="a14">
        <xdr:graphicFrame macro="">
          <xdr:nvGraphicFramePr>
            <xdr:cNvPr id="12" name="Ship Mode 1">
              <a:extLst>
                <a:ext uri="{FF2B5EF4-FFF2-40B4-BE49-F238E27FC236}">
                  <a16:creationId xmlns:a16="http://schemas.microsoft.com/office/drawing/2014/main" id="{3D8115E3-2F55-4A98-BB5A-856C82D2BF4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820445" y="6224566"/>
              <a:ext cx="2253725" cy="1581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509035</xdr:colOff>
      <xdr:row>22</xdr:row>
      <xdr:rowOff>131723</xdr:rowOff>
    </xdr:from>
    <xdr:to>
      <xdr:col>21</xdr:col>
      <xdr:colOff>331838</xdr:colOff>
      <xdr:row>29</xdr:row>
      <xdr:rowOff>147485</xdr:rowOff>
    </xdr:to>
    <mc:AlternateContent xmlns:mc="http://schemas.openxmlformats.org/markup-compatibility/2006" xmlns:a14="http://schemas.microsoft.com/office/drawing/2010/main">
      <mc:Choice Requires="a14">
        <xdr:graphicFrame macro="">
          <xdr:nvGraphicFramePr>
            <xdr:cNvPr id="13" name="Segment 1">
              <a:extLst>
                <a:ext uri="{FF2B5EF4-FFF2-40B4-BE49-F238E27FC236}">
                  <a16:creationId xmlns:a16="http://schemas.microsoft.com/office/drawing/2014/main" id="{0502BAB4-E900-432F-A5E3-38147CCACB5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824257" y="4830723"/>
              <a:ext cx="2249914" cy="1299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537808</xdr:colOff>
      <xdr:row>39</xdr:row>
      <xdr:rowOff>79075</xdr:rowOff>
    </xdr:from>
    <xdr:to>
      <xdr:col>21</xdr:col>
      <xdr:colOff>344128</xdr:colOff>
      <xdr:row>48</xdr:row>
      <xdr:rowOff>12291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AAA03886-4216-45CC-8CE6-B8B04ADD79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53030" y="7896631"/>
              <a:ext cx="2233431" cy="1584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491688</xdr:colOff>
      <xdr:row>15</xdr:row>
      <xdr:rowOff>69440</xdr:rowOff>
    </xdr:from>
    <xdr:to>
      <xdr:col>21</xdr:col>
      <xdr:colOff>307259</xdr:colOff>
      <xdr:row>22</xdr:row>
      <xdr:rowOff>49161</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A3750144-29EC-4362-9159-605F0381776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806910" y="3484329"/>
              <a:ext cx="2242682" cy="1263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495498</xdr:colOff>
      <xdr:row>7</xdr:row>
      <xdr:rowOff>110505</xdr:rowOff>
    </xdr:from>
    <xdr:to>
      <xdr:col>21</xdr:col>
      <xdr:colOff>294967</xdr:colOff>
      <xdr:row>15</xdr:row>
      <xdr:rowOff>12290</xdr:rowOff>
    </xdr:to>
    <mc:AlternateContent xmlns:mc="http://schemas.openxmlformats.org/markup-compatibility/2006" xmlns:a14="http://schemas.microsoft.com/office/drawing/2010/main">
      <mc:Choice Requires="a14">
        <xdr:graphicFrame macro="">
          <xdr:nvGraphicFramePr>
            <xdr:cNvPr id="16" name="Years (Order Date) 1">
              <a:extLst>
                <a:ext uri="{FF2B5EF4-FFF2-40B4-BE49-F238E27FC236}">
                  <a16:creationId xmlns:a16="http://schemas.microsoft.com/office/drawing/2014/main" id="{D55B4DC6-5726-4105-8EA6-42EA12EBAA9C}"/>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0810720" y="2057838"/>
              <a:ext cx="2226580" cy="1369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556342</xdr:colOff>
      <xdr:row>8</xdr:row>
      <xdr:rowOff>29497</xdr:rowOff>
    </xdr:from>
    <xdr:to>
      <xdr:col>6</xdr:col>
      <xdr:colOff>5326</xdr:colOff>
      <xdr:row>11</xdr:row>
      <xdr:rowOff>175752</xdr:rowOff>
    </xdr:to>
    <xdr:pic>
      <xdr:nvPicPr>
        <xdr:cNvPr id="17" name="Graphic 16" descr="Statistics with solid fill">
          <a:extLst>
            <a:ext uri="{FF2B5EF4-FFF2-40B4-BE49-F238E27FC236}">
              <a16:creationId xmlns:a16="http://schemas.microsoft.com/office/drawing/2014/main" id="{1432AD1C-CABE-402F-9FAF-4F02D05294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94742" y="2132617"/>
          <a:ext cx="668184" cy="694895"/>
        </a:xfrm>
        <a:prstGeom prst="rect">
          <a:avLst/>
        </a:prstGeom>
      </xdr:spPr>
    </xdr:pic>
    <xdr:clientData/>
  </xdr:twoCellAnchor>
  <xdr:twoCellAnchor editAs="oneCell">
    <xdr:from>
      <xdr:col>4</xdr:col>
      <xdr:colOff>454612</xdr:colOff>
      <xdr:row>18</xdr:row>
      <xdr:rowOff>37505</xdr:rowOff>
    </xdr:from>
    <xdr:to>
      <xdr:col>6</xdr:col>
      <xdr:colOff>9265</xdr:colOff>
      <xdr:row>22</xdr:row>
      <xdr:rowOff>14144</xdr:rowOff>
    </xdr:to>
    <xdr:pic>
      <xdr:nvPicPr>
        <xdr:cNvPr id="18" name="Graphic 17" descr="Coins with solid fill">
          <a:extLst>
            <a:ext uri="{FF2B5EF4-FFF2-40B4-BE49-F238E27FC236}">
              <a16:creationId xmlns:a16="http://schemas.microsoft.com/office/drawing/2014/main" id="{D9F8EE0C-C469-46EA-A608-D3E9A24A130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93012" y="3969425"/>
          <a:ext cx="773853" cy="708159"/>
        </a:xfrm>
        <a:prstGeom prst="rect">
          <a:avLst/>
        </a:prstGeom>
      </xdr:spPr>
    </xdr:pic>
    <xdr:clientData/>
  </xdr:twoCellAnchor>
  <xdr:twoCellAnchor editAs="oneCell">
    <xdr:from>
      <xdr:col>4</xdr:col>
      <xdr:colOff>493792</xdr:colOff>
      <xdr:row>28</xdr:row>
      <xdr:rowOff>102441</xdr:rowOff>
    </xdr:from>
    <xdr:to>
      <xdr:col>5</xdr:col>
      <xdr:colOff>596126</xdr:colOff>
      <xdr:row>32</xdr:row>
      <xdr:rowOff>12290</xdr:rowOff>
    </xdr:to>
    <xdr:pic>
      <xdr:nvPicPr>
        <xdr:cNvPr id="19" name="Graphic 18" descr="Money with solid fill">
          <a:extLst>
            <a:ext uri="{FF2B5EF4-FFF2-40B4-BE49-F238E27FC236}">
              <a16:creationId xmlns:a16="http://schemas.microsoft.com/office/drawing/2014/main" id="{57CD8498-0832-44EC-980D-F7A2CF18A43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32192" y="5863161"/>
          <a:ext cx="711934" cy="641369"/>
        </a:xfrm>
        <a:prstGeom prst="rect">
          <a:avLst/>
        </a:prstGeom>
      </xdr:spPr>
    </xdr:pic>
    <xdr:clientData/>
  </xdr:twoCellAnchor>
  <xdr:twoCellAnchor editAs="oneCell">
    <xdr:from>
      <xdr:col>4</xdr:col>
      <xdr:colOff>566993</xdr:colOff>
      <xdr:row>38</xdr:row>
      <xdr:rowOff>136013</xdr:rowOff>
    </xdr:from>
    <xdr:to>
      <xdr:col>6</xdr:col>
      <xdr:colOff>54077</xdr:colOff>
      <xdr:row>42</xdr:row>
      <xdr:rowOff>136014</xdr:rowOff>
    </xdr:to>
    <xdr:pic>
      <xdr:nvPicPr>
        <xdr:cNvPr id="20" name="Graphic 19" descr="Business Growth with solid fill">
          <a:extLst>
            <a:ext uri="{FF2B5EF4-FFF2-40B4-BE49-F238E27FC236}">
              <a16:creationId xmlns:a16="http://schemas.microsoft.com/office/drawing/2014/main" id="{174B1DBF-AFBC-4F17-BC6F-C88306D196C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05393" y="7725533"/>
          <a:ext cx="706284" cy="731521"/>
        </a:xfrm>
        <a:prstGeom prst="rect">
          <a:avLst/>
        </a:prstGeom>
      </xdr:spPr>
    </xdr:pic>
    <xdr:clientData/>
  </xdr:twoCellAnchor>
  <xdr:twoCellAnchor editAs="oneCell">
    <xdr:from>
      <xdr:col>3</xdr:col>
      <xdr:colOff>229098</xdr:colOff>
      <xdr:row>4</xdr:row>
      <xdr:rowOff>177871</xdr:rowOff>
    </xdr:from>
    <xdr:to>
      <xdr:col>4</xdr:col>
      <xdr:colOff>283884</xdr:colOff>
      <xdr:row>5</xdr:row>
      <xdr:rowOff>778376</xdr:rowOff>
    </xdr:to>
    <xdr:pic>
      <xdr:nvPicPr>
        <xdr:cNvPr id="21" name="Graphic 20" descr="Customer review with solid fill">
          <a:extLst>
            <a:ext uri="{FF2B5EF4-FFF2-40B4-BE49-F238E27FC236}">
              <a16:creationId xmlns:a16="http://schemas.microsoft.com/office/drawing/2014/main" id="{5727B557-8A33-4EB2-8806-956377D3FA7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66863" y="939871"/>
          <a:ext cx="667374" cy="7797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rajput" refreshedDate="46257.59337303241" createdVersion="8" refreshedVersion="8" minRefreshableVersion="3" recordCount="1501" xr:uid="{A874A5C2-10AB-40D0-A42D-7D89B664C992}">
  <cacheSource type="worksheet">
    <worksheetSource ref="A1:U1048576" sheet="Sheet1"/>
  </cacheSource>
  <cacheFields count="24">
    <cacheField name="Row ID" numFmtId="0">
      <sharedItems containsString="0" containsBlank="1" containsNumber="1" containsInteger="1" minValue="1" maxValue="1500"/>
    </cacheField>
    <cacheField name="Order ID" numFmtId="0">
      <sharedItems containsBlank="1" count="1501">
        <s v="ORD-2024-00001"/>
        <s v="ORD-2025-00002"/>
        <s v="ORD-2024-00003"/>
        <s v="ORD-2024-00004"/>
        <s v="ORD-2024-00005"/>
        <s v="ORD-2025-00006"/>
        <s v="ORD-2024-00007"/>
        <s v="ORD-2025-00008"/>
        <s v="ORD-2024-00009"/>
        <s v="ORD-2025-00010"/>
        <s v="ORD-2024-00011"/>
        <s v="ORD-2024-00012"/>
        <s v="ORD-2025-00013"/>
        <s v="ORD-2024-00014"/>
        <s v="ORD-2025-00015"/>
        <s v="ORD-2024-00016"/>
        <s v="ORD-2025-00017"/>
        <s v="ORD-2024-00018"/>
        <s v="ORD-2025-00019"/>
        <s v="ORD-2024-00020"/>
        <s v="ORD-2024-00021"/>
        <s v="ORD-2025-00022"/>
        <s v="ORD-2025-00023"/>
        <s v="ORD-2025-00024"/>
        <s v="ORD-2024-00025"/>
        <s v="ORD-2024-00026"/>
        <s v="ORD-2024-00027"/>
        <s v="ORD-2025-00028"/>
        <s v="ORD-2024-00029"/>
        <s v="ORD-2024-00030"/>
        <s v="ORD-2024-00031"/>
        <s v="ORD-2025-00032"/>
        <s v="ORD-2025-00033"/>
        <s v="ORD-2024-00034"/>
        <s v="ORD-2025-00035"/>
        <s v="ORD-2025-00036"/>
        <s v="ORD-2025-00037"/>
        <s v="ORD-2025-00038"/>
        <s v="ORD-2024-00039"/>
        <s v="ORD-2025-00040"/>
        <s v="ORD-2025-00041"/>
        <s v="ORD-2025-00042"/>
        <s v="ORD-2024-00043"/>
        <s v="ORD-2025-00044"/>
        <s v="ORD-2024-00045"/>
        <s v="ORD-2025-00046"/>
        <s v="ORD-2025-00047"/>
        <s v="ORD-2024-00048"/>
        <s v="ORD-2024-00049"/>
        <s v="ORD-2024-00050"/>
        <s v="ORD-2025-00051"/>
        <s v="ORD-2025-00052"/>
        <s v="ORD-2024-00053"/>
        <s v="ORD-2024-00054"/>
        <s v="ORD-2024-00055"/>
        <s v="ORD-2024-00056"/>
        <s v="ORD-2025-00057"/>
        <s v="ORD-2024-00058"/>
        <s v="ORD-2024-00059"/>
        <s v="ORD-2025-00060"/>
        <s v="ORD-2025-00061"/>
        <s v="ORD-2025-00062"/>
        <s v="ORD-2025-00063"/>
        <s v="ORD-2024-00064"/>
        <s v="ORD-2024-00065"/>
        <s v="ORD-2024-00066"/>
        <s v="ORD-2025-00067"/>
        <s v="ORD-2025-00068"/>
        <s v="ORD-2024-00069"/>
        <s v="ORD-2025-00070"/>
        <s v="ORD-2025-00071"/>
        <s v="ORD-2024-00072"/>
        <s v="ORD-2025-00073"/>
        <s v="ORD-2025-00074"/>
        <s v="ORD-2025-00075"/>
        <s v="ORD-2025-00076"/>
        <s v="ORD-2025-00077"/>
        <s v="ORD-2024-00078"/>
        <s v="ORD-2024-00079"/>
        <s v="ORD-2024-00080"/>
        <s v="ORD-2024-00081"/>
        <s v="ORD-2025-00082"/>
        <s v="ORD-2025-00083"/>
        <s v="ORD-2025-00084"/>
        <s v="ORD-2024-00085"/>
        <s v="ORD-2025-00086"/>
        <s v="ORD-2024-00087"/>
        <s v="ORD-2025-00088"/>
        <s v="ORD-2025-00089"/>
        <s v="ORD-2024-00090"/>
        <s v="ORD-2024-00091"/>
        <s v="ORD-2024-00092"/>
        <s v="ORD-2024-00093"/>
        <s v="ORD-2025-00094"/>
        <s v="ORD-2025-00095"/>
        <s v="ORD-2024-00096"/>
        <s v="ORD-2024-00097"/>
        <s v="ORD-2024-00098"/>
        <s v="ORD-2024-00099"/>
        <s v="ORD-2025-00100"/>
        <s v="ORD-2024-00101"/>
        <s v="ORD-2024-00102"/>
        <s v="ORD-2025-00103"/>
        <s v="ORD-2025-00104"/>
        <s v="ORD-2024-00105"/>
        <s v="ORD-2024-00106"/>
        <s v="ORD-2025-00107"/>
        <s v="ORD-2025-00108"/>
        <s v="ORD-2025-00109"/>
        <s v="ORD-2025-00110"/>
        <s v="ORD-2025-00111"/>
        <s v="ORD-2024-00112"/>
        <s v="ORD-2025-00113"/>
        <s v="ORD-2025-00114"/>
        <s v="ORD-2024-00115"/>
        <s v="ORD-2024-00116"/>
        <s v="ORD-2024-00117"/>
        <s v="ORD-2024-00118"/>
        <s v="ORD-2024-00119"/>
        <s v="ORD-2024-00120"/>
        <s v="ORD-2024-00121"/>
        <s v="ORD-2025-00122"/>
        <s v="ORD-2025-00123"/>
        <s v="ORD-2025-00124"/>
        <s v="ORD-2025-00125"/>
        <s v="ORD-2024-00126"/>
        <s v="ORD-2025-00127"/>
        <s v="ORD-2025-00128"/>
        <s v="ORD-2025-00129"/>
        <s v="ORD-2025-00130"/>
        <s v="ORD-2025-00131"/>
        <s v="ORD-2025-00132"/>
        <s v="ORD-2024-00133"/>
        <s v="ORD-2024-00134"/>
        <s v="ORD-2025-00135"/>
        <s v="ORD-2025-00136"/>
        <s v="ORD-2025-00137"/>
        <s v="ORD-2024-00138"/>
        <s v="ORD-2024-00139"/>
        <s v="ORD-2025-00140"/>
        <s v="ORD-2025-00141"/>
        <s v="ORD-2025-00142"/>
        <s v="ORD-2025-00143"/>
        <s v="ORD-2024-00144"/>
        <s v="ORD-2025-00145"/>
        <s v="ORD-2024-00146"/>
        <s v="ORD-2025-00147"/>
        <s v="ORD-2025-00148"/>
        <s v="ORD-2024-00149"/>
        <s v="ORD-2025-00150"/>
        <s v="ORD-2024-00151"/>
        <s v="ORD-2025-00152"/>
        <s v="ORD-2024-00153"/>
        <s v="ORD-2025-00154"/>
        <s v="ORD-2024-00155"/>
        <s v="ORD-2025-00156"/>
        <s v="ORD-2024-00157"/>
        <s v="ORD-2024-00158"/>
        <s v="ORD-2025-00159"/>
        <s v="ORD-2025-00160"/>
        <s v="ORD-2025-00161"/>
        <s v="ORD-2025-00162"/>
        <s v="ORD-2025-00163"/>
        <s v="ORD-2024-00164"/>
        <s v="ORD-2025-00165"/>
        <s v="ORD-2025-00166"/>
        <s v="ORD-2024-00167"/>
        <s v="ORD-2024-00168"/>
        <s v="ORD-2025-00169"/>
        <s v="ORD-2025-00170"/>
        <s v="ORD-2024-00171"/>
        <s v="ORD-2025-00172"/>
        <s v="ORD-2024-00173"/>
        <s v="ORD-2024-00174"/>
        <s v="ORD-2024-00175"/>
        <s v="ORD-2025-00176"/>
        <s v="ORD-2025-00177"/>
        <s v="ORD-2024-00178"/>
        <s v="ORD-2025-00179"/>
        <s v="ORD-2025-00180"/>
        <s v="ORD-2024-00181"/>
        <s v="ORD-2024-00182"/>
        <s v="ORD-2025-00183"/>
        <s v="ORD-2025-00184"/>
        <s v="ORD-2025-00185"/>
        <s v="ORD-2025-00186"/>
        <s v="ORD-2024-00187"/>
        <s v="ORD-2025-00188"/>
        <s v="ORD-2024-00189"/>
        <s v="ORD-2024-00190"/>
        <s v="ORD-2025-00191"/>
        <s v="ORD-2025-00192"/>
        <s v="ORD-2025-00193"/>
        <s v="ORD-2025-00194"/>
        <s v="ORD-2025-00195"/>
        <s v="ORD-2025-00196"/>
        <s v="ORD-2024-00197"/>
        <s v="ORD-2025-00198"/>
        <s v="ORD-2024-00199"/>
        <s v="ORD-2025-00200"/>
        <s v="ORD-2025-00201"/>
        <s v="ORD-2025-00202"/>
        <s v="ORD-2024-00203"/>
        <s v="ORD-2025-00204"/>
        <s v="ORD-2025-00205"/>
        <s v="ORD-2025-00206"/>
        <s v="ORD-2024-00207"/>
        <s v="ORD-2025-00208"/>
        <s v="ORD-2025-00209"/>
        <s v="ORD-2024-00210"/>
        <s v="ORD-2025-00211"/>
        <s v="ORD-2024-00212"/>
        <s v="ORD-2024-00213"/>
        <s v="ORD-2025-00214"/>
        <s v="ORD-2024-00215"/>
        <s v="ORD-2025-00216"/>
        <s v="ORD-2024-00217"/>
        <s v="ORD-2025-00218"/>
        <s v="ORD-2025-00219"/>
        <s v="ORD-2025-00220"/>
        <s v="ORD-2024-00221"/>
        <s v="ORD-2024-00222"/>
        <s v="ORD-2025-00223"/>
        <s v="ORD-2025-00224"/>
        <s v="ORD-2025-00225"/>
        <s v="ORD-2025-00226"/>
        <s v="ORD-2025-00227"/>
        <s v="ORD-2024-00228"/>
        <s v="ORD-2025-00229"/>
        <s v="ORD-2024-00230"/>
        <s v="ORD-2024-00231"/>
        <s v="ORD-2024-00232"/>
        <s v="ORD-2025-00233"/>
        <s v="ORD-2024-00234"/>
        <s v="ORD-2024-00235"/>
        <s v="ORD-2025-00236"/>
        <s v="ORD-2024-00237"/>
        <s v="ORD-2025-00238"/>
        <s v="ORD-2024-00239"/>
        <s v="ORD-2025-00240"/>
        <s v="ORD-2024-00241"/>
        <s v="ORD-2024-00242"/>
        <s v="ORD-2024-00243"/>
        <s v="ORD-2024-00244"/>
        <s v="ORD-2025-00245"/>
        <s v="ORD-2024-00246"/>
        <s v="ORD-2025-00247"/>
        <s v="ORD-2025-00248"/>
        <s v="ORD-2024-00249"/>
        <s v="ORD-2025-00250"/>
        <s v="ORD-2024-00251"/>
        <s v="ORD-2024-00252"/>
        <s v="ORD-2025-00253"/>
        <s v="ORD-2025-00254"/>
        <s v="ORD-2025-00255"/>
        <s v="ORD-2025-00256"/>
        <s v="ORD-2024-00257"/>
        <s v="ORD-2025-00258"/>
        <s v="ORD-2025-00259"/>
        <s v="ORD-2024-00260"/>
        <s v="ORD-2025-00261"/>
        <s v="ORD-2024-00262"/>
        <s v="ORD-2025-00263"/>
        <s v="ORD-2024-00264"/>
        <s v="ORD-2024-00265"/>
        <s v="ORD-2024-00266"/>
        <s v="ORD-2025-00267"/>
        <s v="ORD-2025-00268"/>
        <s v="ORD-2024-00269"/>
        <s v="ORD-2024-00270"/>
        <s v="ORD-2024-00271"/>
        <s v="ORD-2025-00272"/>
        <s v="ORD-2025-00273"/>
        <s v="ORD-2024-00274"/>
        <s v="ORD-2024-00275"/>
        <s v="ORD-2024-00276"/>
        <s v="ORD-2024-00277"/>
        <s v="ORD-2024-00278"/>
        <s v="ORD-2025-00279"/>
        <s v="ORD-2024-00280"/>
        <s v="ORD-2024-00281"/>
        <s v="ORD-2025-00282"/>
        <s v="ORD-2024-00283"/>
        <s v="ORD-2024-00284"/>
        <s v="ORD-2024-00285"/>
        <s v="ORD-2025-00286"/>
        <s v="ORD-2025-00287"/>
        <s v="ORD-2025-00288"/>
        <s v="ORD-2025-00289"/>
        <s v="ORD-2025-00290"/>
        <s v="ORD-2025-00291"/>
        <s v="ORD-2024-00292"/>
        <s v="ORD-2024-00293"/>
        <s v="ORD-2024-00294"/>
        <s v="ORD-2024-00295"/>
        <s v="ORD-2025-00296"/>
        <s v="ORD-2025-00297"/>
        <s v="ORD-2024-00298"/>
        <s v="ORD-2024-00299"/>
        <s v="ORD-2024-00300"/>
        <s v="ORD-2025-00301"/>
        <s v="ORD-2024-00302"/>
        <s v="ORD-2025-00303"/>
        <s v="ORD-2025-00304"/>
        <s v="ORD-2024-00305"/>
        <s v="ORD-2025-00306"/>
        <s v="ORD-2025-00307"/>
        <s v="ORD-2024-00308"/>
        <s v="ORD-2025-00309"/>
        <s v="ORD-2025-00310"/>
        <s v="ORD-2024-00311"/>
        <s v="ORD-2024-00312"/>
        <s v="ORD-2025-00313"/>
        <s v="ORD-2025-00314"/>
        <s v="ORD-2024-00315"/>
        <s v="ORD-2025-00316"/>
        <s v="ORD-2025-00317"/>
        <s v="ORD-2025-00318"/>
        <s v="ORD-2025-00319"/>
        <s v="ORD-2024-00320"/>
        <s v="ORD-2025-00321"/>
        <s v="ORD-2024-00322"/>
        <s v="ORD-2024-00323"/>
        <s v="ORD-2024-00324"/>
        <s v="ORD-2025-00325"/>
        <s v="ORD-2025-00326"/>
        <s v="ORD-2024-00327"/>
        <s v="ORD-2024-00328"/>
        <s v="ORD-2024-00329"/>
        <s v="ORD-2024-00330"/>
        <s v="ORD-2025-00331"/>
        <s v="ORD-2024-00332"/>
        <s v="ORD-2025-00333"/>
        <s v="ORD-2025-00334"/>
        <s v="ORD-2025-00335"/>
        <s v="ORD-2025-00336"/>
        <s v="ORD-2025-00337"/>
        <s v="ORD-2024-00338"/>
        <s v="ORD-2024-00339"/>
        <s v="ORD-2025-00340"/>
        <s v="ORD-2024-00341"/>
        <s v="ORD-2024-00342"/>
        <s v="ORD-2024-00343"/>
        <s v="ORD-2024-00344"/>
        <s v="ORD-2025-00345"/>
        <s v="ORD-2024-00346"/>
        <s v="ORD-2025-00347"/>
        <s v="ORD-2025-00348"/>
        <s v="ORD-2024-00349"/>
        <s v="ORD-2024-00350"/>
        <s v="ORD-2024-00351"/>
        <s v="ORD-2024-00352"/>
        <s v="ORD-2025-00353"/>
        <s v="ORD-2024-00354"/>
        <s v="ORD-2024-00355"/>
        <s v="ORD-2025-00356"/>
        <s v="ORD-2024-00357"/>
        <s v="ORD-2025-00358"/>
        <s v="ORD-2024-00359"/>
        <s v="ORD-2024-00360"/>
        <s v="ORD-2024-00361"/>
        <s v="ORD-2024-00362"/>
        <s v="ORD-2024-00363"/>
        <s v="ORD-2024-00364"/>
        <s v="ORD-2024-00365"/>
        <s v="ORD-2024-00366"/>
        <s v="ORD-2025-00367"/>
        <s v="ORD-2025-00368"/>
        <s v="ORD-2024-00369"/>
        <s v="ORD-2025-00370"/>
        <s v="ORD-2025-00371"/>
        <s v="ORD-2024-00372"/>
        <s v="ORD-2025-00373"/>
        <s v="ORD-2025-00374"/>
        <s v="ORD-2024-00375"/>
        <s v="ORD-2025-00376"/>
        <s v="ORD-2025-00377"/>
        <s v="ORD-2024-00378"/>
        <s v="ORD-2025-00379"/>
        <s v="ORD-2024-00380"/>
        <s v="ORD-2024-00381"/>
        <s v="ORD-2024-00382"/>
        <s v="ORD-2025-00383"/>
        <s v="ORD-2025-00384"/>
        <s v="ORD-2025-00385"/>
        <s v="ORD-2025-00386"/>
        <s v="ORD-2025-00387"/>
        <s v="ORD-2025-00388"/>
        <s v="ORD-2024-00389"/>
        <s v="ORD-2025-00390"/>
        <s v="ORD-2024-00391"/>
        <s v="ORD-2024-00392"/>
        <s v="ORD-2025-00393"/>
        <s v="ORD-2025-00394"/>
        <s v="ORD-2025-00395"/>
        <s v="ORD-2025-00396"/>
        <s v="ORD-2024-00397"/>
        <s v="ORD-2024-00398"/>
        <s v="ORD-2024-00399"/>
        <s v="ORD-2025-00400"/>
        <s v="ORD-2024-00401"/>
        <s v="ORD-2025-00402"/>
        <s v="ORD-2025-00403"/>
        <s v="ORD-2025-00404"/>
        <s v="ORD-2024-00405"/>
        <s v="ORD-2024-00406"/>
        <s v="ORD-2024-00407"/>
        <s v="ORD-2024-00408"/>
        <s v="ORD-2025-00409"/>
        <s v="ORD-2024-00410"/>
        <s v="ORD-2024-00411"/>
        <s v="ORD-2025-00412"/>
        <s v="ORD-2025-00413"/>
        <s v="ORD-2024-00414"/>
        <s v="ORD-2025-00415"/>
        <s v="ORD-2025-00416"/>
        <s v="ORD-2024-00417"/>
        <s v="ORD-2024-00418"/>
        <s v="ORD-2025-00419"/>
        <s v="ORD-2025-00420"/>
        <s v="ORD-2024-00421"/>
        <s v="ORD-2024-00422"/>
        <s v="ORD-2024-00423"/>
        <s v="ORD-2024-00424"/>
        <s v="ORD-2024-00425"/>
        <s v="ORD-2025-00426"/>
        <s v="ORD-2024-00427"/>
        <s v="ORD-2025-00428"/>
        <s v="ORD-2025-00429"/>
        <s v="ORD-2024-00430"/>
        <s v="ORD-2025-00431"/>
        <s v="ORD-2025-00432"/>
        <s v="ORD-2025-00433"/>
        <s v="ORD-2024-00434"/>
        <s v="ORD-2025-00435"/>
        <s v="ORD-2024-00436"/>
        <s v="ORD-2024-00437"/>
        <s v="ORD-2025-00438"/>
        <s v="ORD-2024-00439"/>
        <s v="ORD-2024-00440"/>
        <s v="ORD-2025-00441"/>
        <s v="ORD-2025-00442"/>
        <s v="ORD-2024-00443"/>
        <s v="ORD-2025-00444"/>
        <s v="ORD-2025-00445"/>
        <s v="ORD-2024-00446"/>
        <s v="ORD-2025-00447"/>
        <s v="ORD-2024-00448"/>
        <s v="ORD-2025-00449"/>
        <s v="ORD-2025-00450"/>
        <s v="ORD-2025-00451"/>
        <s v="ORD-2024-00452"/>
        <s v="ORD-2024-00453"/>
        <s v="ORD-2024-00454"/>
        <s v="ORD-2025-00455"/>
        <s v="ORD-2025-00456"/>
        <s v="ORD-2025-00457"/>
        <s v="ORD-2024-00458"/>
        <s v="ORD-2024-00459"/>
        <s v="ORD-2024-00460"/>
        <s v="ORD-2025-00461"/>
        <s v="ORD-2025-00462"/>
        <s v="ORD-2024-00463"/>
        <s v="ORD-2025-00464"/>
        <s v="ORD-2024-00465"/>
        <s v="ORD-2024-00466"/>
        <s v="ORD-2024-00467"/>
        <s v="ORD-2024-00468"/>
        <s v="ORD-2024-00469"/>
        <s v="ORD-2025-00470"/>
        <s v="ORD-2024-00471"/>
        <s v="ORD-2024-00472"/>
        <s v="ORD-2025-00473"/>
        <s v="ORD-2025-00474"/>
        <s v="ORD-2024-00475"/>
        <s v="ORD-2025-00476"/>
        <s v="ORD-2025-00477"/>
        <s v="ORD-2024-00478"/>
        <s v="ORD-2024-00479"/>
        <s v="ORD-2024-00480"/>
        <s v="ORD-2024-00481"/>
        <s v="ORD-2025-00482"/>
        <s v="ORD-2024-00483"/>
        <s v="ORD-2024-00484"/>
        <s v="ORD-2024-00485"/>
        <s v="ORD-2025-00486"/>
        <s v="ORD-2025-00487"/>
        <s v="ORD-2025-00488"/>
        <s v="ORD-2024-00489"/>
        <s v="ORD-2025-00490"/>
        <s v="ORD-2024-00491"/>
        <s v="ORD-2024-00492"/>
        <s v="ORD-2024-00493"/>
        <s v="ORD-2025-00494"/>
        <s v="ORD-2024-00495"/>
        <s v="ORD-2025-00496"/>
        <s v="ORD-2025-00497"/>
        <s v="ORD-2025-00498"/>
        <s v="ORD-2025-00499"/>
        <s v="ORD-2025-00500"/>
        <s v="ORD-2025-00501"/>
        <s v="ORD-2025-00502"/>
        <s v="ORD-2025-00503"/>
        <s v="ORD-2025-00504"/>
        <s v="ORD-2024-00505"/>
        <s v="ORD-2025-00506"/>
        <s v="ORD-2025-00507"/>
        <s v="ORD-2024-00508"/>
        <s v="ORD-2024-00509"/>
        <s v="ORD-2025-00510"/>
        <s v="ORD-2024-00511"/>
        <s v="ORD-2025-00512"/>
        <s v="ORD-2024-00513"/>
        <s v="ORD-2025-00514"/>
        <s v="ORD-2024-00515"/>
        <s v="ORD-2024-00516"/>
        <s v="ORD-2025-00517"/>
        <s v="ORD-2024-00518"/>
        <s v="ORD-2025-00519"/>
        <s v="ORD-2024-00520"/>
        <s v="ORD-2025-00521"/>
        <s v="ORD-2025-00522"/>
        <s v="ORD-2025-00523"/>
        <s v="ORD-2024-00524"/>
        <s v="ORD-2025-00525"/>
        <s v="ORD-2024-00526"/>
        <s v="ORD-2025-00527"/>
        <s v="ORD-2025-00528"/>
        <s v="ORD-2025-00529"/>
        <s v="ORD-2024-00530"/>
        <s v="ORD-2025-00531"/>
        <s v="ORD-2025-00532"/>
        <s v="ORD-2025-00533"/>
        <s v="ORD-2025-00534"/>
        <s v="ORD-2024-00535"/>
        <s v="ORD-2025-00536"/>
        <s v="ORD-2025-00537"/>
        <s v="ORD-2025-00538"/>
        <s v="ORD-2024-00539"/>
        <s v="ORD-2025-00540"/>
        <s v="ORD-2024-00541"/>
        <s v="ORD-2025-00542"/>
        <s v="ORD-2024-00543"/>
        <s v="ORD-2025-00544"/>
        <s v="ORD-2025-00545"/>
        <s v="ORD-2024-00546"/>
        <s v="ORD-2024-00547"/>
        <s v="ORD-2025-00548"/>
        <s v="ORD-2025-00549"/>
        <s v="ORD-2025-00550"/>
        <s v="ORD-2024-00551"/>
        <s v="ORD-2024-00552"/>
        <s v="ORD-2024-00553"/>
        <s v="ORD-2024-00554"/>
        <s v="ORD-2025-00555"/>
        <s v="ORD-2025-00556"/>
        <s v="ORD-2024-00557"/>
        <s v="ORD-2025-00558"/>
        <s v="ORD-2025-00559"/>
        <s v="ORD-2024-00560"/>
        <s v="ORD-2024-00561"/>
        <s v="ORD-2025-00562"/>
        <s v="ORD-2025-00563"/>
        <s v="ORD-2025-00564"/>
        <s v="ORD-2024-00565"/>
        <s v="ORD-2024-00566"/>
        <s v="ORD-2024-00567"/>
        <s v="ORD-2025-00568"/>
        <s v="ORD-2025-00569"/>
        <s v="ORD-2025-00570"/>
        <s v="ORD-2025-00571"/>
        <s v="ORD-2025-00572"/>
        <s v="ORD-2025-00573"/>
        <s v="ORD-2024-00574"/>
        <s v="ORD-2024-00575"/>
        <s v="ORD-2024-00576"/>
        <s v="ORD-2025-00577"/>
        <s v="ORD-2024-00578"/>
        <s v="ORD-2025-00579"/>
        <s v="ORD-2025-00580"/>
        <s v="ORD-2025-00581"/>
        <s v="ORD-2024-00582"/>
        <s v="ORD-2024-00583"/>
        <s v="ORD-2025-00584"/>
        <s v="ORD-2024-00585"/>
        <s v="ORD-2024-00586"/>
        <s v="ORD-2025-00587"/>
        <s v="ORD-2024-00588"/>
        <s v="ORD-2024-00589"/>
        <s v="ORD-2025-00590"/>
        <s v="ORD-2024-00591"/>
        <s v="ORD-2025-00592"/>
        <s v="ORD-2024-00593"/>
        <s v="ORD-2024-00594"/>
        <s v="ORD-2024-00595"/>
        <s v="ORD-2024-00596"/>
        <s v="ORD-2025-00597"/>
        <s v="ORD-2025-00598"/>
        <s v="ORD-2024-00599"/>
        <s v="ORD-2024-00600"/>
        <s v="ORD-2025-00601"/>
        <s v="ORD-2024-00602"/>
        <s v="ORD-2024-00603"/>
        <s v="ORD-2025-00604"/>
        <s v="ORD-2024-00605"/>
        <s v="ORD-2025-00606"/>
        <s v="ORD-2024-00607"/>
        <s v="ORD-2024-00608"/>
        <s v="ORD-2025-00609"/>
        <s v="ORD-2025-00610"/>
        <s v="ORD-2024-00611"/>
        <s v="ORD-2025-00612"/>
        <s v="ORD-2024-00613"/>
        <s v="ORD-2024-00614"/>
        <s v="ORD-2025-00615"/>
        <s v="ORD-2024-00616"/>
        <s v="ORD-2025-00617"/>
        <s v="ORD-2025-00618"/>
        <s v="ORD-2024-00619"/>
        <s v="ORD-2024-00620"/>
        <s v="ORD-2025-00621"/>
        <s v="ORD-2025-00622"/>
        <s v="ORD-2025-00623"/>
        <s v="ORD-2024-00624"/>
        <s v="ORD-2024-00625"/>
        <s v="ORD-2024-00626"/>
        <s v="ORD-2024-00627"/>
        <s v="ORD-2024-00628"/>
        <s v="ORD-2024-00629"/>
        <s v="ORD-2025-00630"/>
        <s v="ORD-2025-00631"/>
        <s v="ORD-2024-00632"/>
        <s v="ORD-2024-00633"/>
        <s v="ORD-2024-00634"/>
        <s v="ORD-2025-00635"/>
        <s v="ORD-2025-00636"/>
        <s v="ORD-2024-00637"/>
        <s v="ORD-2024-00638"/>
        <s v="ORD-2025-00639"/>
        <s v="ORD-2024-00640"/>
        <s v="ORD-2025-00641"/>
        <s v="ORD-2024-00642"/>
        <s v="ORD-2025-00643"/>
        <s v="ORD-2024-00644"/>
        <s v="ORD-2025-00645"/>
        <s v="ORD-2025-00646"/>
        <s v="ORD-2025-00647"/>
        <s v="ORD-2024-00648"/>
        <s v="ORD-2024-00649"/>
        <s v="ORD-2025-00650"/>
        <s v="ORD-2024-00651"/>
        <s v="ORD-2024-00652"/>
        <s v="ORD-2025-00653"/>
        <s v="ORD-2024-00654"/>
        <s v="ORD-2025-00655"/>
        <s v="ORD-2025-00656"/>
        <s v="ORD-2025-00657"/>
        <s v="ORD-2024-00658"/>
        <s v="ORD-2024-00659"/>
        <s v="ORD-2024-00660"/>
        <s v="ORD-2025-00661"/>
        <s v="ORD-2025-00662"/>
        <s v="ORD-2025-00663"/>
        <s v="ORD-2024-00664"/>
        <s v="ORD-2024-00665"/>
        <s v="ORD-2024-00666"/>
        <s v="ORD-2024-00667"/>
        <s v="ORD-2024-00668"/>
        <s v="ORD-2024-00669"/>
        <s v="ORD-2025-00670"/>
        <s v="ORD-2024-00671"/>
        <s v="ORD-2025-00672"/>
        <s v="ORD-2025-00673"/>
        <s v="ORD-2025-00674"/>
        <s v="ORD-2025-00675"/>
        <s v="ORD-2024-00676"/>
        <s v="ORD-2024-00677"/>
        <s v="ORD-2024-00678"/>
        <s v="ORD-2025-00679"/>
        <s v="ORD-2024-00680"/>
        <s v="ORD-2025-00681"/>
        <s v="ORD-2025-00682"/>
        <s v="ORD-2025-00683"/>
        <s v="ORD-2025-00684"/>
        <s v="ORD-2024-00685"/>
        <s v="ORD-2025-00686"/>
        <s v="ORD-2025-00687"/>
        <s v="ORD-2024-00688"/>
        <s v="ORD-2024-00689"/>
        <s v="ORD-2024-00690"/>
        <s v="ORD-2025-00691"/>
        <s v="ORD-2025-00692"/>
        <s v="ORD-2025-00693"/>
        <s v="ORD-2024-00694"/>
        <s v="ORD-2024-00695"/>
        <s v="ORD-2024-00696"/>
        <s v="ORD-2025-00697"/>
        <s v="ORD-2024-00698"/>
        <s v="ORD-2025-00699"/>
        <s v="ORD-2025-00700"/>
        <s v="ORD-2024-00701"/>
        <s v="ORD-2024-00702"/>
        <s v="ORD-2025-00703"/>
        <s v="ORD-2024-00704"/>
        <s v="ORD-2025-00705"/>
        <s v="ORD-2025-00706"/>
        <s v="ORD-2024-00707"/>
        <s v="ORD-2024-00708"/>
        <s v="ORD-2025-00709"/>
        <s v="ORD-2025-00710"/>
        <s v="ORD-2025-00711"/>
        <s v="ORD-2025-00712"/>
        <s v="ORD-2024-00713"/>
        <s v="ORD-2025-00714"/>
        <s v="ORD-2025-00715"/>
        <s v="ORD-2024-00716"/>
        <s v="ORD-2025-00717"/>
        <s v="ORD-2025-00718"/>
        <s v="ORD-2024-00719"/>
        <s v="ORD-2024-00720"/>
        <s v="ORD-2024-00721"/>
        <s v="ORD-2024-00722"/>
        <s v="ORD-2024-00723"/>
        <s v="ORD-2025-00724"/>
        <s v="ORD-2024-00725"/>
        <s v="ORD-2024-00726"/>
        <s v="ORD-2024-00727"/>
        <s v="ORD-2024-00728"/>
        <s v="ORD-2024-00729"/>
        <s v="ORD-2024-00730"/>
        <s v="ORD-2024-00731"/>
        <s v="ORD-2024-00732"/>
        <s v="ORD-2025-00733"/>
        <s v="ORD-2025-00734"/>
        <s v="ORD-2025-00735"/>
        <s v="ORD-2024-00736"/>
        <s v="ORD-2024-00737"/>
        <s v="ORD-2025-00738"/>
        <s v="ORD-2025-00739"/>
        <s v="ORD-2025-00740"/>
        <s v="ORD-2025-00741"/>
        <s v="ORD-2025-00742"/>
        <s v="ORD-2025-00743"/>
        <s v="ORD-2025-00744"/>
        <s v="ORD-2025-00745"/>
        <s v="ORD-2024-00746"/>
        <s v="ORD-2025-00747"/>
        <s v="ORD-2025-00748"/>
        <s v="ORD-2025-00749"/>
        <s v="ORD-2025-00750"/>
        <s v="ORD-2024-00751"/>
        <s v="ORD-2024-00752"/>
        <s v="ORD-2024-00753"/>
        <s v="ORD-2024-00754"/>
        <s v="ORD-2025-00755"/>
        <s v="ORD-2024-00756"/>
        <s v="ORD-2024-00757"/>
        <s v="ORD-2025-00758"/>
        <s v="ORD-2025-00759"/>
        <s v="ORD-2025-00760"/>
        <s v="ORD-2025-00761"/>
        <s v="ORD-2025-00762"/>
        <s v="ORD-2024-00763"/>
        <s v="ORD-2024-00764"/>
        <s v="ORD-2024-00765"/>
        <s v="ORD-2024-00766"/>
        <s v="ORD-2025-00767"/>
        <s v="ORD-2024-00768"/>
        <s v="ORD-2024-00769"/>
        <s v="ORD-2025-00770"/>
        <s v="ORD-2025-00771"/>
        <s v="ORD-2024-00772"/>
        <s v="ORD-2024-00773"/>
        <s v="ORD-2024-00774"/>
        <s v="ORD-2024-00775"/>
        <s v="ORD-2024-00776"/>
        <s v="ORD-2025-00777"/>
        <s v="ORD-2025-00778"/>
        <s v="ORD-2025-00779"/>
        <s v="ORD-2024-00780"/>
        <s v="ORD-2024-00781"/>
        <s v="ORD-2024-00782"/>
        <s v="ORD-2025-00783"/>
        <s v="ORD-2024-00784"/>
        <s v="ORD-2025-00785"/>
        <s v="ORD-2024-00786"/>
        <s v="ORD-2025-00787"/>
        <s v="ORD-2025-00788"/>
        <s v="ORD-2024-00789"/>
        <s v="ORD-2024-00790"/>
        <s v="ORD-2024-00791"/>
        <s v="ORD-2025-00792"/>
        <s v="ORD-2025-00793"/>
        <s v="ORD-2024-00794"/>
        <s v="ORD-2024-00795"/>
        <s v="ORD-2024-00796"/>
        <s v="ORD-2025-00797"/>
        <s v="ORD-2024-00798"/>
        <s v="ORD-2025-00799"/>
        <s v="ORD-2024-00800"/>
        <s v="ORD-2025-00801"/>
        <s v="ORD-2024-00802"/>
        <s v="ORD-2024-00803"/>
        <s v="ORD-2024-00804"/>
        <s v="ORD-2024-00805"/>
        <s v="ORD-2025-00806"/>
        <s v="ORD-2024-00807"/>
        <s v="ORD-2025-00808"/>
        <s v="ORD-2024-00809"/>
        <s v="ORD-2025-00810"/>
        <s v="ORD-2024-00811"/>
        <s v="ORD-2025-00812"/>
        <s v="ORD-2024-00813"/>
        <s v="ORD-2024-00814"/>
        <s v="ORD-2024-00815"/>
        <s v="ORD-2024-00816"/>
        <s v="ORD-2025-00817"/>
        <s v="ORD-2024-00818"/>
        <s v="ORD-2024-00819"/>
        <s v="ORD-2025-00820"/>
        <s v="ORD-2025-00821"/>
        <s v="ORD-2024-00822"/>
        <s v="ORD-2025-00823"/>
        <s v="ORD-2024-00824"/>
        <s v="ORD-2024-00825"/>
        <s v="ORD-2024-00826"/>
        <s v="ORD-2025-00827"/>
        <s v="ORD-2024-00828"/>
        <s v="ORD-2025-00829"/>
        <s v="ORD-2024-00830"/>
        <s v="ORD-2025-00831"/>
        <s v="ORD-2024-00832"/>
        <s v="ORD-2025-00833"/>
        <s v="ORD-2024-00834"/>
        <s v="ORD-2025-00835"/>
        <s v="ORD-2025-00836"/>
        <s v="ORD-2025-00837"/>
        <s v="ORD-2025-00838"/>
        <s v="ORD-2025-00839"/>
        <s v="ORD-2025-00840"/>
        <s v="ORD-2025-00841"/>
        <s v="ORD-2024-00842"/>
        <s v="ORD-2025-00843"/>
        <s v="ORD-2024-00844"/>
        <s v="ORD-2024-00845"/>
        <s v="ORD-2025-00846"/>
        <s v="ORD-2024-00847"/>
        <s v="ORD-2025-00848"/>
        <s v="ORD-2024-00849"/>
        <s v="ORD-2024-00850"/>
        <s v="ORD-2024-00851"/>
        <s v="ORD-2024-00852"/>
        <s v="ORD-2024-00853"/>
        <s v="ORD-2024-00854"/>
        <s v="ORD-2024-00855"/>
        <s v="ORD-2024-00856"/>
        <s v="ORD-2024-00857"/>
        <s v="ORD-2024-00858"/>
        <s v="ORD-2025-00859"/>
        <s v="ORD-2024-00860"/>
        <s v="ORD-2024-00861"/>
        <s v="ORD-2024-00862"/>
        <s v="ORD-2024-00863"/>
        <s v="ORD-2025-00864"/>
        <s v="ORD-2024-00865"/>
        <s v="ORD-2025-00866"/>
        <s v="ORD-2025-00867"/>
        <s v="ORD-2024-00868"/>
        <s v="ORD-2025-00869"/>
        <s v="ORD-2024-00870"/>
        <s v="ORD-2025-00871"/>
        <s v="ORD-2025-00872"/>
        <s v="ORD-2025-00873"/>
        <s v="ORD-2024-00874"/>
        <s v="ORD-2024-00875"/>
        <s v="ORD-2024-00876"/>
        <s v="ORD-2025-00877"/>
        <s v="ORD-2024-00878"/>
        <s v="ORD-2025-00879"/>
        <s v="ORD-2025-00880"/>
        <s v="ORD-2025-00881"/>
        <s v="ORD-2024-00882"/>
        <s v="ORD-2024-00883"/>
        <s v="ORD-2024-00884"/>
        <s v="ORD-2025-00885"/>
        <s v="ORD-2024-00886"/>
        <s v="ORD-2025-00887"/>
        <s v="ORD-2024-00888"/>
        <s v="ORD-2025-00889"/>
        <s v="ORD-2024-00890"/>
        <s v="ORD-2024-00891"/>
        <s v="ORD-2025-00892"/>
        <s v="ORD-2025-00893"/>
        <s v="ORD-2024-00894"/>
        <s v="ORD-2025-00895"/>
        <s v="ORD-2024-00896"/>
        <s v="ORD-2024-00897"/>
        <s v="ORD-2024-00898"/>
        <s v="ORD-2024-00899"/>
        <s v="ORD-2025-00900"/>
        <s v="ORD-2024-00901"/>
        <s v="ORD-2025-00902"/>
        <s v="ORD-2024-00903"/>
        <s v="ORD-2025-00904"/>
        <s v="ORD-2024-00905"/>
        <s v="ORD-2024-00906"/>
        <s v="ORD-2025-00907"/>
        <s v="ORD-2025-00908"/>
        <s v="ORD-2024-00909"/>
        <s v="ORD-2024-00910"/>
        <s v="ORD-2024-00911"/>
        <s v="ORD-2024-00912"/>
        <s v="ORD-2024-00913"/>
        <s v="ORD-2024-00914"/>
        <s v="ORD-2024-00915"/>
        <s v="ORD-2025-00916"/>
        <s v="ORD-2024-00917"/>
        <s v="ORD-2025-00918"/>
        <s v="ORD-2025-00919"/>
        <s v="ORD-2025-00920"/>
        <s v="ORD-2025-00921"/>
        <s v="ORD-2025-00922"/>
        <s v="ORD-2025-00923"/>
        <s v="ORD-2025-00924"/>
        <s v="ORD-2025-00925"/>
        <s v="ORD-2024-00926"/>
        <s v="ORD-2024-00927"/>
        <s v="ORD-2025-00928"/>
        <s v="ORD-2024-00929"/>
        <s v="ORD-2025-00930"/>
        <s v="ORD-2024-00931"/>
        <s v="ORD-2025-00932"/>
        <s v="ORD-2025-00933"/>
        <s v="ORD-2024-00934"/>
        <s v="ORD-2025-00935"/>
        <s v="ORD-2025-00936"/>
        <s v="ORD-2025-00937"/>
        <s v="ORD-2025-00938"/>
        <s v="ORD-2025-00939"/>
        <s v="ORD-2024-00940"/>
        <s v="ORD-2025-00941"/>
        <s v="ORD-2024-00942"/>
        <s v="ORD-2025-00943"/>
        <s v="ORD-2025-00944"/>
        <s v="ORD-2024-00945"/>
        <s v="ORD-2024-00946"/>
        <s v="ORD-2025-00947"/>
        <s v="ORD-2024-00948"/>
        <s v="ORD-2024-00949"/>
        <s v="ORD-2025-00950"/>
        <s v="ORD-2024-00951"/>
        <s v="ORD-2024-00952"/>
        <s v="ORD-2024-00953"/>
        <s v="ORD-2025-00954"/>
        <s v="ORD-2024-00955"/>
        <s v="ORD-2024-00956"/>
        <s v="ORD-2025-00957"/>
        <s v="ORD-2024-00958"/>
        <s v="ORD-2025-00959"/>
        <s v="ORD-2025-00960"/>
        <s v="ORD-2025-00961"/>
        <s v="ORD-2025-00962"/>
        <s v="ORD-2024-00963"/>
        <s v="ORD-2025-00964"/>
        <s v="ORD-2025-00965"/>
        <s v="ORD-2024-00966"/>
        <s v="ORD-2025-00967"/>
        <s v="ORD-2024-00968"/>
        <s v="ORD-2024-00969"/>
        <s v="ORD-2025-00970"/>
        <s v="ORD-2024-00971"/>
        <s v="ORD-2025-00972"/>
        <s v="ORD-2024-00973"/>
        <s v="ORD-2025-00974"/>
        <s v="ORD-2024-00975"/>
        <s v="ORD-2025-00976"/>
        <s v="ORD-2024-00977"/>
        <s v="ORD-2024-00978"/>
        <s v="ORD-2025-00979"/>
        <s v="ORD-2024-00980"/>
        <s v="ORD-2024-00981"/>
        <s v="ORD-2025-00982"/>
        <s v="ORD-2024-00983"/>
        <s v="ORD-2025-00984"/>
        <s v="ORD-2024-00985"/>
        <s v="ORD-2025-00986"/>
        <s v="ORD-2024-00987"/>
        <s v="ORD-2025-00988"/>
        <s v="ORD-2025-00989"/>
        <s v="ORD-2024-00990"/>
        <s v="ORD-2024-00991"/>
        <s v="ORD-2025-00992"/>
        <s v="ORD-2024-00993"/>
        <s v="ORD-2024-00994"/>
        <s v="ORD-2024-00995"/>
        <s v="ORD-2025-00996"/>
        <s v="ORD-2025-00997"/>
        <s v="ORD-2024-00998"/>
        <s v="ORD-2024-00999"/>
        <s v="ORD-2025-01000"/>
        <s v="ORD-2024-01001"/>
        <s v="ORD-2025-01002"/>
        <s v="ORD-2025-01003"/>
        <s v="ORD-2025-01004"/>
        <s v="ORD-2024-01005"/>
        <s v="ORD-2025-01006"/>
        <s v="ORD-2024-01007"/>
        <s v="ORD-2024-01008"/>
        <s v="ORD-2024-01009"/>
        <s v="ORD-2025-01010"/>
        <s v="ORD-2025-01011"/>
        <s v="ORD-2024-01012"/>
        <s v="ORD-2025-01013"/>
        <s v="ORD-2025-01014"/>
        <s v="ORD-2025-01015"/>
        <s v="ORD-2024-01016"/>
        <s v="ORD-2024-01017"/>
        <s v="ORD-2025-01018"/>
        <s v="ORD-2024-01019"/>
        <s v="ORD-2024-01020"/>
        <s v="ORD-2024-01021"/>
        <s v="ORD-2024-01022"/>
        <s v="ORD-2025-01023"/>
        <s v="ORD-2024-01024"/>
        <s v="ORD-2024-01025"/>
        <s v="ORD-2025-01026"/>
        <s v="ORD-2024-01027"/>
        <s v="ORD-2025-01028"/>
        <s v="ORD-2025-01029"/>
        <s v="ORD-2024-01030"/>
        <s v="ORD-2025-01031"/>
        <s v="ORD-2024-01032"/>
        <s v="ORD-2024-01033"/>
        <s v="ORD-2025-01034"/>
        <s v="ORD-2024-01035"/>
        <s v="ORD-2024-01036"/>
        <s v="ORD-2025-01037"/>
        <s v="ORD-2025-01038"/>
        <s v="ORD-2025-01039"/>
        <s v="ORD-2025-01040"/>
        <s v="ORD-2025-01041"/>
        <s v="ORD-2024-01042"/>
        <s v="ORD-2025-01043"/>
        <s v="ORD-2024-01044"/>
        <s v="ORD-2025-01045"/>
        <s v="ORD-2024-01046"/>
        <s v="ORD-2024-01047"/>
        <s v="ORD-2025-01048"/>
        <s v="ORD-2025-01049"/>
        <s v="ORD-2024-01050"/>
        <s v="ORD-2024-01051"/>
        <s v="ORD-2024-01052"/>
        <s v="ORD-2025-01053"/>
        <s v="ORD-2025-01054"/>
        <s v="ORD-2025-01055"/>
        <s v="ORD-2024-01056"/>
        <s v="ORD-2025-01057"/>
        <s v="ORD-2025-01058"/>
        <s v="ORD-2025-01059"/>
        <s v="ORD-2024-01060"/>
        <s v="ORD-2025-01061"/>
        <s v="ORD-2025-01062"/>
        <s v="ORD-2024-01063"/>
        <s v="ORD-2025-01064"/>
        <s v="ORD-2024-01065"/>
        <s v="ORD-2025-01066"/>
        <s v="ORD-2024-01067"/>
        <s v="ORD-2025-01068"/>
        <s v="ORD-2025-01069"/>
        <s v="ORD-2024-01070"/>
        <s v="ORD-2025-01071"/>
        <s v="ORD-2024-01072"/>
        <s v="ORD-2024-01073"/>
        <s v="ORD-2024-01074"/>
        <s v="ORD-2025-01075"/>
        <s v="ORD-2025-01076"/>
        <s v="ORD-2025-01077"/>
        <s v="ORD-2025-01078"/>
        <s v="ORD-2024-01079"/>
        <s v="ORD-2024-01080"/>
        <s v="ORD-2024-01081"/>
        <s v="ORD-2024-01082"/>
        <s v="ORD-2025-01083"/>
        <s v="ORD-2024-01084"/>
        <s v="ORD-2024-01085"/>
        <s v="ORD-2025-01086"/>
        <s v="ORD-2024-01087"/>
        <s v="ORD-2024-01088"/>
        <s v="ORD-2024-01089"/>
        <s v="ORD-2024-01090"/>
        <s v="ORD-2025-01091"/>
        <s v="ORD-2024-01092"/>
        <s v="ORD-2025-01093"/>
        <s v="ORD-2024-01094"/>
        <s v="ORD-2025-01095"/>
        <s v="ORD-2024-01096"/>
        <s v="ORD-2024-01097"/>
        <s v="ORD-2024-01098"/>
        <s v="ORD-2025-01099"/>
        <s v="ORD-2024-01100"/>
        <s v="ORD-2024-01101"/>
        <s v="ORD-2025-01102"/>
        <s v="ORD-2024-01103"/>
        <s v="ORD-2025-01104"/>
        <s v="ORD-2024-01105"/>
        <s v="ORD-2024-01106"/>
        <s v="ORD-2024-01107"/>
        <s v="ORD-2024-01108"/>
        <s v="ORD-2025-01109"/>
        <s v="ORD-2024-01110"/>
        <s v="ORD-2024-01111"/>
        <s v="ORD-2025-01112"/>
        <s v="ORD-2024-01113"/>
        <s v="ORD-2025-01114"/>
        <s v="ORD-2025-01115"/>
        <s v="ORD-2025-01116"/>
        <s v="ORD-2025-01117"/>
        <s v="ORD-2024-01118"/>
        <s v="ORD-2024-01119"/>
        <s v="ORD-2024-01120"/>
        <s v="ORD-2024-01121"/>
        <s v="ORD-2024-01122"/>
        <s v="ORD-2025-01123"/>
        <s v="ORD-2025-01124"/>
        <s v="ORD-2024-01125"/>
        <s v="ORD-2024-01126"/>
        <s v="ORD-2025-01127"/>
        <s v="ORD-2024-01128"/>
        <s v="ORD-2024-01129"/>
        <s v="ORD-2025-01130"/>
        <s v="ORD-2025-01131"/>
        <s v="ORD-2025-01132"/>
        <s v="ORD-2025-01133"/>
        <s v="ORD-2024-01134"/>
        <s v="ORD-2025-01135"/>
        <s v="ORD-2025-01136"/>
        <s v="ORD-2024-01137"/>
        <s v="ORD-2024-01138"/>
        <s v="ORD-2025-01139"/>
        <s v="ORD-2025-01140"/>
        <s v="ORD-2025-01141"/>
        <s v="ORD-2025-01142"/>
        <s v="ORD-2024-01143"/>
        <s v="ORD-2024-01144"/>
        <s v="ORD-2024-01145"/>
        <s v="ORD-2025-01146"/>
        <s v="ORD-2024-01147"/>
        <s v="ORD-2024-01148"/>
        <s v="ORD-2025-01149"/>
        <s v="ORD-2025-01150"/>
        <s v="ORD-2024-01151"/>
        <s v="ORD-2025-01152"/>
        <s v="ORD-2025-01153"/>
        <s v="ORD-2024-01154"/>
        <s v="ORD-2025-01155"/>
        <s v="ORD-2024-01156"/>
        <s v="ORD-2025-01157"/>
        <s v="ORD-2025-01158"/>
        <s v="ORD-2024-01159"/>
        <s v="ORD-2025-01160"/>
        <s v="ORD-2025-01161"/>
        <s v="ORD-2024-01162"/>
        <s v="ORD-2024-01163"/>
        <s v="ORD-2025-01164"/>
        <s v="ORD-2024-01165"/>
        <s v="ORD-2024-01166"/>
        <s v="ORD-2025-01167"/>
        <s v="ORD-2025-01168"/>
        <s v="ORD-2024-01169"/>
        <s v="ORD-2024-01170"/>
        <s v="ORD-2024-01171"/>
        <s v="ORD-2024-01172"/>
        <s v="ORD-2025-01173"/>
        <s v="ORD-2025-01174"/>
        <s v="ORD-2024-01175"/>
        <s v="ORD-2025-01176"/>
        <s v="ORD-2024-01177"/>
        <s v="ORD-2024-01178"/>
        <s v="ORD-2024-01179"/>
        <s v="ORD-2025-01180"/>
        <s v="ORD-2024-01181"/>
        <s v="ORD-2025-01182"/>
        <s v="ORD-2024-01183"/>
        <s v="ORD-2025-01184"/>
        <s v="ORD-2024-01185"/>
        <s v="ORD-2025-01186"/>
        <s v="ORD-2024-01187"/>
        <s v="ORD-2025-01188"/>
        <s v="ORD-2024-01189"/>
        <s v="ORD-2024-01190"/>
        <s v="ORD-2024-01191"/>
        <s v="ORD-2025-01192"/>
        <s v="ORD-2025-01193"/>
        <s v="ORD-2024-01194"/>
        <s v="ORD-2024-01195"/>
        <s v="ORD-2025-01196"/>
        <s v="ORD-2024-01197"/>
        <s v="ORD-2024-01198"/>
        <s v="ORD-2025-01199"/>
        <s v="ORD-2025-01200"/>
        <s v="ORD-2024-01201"/>
        <s v="ORD-2024-01202"/>
        <s v="ORD-2025-01203"/>
        <s v="ORD-2024-01204"/>
        <s v="ORD-2024-01205"/>
        <s v="ORD-2025-01206"/>
        <s v="ORD-2025-01207"/>
        <s v="ORD-2024-01208"/>
        <s v="ORD-2024-01209"/>
        <s v="ORD-2025-01210"/>
        <s v="ORD-2024-01211"/>
        <s v="ORD-2024-01212"/>
        <s v="ORD-2024-01213"/>
        <s v="ORD-2025-01214"/>
        <s v="ORD-2025-01215"/>
        <s v="ORD-2024-01216"/>
        <s v="ORD-2024-01217"/>
        <s v="ORD-2025-01218"/>
        <s v="ORD-2025-01219"/>
        <s v="ORD-2024-01220"/>
        <s v="ORD-2025-01221"/>
        <s v="ORD-2024-01222"/>
        <s v="ORD-2024-01223"/>
        <s v="ORD-2025-01224"/>
        <s v="ORD-2024-01225"/>
        <s v="ORD-2025-01226"/>
        <s v="ORD-2024-01227"/>
        <s v="ORD-2024-01228"/>
        <s v="ORD-2024-01229"/>
        <s v="ORD-2025-01230"/>
        <s v="ORD-2024-01231"/>
        <s v="ORD-2024-01232"/>
        <s v="ORD-2024-01233"/>
        <s v="ORD-2024-01234"/>
        <s v="ORD-2025-01235"/>
        <s v="ORD-2024-01236"/>
        <s v="ORD-2025-01237"/>
        <s v="ORD-2025-01238"/>
        <s v="ORD-2024-01239"/>
        <s v="ORD-2025-01240"/>
        <s v="ORD-2024-01241"/>
        <s v="ORD-2024-01242"/>
        <s v="ORD-2024-01243"/>
        <s v="ORD-2024-01244"/>
        <s v="ORD-2024-01245"/>
        <s v="ORD-2025-01246"/>
        <s v="ORD-2025-01247"/>
        <s v="ORD-2025-01248"/>
        <s v="ORD-2024-01249"/>
        <s v="ORD-2024-01250"/>
        <s v="ORD-2025-01251"/>
        <s v="ORD-2024-01252"/>
        <s v="ORD-2024-01253"/>
        <s v="ORD-2025-01254"/>
        <s v="ORD-2024-01255"/>
        <s v="ORD-2024-01256"/>
        <s v="ORD-2024-01257"/>
        <s v="ORD-2025-01258"/>
        <s v="ORD-2025-01259"/>
        <s v="ORD-2025-01260"/>
        <s v="ORD-2024-01261"/>
        <s v="ORD-2025-01262"/>
        <s v="ORD-2024-01263"/>
        <s v="ORD-2025-01264"/>
        <s v="ORD-2025-01265"/>
        <s v="ORD-2025-01266"/>
        <s v="ORD-2025-01267"/>
        <s v="ORD-2025-01268"/>
        <s v="ORD-2025-01269"/>
        <s v="ORD-2024-01270"/>
        <s v="ORD-2025-01271"/>
        <s v="ORD-2025-01272"/>
        <s v="ORD-2024-01273"/>
        <s v="ORD-2024-01274"/>
        <s v="ORD-2024-01275"/>
        <s v="ORD-2024-01276"/>
        <s v="ORD-2025-01277"/>
        <s v="ORD-2025-01278"/>
        <s v="ORD-2024-01279"/>
        <s v="ORD-2024-01280"/>
        <s v="ORD-2025-01281"/>
        <s v="ORD-2025-01282"/>
        <s v="ORD-2024-01283"/>
        <s v="ORD-2025-01284"/>
        <s v="ORD-2024-01285"/>
        <s v="ORD-2025-01286"/>
        <s v="ORD-2024-01287"/>
        <s v="ORD-2025-01288"/>
        <s v="ORD-2024-01289"/>
        <s v="ORD-2024-01290"/>
        <s v="ORD-2025-01291"/>
        <s v="ORD-2025-01292"/>
        <s v="ORD-2025-01293"/>
        <s v="ORD-2024-01294"/>
        <s v="ORD-2024-01295"/>
        <s v="ORD-2024-01296"/>
        <s v="ORD-2024-01297"/>
        <s v="ORD-2024-01298"/>
        <s v="ORD-2024-01299"/>
        <s v="ORD-2025-01300"/>
        <s v="ORD-2024-01301"/>
        <s v="ORD-2025-01302"/>
        <s v="ORD-2025-01303"/>
        <s v="ORD-2024-01304"/>
        <s v="ORD-2024-01305"/>
        <s v="ORD-2025-01306"/>
        <s v="ORD-2025-01307"/>
        <s v="ORD-2024-01308"/>
        <s v="ORD-2024-01309"/>
        <s v="ORD-2024-01310"/>
        <s v="ORD-2024-01311"/>
        <s v="ORD-2024-01312"/>
        <s v="ORD-2024-01313"/>
        <s v="ORD-2024-01314"/>
        <s v="ORD-2024-01315"/>
        <s v="ORD-2025-01316"/>
        <s v="ORD-2024-01317"/>
        <s v="ORD-2025-01318"/>
        <s v="ORD-2025-01319"/>
        <s v="ORD-2025-01320"/>
        <s v="ORD-2025-01321"/>
        <s v="ORD-2024-01322"/>
        <s v="ORD-2024-01323"/>
        <s v="ORD-2024-01324"/>
        <s v="ORD-2025-01325"/>
        <s v="ORD-2025-01326"/>
        <s v="ORD-2024-01327"/>
        <s v="ORD-2025-01328"/>
        <s v="ORD-2024-01329"/>
        <s v="ORD-2025-01330"/>
        <s v="ORD-2025-01331"/>
        <s v="ORD-2025-01332"/>
        <s v="ORD-2025-01333"/>
        <s v="ORD-2025-01334"/>
        <s v="ORD-2025-01335"/>
        <s v="ORD-2025-01336"/>
        <s v="ORD-2025-01337"/>
        <s v="ORD-2024-01338"/>
        <s v="ORD-2024-01339"/>
        <s v="ORD-2025-01340"/>
        <s v="ORD-2025-01341"/>
        <s v="ORD-2024-01342"/>
        <s v="ORD-2025-01343"/>
        <s v="ORD-2024-01344"/>
        <s v="ORD-2024-01345"/>
        <s v="ORD-2024-01346"/>
        <s v="ORD-2024-01347"/>
        <s v="ORD-2025-01348"/>
        <s v="ORD-2025-01349"/>
        <s v="ORD-2024-01350"/>
        <s v="ORD-2024-01351"/>
        <s v="ORD-2024-01352"/>
        <s v="ORD-2024-01353"/>
        <s v="ORD-2024-01354"/>
        <s v="ORD-2024-01355"/>
        <s v="ORD-2025-01356"/>
        <s v="ORD-2025-01357"/>
        <s v="ORD-2025-01358"/>
        <s v="ORD-2024-01359"/>
        <s v="ORD-2024-01360"/>
        <s v="ORD-2024-01361"/>
        <s v="ORD-2025-01362"/>
        <s v="ORD-2024-01363"/>
        <s v="ORD-2025-01364"/>
        <s v="ORD-2024-01365"/>
        <s v="ORD-2025-01366"/>
        <s v="ORD-2025-01367"/>
        <s v="ORD-2024-01368"/>
        <s v="ORD-2025-01369"/>
        <s v="ORD-2024-01370"/>
        <s v="ORD-2024-01371"/>
        <s v="ORD-2025-01372"/>
        <s v="ORD-2025-01373"/>
        <s v="ORD-2024-01374"/>
        <s v="ORD-2025-01375"/>
        <s v="ORD-2024-01376"/>
        <s v="ORD-2024-01377"/>
        <s v="ORD-2025-01378"/>
        <s v="ORD-2024-01379"/>
        <s v="ORD-2024-01380"/>
        <s v="ORD-2025-01381"/>
        <s v="ORD-2024-01382"/>
        <s v="ORD-2024-01383"/>
        <s v="ORD-2024-01384"/>
        <s v="ORD-2024-01385"/>
        <s v="ORD-2025-01386"/>
        <s v="ORD-2024-01387"/>
        <s v="ORD-2024-01388"/>
        <s v="ORD-2024-01389"/>
        <s v="ORD-2025-01390"/>
        <s v="ORD-2025-01391"/>
        <s v="ORD-2024-01392"/>
        <s v="ORD-2025-01393"/>
        <s v="ORD-2024-01394"/>
        <s v="ORD-2025-01395"/>
        <s v="ORD-2024-01396"/>
        <s v="ORD-2024-01397"/>
        <s v="ORD-2024-01398"/>
        <s v="ORD-2025-01399"/>
        <s v="ORD-2025-01400"/>
        <s v="ORD-2024-01401"/>
        <s v="ORD-2024-01402"/>
        <s v="ORD-2025-01403"/>
        <s v="ORD-2024-01404"/>
        <s v="ORD-2024-01405"/>
        <s v="ORD-2025-01406"/>
        <s v="ORD-2024-01407"/>
        <s v="ORD-2025-01408"/>
        <s v="ORD-2025-01409"/>
        <s v="ORD-2025-01410"/>
        <s v="ORD-2025-01411"/>
        <s v="ORD-2024-01412"/>
        <s v="ORD-2025-01413"/>
        <s v="ORD-2025-01414"/>
        <s v="ORD-2024-01415"/>
        <s v="ORD-2024-01416"/>
        <s v="ORD-2025-01417"/>
        <s v="ORD-2025-01418"/>
        <s v="ORD-2025-01419"/>
        <s v="ORD-2025-01420"/>
        <s v="ORD-2024-01421"/>
        <s v="ORD-2024-01422"/>
        <s v="ORD-2024-01423"/>
        <s v="ORD-2025-01424"/>
        <s v="ORD-2025-01425"/>
        <s v="ORD-2024-01426"/>
        <s v="ORD-2024-01427"/>
        <s v="ORD-2025-01428"/>
        <s v="ORD-2024-01429"/>
        <s v="ORD-2025-01430"/>
        <s v="ORD-2025-01431"/>
        <s v="ORD-2024-01432"/>
        <s v="ORD-2025-01433"/>
        <s v="ORD-2025-01434"/>
        <s v="ORD-2025-01435"/>
        <s v="ORD-2025-01436"/>
        <s v="ORD-2025-01437"/>
        <s v="ORD-2024-01438"/>
        <s v="ORD-2025-01439"/>
        <s v="ORD-2025-01440"/>
        <s v="ORD-2025-01441"/>
        <s v="ORD-2025-01442"/>
        <s v="ORD-2025-01443"/>
        <s v="ORD-2024-01444"/>
        <s v="ORD-2025-01445"/>
        <s v="ORD-2024-01446"/>
        <s v="ORD-2024-01447"/>
        <s v="ORD-2025-01448"/>
        <s v="ORD-2024-01449"/>
        <s v="ORD-2024-01450"/>
        <s v="ORD-2024-01451"/>
        <s v="ORD-2024-01452"/>
        <s v="ORD-2024-01453"/>
        <s v="ORD-2024-01454"/>
        <s v="ORD-2024-01455"/>
        <s v="ORD-2025-01456"/>
        <s v="ORD-2025-01457"/>
        <s v="ORD-2025-01458"/>
        <s v="ORD-2024-01459"/>
        <s v="ORD-2025-01460"/>
        <s v="ORD-2025-01461"/>
        <s v="ORD-2024-01462"/>
        <s v="ORD-2024-01463"/>
        <s v="ORD-2025-01464"/>
        <s v="ORD-2025-01465"/>
        <s v="ORD-2024-01466"/>
        <s v="ORD-2025-01467"/>
        <s v="ORD-2024-01468"/>
        <s v="ORD-2024-01469"/>
        <s v="ORD-2025-01470"/>
        <s v="ORD-2025-01471"/>
        <s v="ORD-2024-01472"/>
        <s v="ORD-2024-01473"/>
        <s v="ORD-2024-01474"/>
        <s v="ORD-2025-01475"/>
        <s v="ORD-2025-01476"/>
        <s v="ORD-2024-01477"/>
        <s v="ORD-2024-01478"/>
        <s v="ORD-2025-01479"/>
        <s v="ORD-2024-01480"/>
        <s v="ORD-2024-01481"/>
        <s v="ORD-2025-01482"/>
        <s v="ORD-2024-01483"/>
        <s v="ORD-2025-01484"/>
        <s v="ORD-2024-01485"/>
        <s v="ORD-2025-01486"/>
        <s v="ORD-2024-01487"/>
        <s v="ORD-2024-01488"/>
        <s v="ORD-2024-01489"/>
        <s v="ORD-2025-01490"/>
        <s v="ORD-2025-01491"/>
        <s v="ORD-2025-01492"/>
        <s v="ORD-2024-01493"/>
        <s v="ORD-2025-01494"/>
        <s v="ORD-2024-01495"/>
        <s v="ORD-2025-01496"/>
        <s v="ORD-2025-01497"/>
        <s v="ORD-2024-01498"/>
        <s v="ORD-2024-01499"/>
        <s v="ORD-2024-01500"/>
        <m/>
      </sharedItems>
    </cacheField>
    <cacheField name="Order Date" numFmtId="0">
      <sharedItems containsNonDate="0" containsDate="1" containsString="0" containsBlank="1" minDate="2024-01-01T00:00:00" maxDate="2026-01-01T00:00:00" count="631">
        <d v="2024-04-12T00:00:00"/>
        <d v="2025-03-11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5-10-25T00:00:00"/>
        <d v="2024-05-10T00:00:00"/>
        <d v="2025-10-23T00:00:00"/>
        <d v="2024-11-04T00:00:00"/>
        <d v="2024-12-09T00:00:00"/>
        <d v="2025-05-06T00:00:00"/>
        <d v="2025-02-17T00:00:00"/>
        <d v="2025-01-20T00:00:00"/>
        <d v="2024-07-10T00:00:00"/>
        <d v="2024-10-03T00:00:00"/>
        <d v="2024-06-09T00:00:00"/>
        <d v="2025-04-04T00:00:00"/>
        <d v="2024-11-09T00:00:00"/>
        <d v="2024-01-22T00:00:00"/>
        <d v="2024-09-09T00:00:00"/>
        <d v="2025-07-14T00:00:00"/>
        <d v="2025-04-19T00:00:00"/>
        <d v="2024-02-28T00:00:00"/>
        <d v="2025-05-25T00:00:00"/>
        <d v="2025-11-12T00:00:00"/>
        <d v="2025-04-20T00:00:00"/>
        <d v="2025-11-30T00:00:00"/>
        <d v="2024-07-08T00:00:00"/>
        <d v="2025-11-17T00:00:00"/>
        <d v="2025-07-16T00:00:00"/>
        <d v="2025-07-20T00:00:00"/>
        <d v="2024-08-31T00:00:00"/>
        <d v="2025-05-19T00:00:00"/>
        <d v="2025-04-29T00:00:00"/>
        <d v="2025-10-08T00:00:00"/>
        <d v="2024-06-15T00:00:00"/>
        <d v="2024-09-30T00:00:00"/>
        <d v="2025-01-22T00:00:00"/>
        <d v="2025-08-23T00:00:00"/>
        <d v="2024-11-11T00:00:00"/>
        <d v="2024-01-14T00:00:00"/>
        <d v="2024-08-29T00:00:00"/>
        <d v="2024-12-11T00:00:00"/>
        <d v="2025-07-18T00:00:00"/>
        <d v="2024-12-05T00:00:00"/>
        <d v="2024-04-01T00:00:00"/>
        <d v="2025-01-01T00:00:00"/>
        <d v="2025-03-30T00:00:00"/>
        <d v="2025-03-03T00:00:00"/>
        <d v="2025-05-23T00:00:00"/>
        <d v="2024-02-04T00:00:00"/>
        <d v="2024-07-24T00:00:00"/>
        <d v="2024-03-21T00:00:00"/>
        <d v="2025-07-15T00:00:00"/>
        <d v="2024-01-02T00:00:00"/>
        <d v="2025-01-24T00:00:00"/>
        <d v="2025-07-19T00:00:00"/>
        <d v="2024-04-15T00:00:00"/>
        <d v="2025-04-21T00:00:00"/>
        <d v="2025-12-03T00:00:00"/>
        <d v="2025-02-05T00:00:00"/>
        <d v="2025-12-30T00:00:00"/>
        <d v="2025-07-09T00:00:00"/>
        <d v="2024-06-10T00:00:00"/>
        <d v="2024-07-20T00:00:00"/>
        <d v="2024-09-26T00:00:00"/>
        <d v="2025-03-31T00:00:00"/>
        <d v="2025-04-06T00:00:00"/>
        <d v="2025-12-27T00:00:00"/>
        <d v="2024-09-08T00:00:00"/>
        <d v="2025-12-02T00:00:00"/>
        <d v="2024-10-22T00:00:00"/>
        <d v="2025-12-25T00:00:00"/>
        <d v="2025-12-20T00:00:00"/>
        <d v="2024-12-03T00:00:00"/>
        <d v="2024-02-22T00:00:00"/>
        <d v="2024-08-04T00:00:00"/>
        <d v="2024-07-06T00:00:00"/>
        <d v="2025-01-14T00:00:00"/>
        <d v="2025-05-07T00:00:00"/>
        <d v="2024-02-10T00:00:00"/>
        <d v="2024-06-05T00:00:00"/>
        <d v="2024-01-15T00:00:00"/>
        <d v="2024-03-05T00:00:00"/>
        <d v="2025-06-04T00:00:00"/>
        <d v="2024-05-08T00:00:00"/>
        <d v="2025-10-09T00:00:00"/>
        <d v="2025-04-16T00:00:00"/>
        <d v="2024-03-03T00:00:00"/>
        <d v="2024-05-18T00:00:00"/>
        <d v="2025-05-13T00:00:00"/>
        <d v="2025-08-15T00:00:00"/>
        <d v="2025-01-26T00:00:00"/>
        <d v="2025-11-05T00:00:00"/>
        <d v="2025-02-22T00:00:00"/>
        <d v="2024-10-15T00:00:00"/>
        <d v="2025-01-13T00:00:00"/>
        <d v="2025-05-04T00:00:00"/>
        <d v="2024-08-18T00:00:00"/>
        <d v="2024-01-28T00:00:00"/>
        <d v="2024-05-14T00:00:00"/>
        <d v="2024-07-19T00:00:00"/>
        <d v="2024-02-02T00:00:00"/>
        <d v="2024-02-17T00:00:00"/>
        <d v="2025-05-17T00:00:00"/>
        <d v="2025-02-10T00:00:00"/>
        <d v="2025-07-27T00:00:00"/>
        <d v="2025-12-28T00:00:00"/>
        <d v="2024-04-08T00:00:00"/>
        <d v="2025-11-14T00:00:00"/>
        <d v="2025-12-26T00:00:00"/>
        <d v="2025-06-30T00:00:00"/>
        <d v="2025-09-04T00:00:00"/>
        <d v="2025-10-04T00:00:00"/>
        <d v="2024-01-05T00:00:00"/>
        <d v="2024-08-05T00:00:00"/>
        <d v="2025-02-01T00:00:00"/>
        <d v="2025-01-27T00:00:00"/>
        <d v="2024-07-25T00:00:00"/>
        <d v="2025-07-07T00:00:00"/>
        <d v="2025-04-05T00:00:00"/>
        <d v="2025-11-21T00:00:00"/>
        <d v="2025-07-28T00:00:00"/>
        <d v="2024-08-28T00:00:00"/>
        <d v="2025-07-17T00:00:00"/>
        <d v="2024-04-05T00:00:00"/>
        <d v="2025-10-16T00:00:00"/>
        <d v="2024-06-19T00:00:00"/>
        <d v="2025-06-24T00:00:00"/>
        <d v="2024-02-05T00:00:00"/>
        <d v="2025-06-08T00:00:00"/>
        <d v="2024-06-08T00:00:00"/>
        <d v="2025-11-29T00:00:00"/>
        <d v="2024-08-30T00:00:00"/>
        <d v="2024-03-26T00:00:00"/>
        <d v="2025-07-31T00:00:00"/>
        <d v="2025-07-10T00:00:00"/>
        <d v="2025-10-07T00:00:00"/>
        <d v="2025-09-11T00:00:00"/>
        <d v="2025-10-01T00:00:00"/>
        <d v="2025-05-20T00:00:00"/>
        <d v="2024-12-13T00:00:00"/>
        <d v="2025-04-17T00:00:00"/>
        <d v="2024-08-12T00:00:00"/>
        <d v="2025-01-19T00:00:00"/>
        <d v="2025-01-11T00:00:00"/>
        <d v="2024-10-09T00:00:00"/>
        <d v="2025-09-24T00:00:00"/>
        <d v="2025-09-19T00:00:00"/>
        <d v="2024-09-15T00:00:00"/>
        <d v="2024-12-24T00:00:00"/>
        <d v="2025-12-10T00:00:00"/>
        <d v="2025-02-14T00:00:00"/>
        <d v="2025-10-10T00:00:00"/>
        <d v="2024-11-13T00:00:00"/>
        <d v="2025-11-07T00:00:00"/>
        <d v="2024-08-21T00:00:00"/>
        <d v="2025-01-08T00:00:00"/>
        <d v="2025-11-02T00:00:00"/>
        <d v="2025-08-30T00:00:00"/>
        <d v="2024-08-20T00:00:00"/>
        <d v="2025-11-22T00:00:00"/>
        <d v="2024-04-22T00:00:00"/>
        <d v="2025-05-11T00:00:00"/>
        <d v="2025-03-17T00:00:00"/>
        <d v="2024-09-24T00:00:00"/>
        <d v="2025-05-24T00:00:00"/>
        <d v="2025-01-21T00:00:00"/>
        <d v="2025-09-16T00:00:00"/>
        <d v="2025-10-03T00:00:00"/>
        <d v="2024-08-07T00:00:00"/>
        <d v="2025-02-06T00:00:00"/>
        <d v="2025-09-29T00:00:00"/>
        <d v="2024-05-09T00:00:00"/>
        <d v="2025-02-19T00:00:00"/>
        <d v="2024-09-03T00:00:00"/>
        <d v="2025-03-14T00:00:00"/>
        <d v="2024-07-21T00:00:00"/>
        <d v="2024-07-02T00:00:00"/>
        <d v="2024-05-02T00:00:00"/>
        <d v="2025-02-04T00:00:00"/>
        <d v="2024-10-20T00:00:00"/>
        <d v="2024-10-06T00:00:00"/>
        <d v="2025-09-01T00:00:00"/>
        <d v="2024-07-16T00:00:00"/>
        <d v="2024-05-23T00:00:00"/>
        <d v="2025-08-31T00:00:00"/>
        <d v="2024-05-03T00:00:00"/>
        <d v="2024-07-05T00:00:00"/>
        <d v="2024-11-21T00:00:00"/>
        <d v="2025-04-08T00:00:00"/>
        <d v="2024-12-14T00:00:00"/>
        <d v="2025-10-21T00:00:00"/>
        <d v="2024-05-26T00:00:00"/>
        <d v="2024-05-27T00:00:00"/>
        <d v="2025-12-11T00:00:00"/>
        <d v="2025-05-03T00:00:00"/>
        <d v="2025-07-04T00:00:00"/>
        <d v="2025-10-02T00:00:00"/>
        <d v="2024-05-30T00:00:00"/>
        <d v="2025-02-18T00:00:00"/>
        <d v="2024-10-24T00:00:00"/>
        <d v="2025-09-02T00:00:00"/>
        <d v="2024-09-19T00:00:00"/>
        <d v="2025-09-15T00:00:00"/>
        <d v="2025-07-25T00:00:00"/>
        <d v="2024-10-30T00:00:00"/>
        <d v="2024-09-10T00:00:00"/>
        <d v="2025-10-13T00:00:00"/>
        <d v="2025-03-28T00:00:00"/>
        <d v="2024-02-06T00:00:00"/>
        <d v="2024-01-09T00:00:00"/>
        <d v="2025-10-20T00:00:00"/>
        <d v="2024-07-26T00:00:00"/>
        <d v="2025-02-07T00:00:00"/>
        <d v="2024-05-31T00:00:00"/>
        <d v="2024-02-23T00:00:00"/>
        <d v="2024-04-29T00:00:00"/>
        <d v="2025-11-03T00:00:00"/>
        <d v="2025-08-09T00:00:00"/>
        <d v="2025-02-23T00:00:00"/>
        <d v="2025-02-25T00:00:00"/>
        <d v="2024-04-13T00:00:00"/>
        <d v="2024-08-14T00:00:00"/>
        <d v="2024-04-21T00:00:00"/>
        <d v="2024-06-01T00:00:00"/>
        <d v="2025-12-06T00:00:00"/>
        <d v="2024-06-11T00:00:00"/>
        <d v="2025-11-11T00:00:00"/>
        <d v="2025-08-02T00:00:00"/>
        <d v="2025-05-18T00:00:00"/>
        <d v="2024-07-13T00:00:00"/>
        <d v="2025-11-18T00:00:00"/>
        <d v="2025-04-14T00:00:00"/>
        <d v="2025-01-09T00:00:00"/>
        <d v="2025-10-31T00:00:00"/>
        <d v="2024-02-07T00:00:00"/>
        <d v="2024-08-17T00:00:00"/>
        <d v="2024-12-30T00:00:00"/>
        <d v="2025-03-13T00:00:00"/>
        <d v="2024-01-27T00:00:00"/>
        <d v="2024-08-13T00:00:00"/>
        <d v="2024-10-10T00:00:00"/>
        <d v="2025-04-25T00:00:00"/>
        <d v="2025-05-30T00:00:00"/>
        <d v="2024-02-18T00:00:00"/>
        <d v="2025-05-26T00:00:00"/>
        <d v="2024-01-17T00:00:00"/>
        <d v="2024-06-20T00:00:00"/>
        <d v="2024-06-06T00:00:00"/>
        <d v="2024-02-15T00:00:00"/>
        <d v="2025-06-01T00:00:00"/>
        <d v="2024-10-28T00:00:00"/>
        <d v="2024-06-29T00:00:00"/>
        <d v="2025-08-29T00:00:00"/>
        <d v="2024-04-25T00:00:00"/>
        <d v="2024-07-09T00:00:00"/>
        <d v="2024-09-12T00:00:00"/>
        <d v="2024-11-18T00:00:00"/>
        <d v="2024-05-07T00:00:00"/>
        <d v="2024-01-18T00:00:00"/>
        <d v="2025-07-23T00:00:00"/>
        <d v="2025-11-16T00:00:00"/>
        <d v="2025-09-17T00:00:00"/>
        <d v="2024-10-14T00:00:00"/>
        <d v="2025-10-24T00:00:00"/>
        <d v="2025-09-30T00:00:00"/>
        <d v="2024-06-03T00:00:00"/>
        <d v="2024-09-02T00:00:00"/>
        <d v="2024-06-24T00:00:00"/>
        <d v="2024-02-08T00:00:00"/>
        <d v="2025-06-21T00:00:00"/>
        <d v="2025-02-11T00:00:00"/>
        <d v="2025-11-15T00:00:00"/>
        <d v="2024-01-20T00:00:00"/>
        <d v="2024-11-16T00:00:00"/>
        <d v="2025-02-03T00:00:00"/>
        <d v="2025-10-15T00:00:00"/>
        <d v="2025-04-15T00:00:00"/>
        <d v="2024-05-22T00:00:00"/>
        <d v="2024-12-19T00:00:00"/>
        <d v="2024-02-20T00:00:00"/>
        <d v="2025-10-26T00:00:00"/>
        <d v="2025-11-28T00:00:00"/>
        <d v="2024-05-04T00:00:00"/>
        <d v="2024-05-29T00:00:00"/>
        <d v="2024-12-07T00:00:00"/>
        <d v="2024-10-31T00:00:00"/>
        <d v="2025-03-19T00:00:00"/>
        <d v="2024-09-20T00:00:00"/>
        <d v="2024-07-14T00:00:00"/>
        <d v="2024-12-15T00:00:00"/>
        <d v="2024-02-16T00:00:00"/>
        <d v="2025-10-17T00:00:00"/>
        <d v="2024-09-25T00:00:00"/>
        <d v="2025-01-04T00:00:00"/>
        <d v="2025-09-27T00:00:00"/>
        <d v="2025-10-18T00:00:00"/>
        <d v="2025-08-26T00:00:00"/>
        <d v="2024-02-27T00:00:00"/>
        <d v="2025-04-18T00:00:00"/>
        <d v="2024-04-26T00:00:00"/>
        <d v="2024-05-06T00:00:00"/>
        <d v="2025-09-25T00:00:00"/>
        <d v="2025-05-27T00:00:00"/>
        <d v="2024-04-27T00:00:00"/>
        <d v="2025-07-13T00:00:00"/>
        <d v="2025-05-02T00:00:00"/>
        <d v="2024-08-24T00:00:00"/>
        <d v="2024-09-28T00:00:00"/>
        <d v="2024-07-07T00:00:00"/>
        <d v="2025-12-04T00:00:00"/>
        <d v="2025-03-22T00:00:00"/>
        <d v="2025-08-03T00:00:00"/>
        <d v="2024-03-16T00:00:00"/>
        <d v="2024-06-02T00:00:00"/>
        <d v="2025-03-10T00:00:00"/>
        <d v="2025-11-27T00:00:00"/>
        <d v="2024-10-11T00:00:00"/>
        <d v="2024-03-09T00:00:00"/>
        <d v="2024-04-03T00:00:00"/>
        <d v="2024-07-22T00:00:00"/>
        <d v="2025-03-07T00:00:00"/>
        <d v="2024-12-06T00:00:00"/>
        <d v="2025-09-03T00:00:00"/>
        <d v="2024-12-22T00:00:00"/>
        <d v="2024-01-23T00:00:00"/>
        <d v="2025-06-05T00:00:00"/>
        <d v="2024-06-28T00:00:00"/>
        <d v="2024-08-10T00:00:00"/>
        <d v="2024-11-20T00:00:00"/>
        <d v="2024-01-16T00:00:00"/>
        <d v="2024-12-01T00:00:00"/>
        <d v="2024-09-14T00:00:00"/>
        <d v="2025-11-20T00:00:00"/>
        <d v="2025-06-28T00:00:00"/>
        <d v="2025-03-02T00:00:00"/>
        <d v="2025-07-30T00:00:00"/>
        <d v="2025-02-20T00:00:00"/>
        <d v="2024-06-16T00:00:00"/>
        <d v="2024-02-12T00:00:00"/>
        <d v="2025-01-31T00:00:00"/>
        <d v="2024-01-12T00:00:00"/>
        <d v="2024-03-30T00:00:00"/>
        <d v="2025-08-27T00:00:00"/>
        <d v="2025-08-24T00:00:00"/>
        <d v="2025-02-21T00:00:00"/>
        <d v="2024-04-24T00:00:00"/>
        <d v="2025-09-08T00:00:00"/>
        <d v="2025-05-15T00:00:00"/>
        <d v="2024-03-15T00:00:00"/>
        <d v="2025-02-16T00:00:00"/>
        <d v="2025-01-10T00:00:00"/>
        <d v="2025-12-29T00:00:00"/>
        <d v="2025-11-06T00:00:00"/>
        <d v="2025-01-28T00:00:00"/>
        <d v="2025-04-01T00:00:00"/>
        <d v="2025-11-19T00:00:00"/>
        <d v="2025-07-01T00:00:00"/>
        <d v="2025-01-03T00:00:00"/>
        <d v="2025-11-25T00:00:00"/>
        <d v="2024-10-05T00:00:00"/>
        <d v="2024-09-29T00:00:00"/>
        <d v="2024-03-02T00:00:00"/>
        <d v="2025-08-18T00:00:00"/>
        <d v="2024-01-19T00:00:00"/>
        <d v="2024-06-25T00:00:00"/>
        <d v="2025-01-30T00:00:00"/>
        <d v="2025-03-20T00:00:00"/>
        <d v="2024-09-21T00:00:00"/>
        <d v="2025-12-18T00:00:00"/>
        <d v="2025-01-18T00:00:00"/>
        <d v="2024-01-25T00:00:00"/>
        <d v="2025-04-13T00:00:00"/>
        <d v="2025-04-28T00:00:00"/>
        <d v="2025-07-22T00:00:00"/>
        <d v="2024-04-18T00:00:00"/>
        <d v="2025-11-23T00:00:00"/>
        <d v="2024-02-11T00:00:00"/>
        <d v="2024-07-04T00:00:00"/>
        <d v="2024-05-12T00:00:00"/>
        <d v="2024-08-22T00:00:00"/>
        <d v="2025-10-19T00:00:00"/>
        <d v="2025-08-10T00:00:00"/>
        <d v="2024-03-14T00:00:00"/>
        <d v="2025-06-02T00:00:00"/>
        <d v="2024-06-22T00:00:00"/>
        <d v="2025-10-14T00:00:00"/>
        <d v="2024-06-18T00:00:00"/>
        <d v="2024-07-12T00:00:00"/>
        <d v="2025-05-31T00:00:00"/>
        <d v="2024-01-29T00:00:00"/>
        <d v="2024-06-13T00:00:00"/>
        <d v="2024-12-04T00:00:00"/>
        <d v="2025-05-10T00:00:00"/>
        <d v="2025-05-14T00:00:00"/>
        <d v="2024-11-22T00:00:00"/>
        <d v="2024-10-27T00:00:00"/>
        <d v="2024-05-11T00:00:00"/>
        <d v="2024-03-10T00:00:00"/>
        <d v="2024-06-30T00:00:00"/>
        <d v="2024-03-31T00:00:00"/>
        <d v="2025-12-14T00:00:00"/>
        <d v="2025-06-14T00:00:00"/>
        <d v="2024-05-05T00:00:00"/>
        <d v="2025-03-26T00:00:00"/>
        <d v="2024-06-21T00:00:00"/>
        <d v="2024-12-26T00:00:00"/>
        <d v="2024-01-01T00:00:00"/>
        <d v="2025-05-22T00:00:00"/>
        <d v="2025-02-12T00:00:00"/>
        <d v="2024-05-13T00:00:00"/>
        <d v="2024-05-28T00:00:00"/>
        <d v="2024-03-20T00:00:00"/>
        <d v="2024-07-31T00:00:00"/>
        <d v="2024-08-16T00:00:00"/>
        <d v="2025-06-15T00:00:00"/>
        <d v="2025-03-16T00:00:00"/>
        <d v="2025-06-09T00:00:00"/>
        <d v="2024-11-25T00:00:00"/>
        <d v="2024-12-23T00:00:00"/>
        <d v="2025-10-29T00:00:00"/>
        <d v="2024-01-08T00:00:00"/>
        <d v="2024-06-26T00:00:00"/>
        <d v="2025-06-23T00:00:00"/>
        <d v="2025-05-16T00:00:00"/>
        <d v="2024-05-24T00:00:00"/>
        <d v="2025-12-24T00:00:00"/>
        <d v="2025-07-11T00:00:00"/>
        <d v="2025-08-16T00:00:00"/>
        <d v="2025-12-09T00:00:00"/>
        <d v="2025-03-25T00:00:00"/>
        <d v="2024-01-10T00:00:00"/>
        <d v="2024-09-07T00:00:00"/>
        <d v="2024-04-28T00:00:00"/>
        <d v="2024-05-25T00:00:00"/>
        <d v="2024-08-11T00:00:00"/>
        <d v="2024-08-26T00:00:00"/>
        <d v="2024-10-08T00:00:00"/>
        <d v="2024-04-14T00:00:00"/>
        <d v="2025-02-08T00:00:00"/>
        <d v="2025-10-06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4-10-29T00:00:00"/>
        <d v="2024-04-07T00:00:00"/>
        <d v="2024-11-30T00:00:00"/>
        <d v="2024-11-03T00:00:00"/>
        <d v="2024-09-05T00:00:00"/>
        <d v="2024-06-14T00:00:00"/>
        <d v="2025-06-25T00:00:00"/>
        <d v="2024-05-17T00:00:00"/>
        <d v="2025-06-29T00:00:00"/>
        <d v="2024-07-23T00:00:00"/>
        <d v="2024-04-20T00:00:00"/>
        <d v="2024-07-01T00:00:00"/>
        <d v="2025-06-03T00:00:00"/>
        <d v="2024-12-25T00:00:00"/>
        <d v="2025-11-26T00:00:00"/>
        <d v="2024-10-07T00:00:00"/>
        <d v="2025-10-28T00:00:00"/>
        <d v="2024-04-02T00:00:00"/>
        <d v="2024-03-01T00:00:00"/>
        <d v="2025-04-10T00:00:00"/>
        <d v="2025-06-17T00:00:00"/>
        <d v="2025-06-07T00:00:00"/>
        <d v="2024-03-13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5-06-20T00:00:00"/>
        <d v="2024-07-30T00:00:00"/>
        <d v="2024-03-07T00:00:00"/>
        <d v="2024-08-15T00:00:00"/>
        <d v="2025-08-17T00:00:00"/>
        <d v="2025-02-28T00:00:00"/>
        <d v="2024-11-15T00:00:00"/>
        <d v="2025-03-18T00:00:00"/>
        <d v="2024-11-10T00:00:00"/>
        <d v="2025-08-04T00:00:00"/>
        <d v="2024-05-16T00:00:00"/>
        <d v="2025-06-26T00:00:00"/>
        <d v="2024-02-09T00:00:00"/>
        <d v="2024-01-06T00:00:00"/>
        <d v="2024-11-17T00:00:00"/>
        <d v="2025-04-12T00:00:00"/>
        <d v="2024-01-04T00:00:00"/>
        <d v="2025-08-28T00:00:00"/>
        <d v="2025-12-15T00:00:00"/>
        <d v="2024-10-26T00:00:00"/>
        <d v="2025-02-13T00:00:00"/>
        <d v="2024-05-19T00:00:00"/>
        <d v="2025-07-12T00:00:00"/>
        <d v="2025-07-03T00:00:00"/>
        <d v="2024-09-17T00:00:00"/>
        <d v="2025-10-11T00:00:00"/>
        <d v="2024-01-13T00:00:00"/>
        <d v="2024-11-14T00:00:00"/>
        <d v="2024-11-24T00:00:00"/>
        <d v="2024-11-29T00:00:00"/>
        <d v="2024-10-17T00:00:00"/>
        <d v="2024-03-29T00:00:00"/>
        <d v="2024-10-21T00:00:00"/>
        <d v="2025-09-07T00:00:00"/>
        <d v="2025-09-28T00:00:00"/>
        <d v="2025-08-01T00:00:00"/>
        <d v="2025-01-25T00:00:00"/>
        <d v="2024-06-27T00:00:00"/>
        <d v="2025-03-23T00:00:00"/>
        <d v="2025-10-30T00:00:00"/>
        <d v="2025-04-22T00:00:00"/>
        <d v="2024-04-06T00:00:00"/>
        <d v="2025-08-20T00:00:00"/>
        <d v="2025-09-26T00:00:00"/>
        <d v="2024-06-07T00:00:00"/>
        <d v="2024-11-19T00:00:00"/>
        <d v="2025-09-18T00:00:00"/>
        <d v="2024-10-18T00:00:00"/>
        <d v="2024-01-11T00:00:00"/>
        <d v="2025-12-12T00:00:00"/>
        <d v="2024-05-20T00:00:00"/>
        <d v="2024-07-28T00:00:00"/>
        <d v="2025-11-13T00:00:00"/>
        <d v="2024-12-21T00:00:00"/>
        <d v="2025-01-12T00:00:00"/>
        <d v="2024-10-23T00:00:00"/>
        <d v="2025-09-13T00:00:00"/>
        <d v="2025-01-05T00:00:00"/>
        <d v="2025-10-22T00:00:00"/>
        <d v="2025-03-06T00:00:00"/>
        <d v="2024-11-08T00:00:00"/>
        <d v="2024-12-12T00:00:00"/>
        <d v="2025-06-12T00:00:00"/>
        <d v="2024-06-04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4-03-27T00:00:00"/>
        <d v="2024-11-23T00:00:00"/>
        <d v="2025-05-05T00:00:00"/>
        <d v="2025-03-27T00:00:00"/>
        <d v="2025-01-15T00:00:00"/>
        <d v="2024-03-22T00:00:00"/>
        <d v="2025-05-28T00:00:00"/>
        <d v="2025-06-06T00:00:00"/>
        <d v="2025-12-07T00:00:00"/>
        <d v="2024-12-29T00:00:00"/>
        <d v="2025-09-23T00:00:00"/>
        <d v="2025-12-21T00:00:00"/>
        <d v="2024-07-27T00:00:00"/>
        <d v="2025-07-05T00:00:00"/>
        <d v="2024-10-04T00:00:00"/>
        <d v="2025-05-08T00:00:00"/>
        <d v="2025-08-21T00:00:00"/>
        <d v="2025-09-20T00:00:00"/>
        <d v="2024-10-13T00:00:00"/>
        <d v="2025-12-31T00:00:00"/>
        <d v="2025-07-29T00:00:00"/>
        <d v="2025-12-05T00:00:00"/>
        <d v="2024-11-05T00:00:00"/>
        <d v="2025-02-09T00:00:00"/>
        <d v="2025-05-21T00:00:00"/>
        <d v="2025-04-26T00:00:00"/>
        <d v="2025-12-13T00:00:00"/>
        <d v="2025-05-12T00:00:00"/>
        <d v="2024-04-17T00:00:00"/>
        <d v="2024-04-11T00:00:00"/>
        <d v="2024-10-01T00:00:00"/>
        <d v="2024-02-13T00:00:00"/>
        <d v="2025-08-14T00:00:00"/>
        <d v="2024-07-18T00:00:00"/>
        <d v="2025-07-24T00:00:00"/>
        <d v="2025-01-06T00:00:00"/>
        <d v="2025-06-10T00:00:00"/>
        <d v="2025-12-22T00:00:00"/>
        <d v="2025-03-01T00:00:00"/>
        <d v="2024-11-06T00:00:00"/>
        <d v="2024-09-01T00:00:00"/>
        <d v="2025-03-15T00:00:00"/>
        <d v="2024-09-22T00:00:00"/>
        <d v="2024-05-21T00:00:00"/>
        <d v="2024-10-19T00:00:00"/>
        <m/>
      </sharedItems>
      <fieldGroup par="23"/>
    </cacheField>
    <cacheField name="Ship Date" numFmtId="0">
      <sharedItems containsNonDate="0" containsDate="1" containsString="0" containsBlank="1" minDate="2024-01-03T00:00:00" maxDate="2026-01-04T00:00:00"/>
    </cacheField>
    <cacheField name="Ship Mode" numFmtId="0">
      <sharedItems containsBlank="1" count="5">
        <s v="Second Class"/>
        <s v="Standard Class"/>
        <s v="Same Day"/>
        <s v="First Class"/>
        <m/>
      </sharedItems>
    </cacheField>
    <cacheField name="Customer ID" numFmtId="0">
      <sharedItems containsBlank="1"/>
    </cacheField>
    <cacheField name="Customer Name" numFmtId="0">
      <sharedItems containsBlank="1"/>
    </cacheField>
    <cacheField name="Segment" numFmtId="0">
      <sharedItems containsBlank="1" count="4">
        <s v="Home Office"/>
        <s v="Corporate"/>
        <s v="Consumer"/>
        <m/>
      </sharedItems>
    </cacheField>
    <cacheField name="Country" numFmtId="0">
      <sharedItems containsBlank="1" count="2">
        <s v="India"/>
        <m/>
      </sharedItems>
    </cacheField>
    <cacheField name="City" numFmtId="0">
      <sharedItems containsBlank="1" count="11">
        <s v="Indore"/>
        <s v="Delhi"/>
        <s v="Hyderabad"/>
        <s v="Jaipur"/>
        <s v="Pune"/>
        <s v="Bhopal"/>
        <s v="Chennai"/>
        <s v="Kolkata"/>
        <s v="Mumbai"/>
        <s v="Bengaluru"/>
        <m/>
      </sharedItems>
    </cacheField>
    <cacheField name="State" numFmtId="0">
      <sharedItems containsBlank="1" count="11">
        <s v="Indore"/>
        <s v="Delhi"/>
        <s v="Hyderabad"/>
        <s v="Jaipur"/>
        <s v="Pune"/>
        <s v="Bhopal"/>
        <s v="Chennai"/>
        <s v="Kolkata"/>
        <s v="Mumbai"/>
        <s v="Bengaluru"/>
        <m/>
      </sharedItems>
    </cacheField>
    <cacheField name="Postal Code" numFmtId="0">
      <sharedItems containsString="0" containsBlank="1" containsNumber="1" containsInteger="1" minValue="100015" maxValue="999915"/>
    </cacheField>
    <cacheField name="Region" numFmtId="0">
      <sharedItems containsBlank="1" count="6">
        <s v="Central"/>
        <s v="North"/>
        <s v="South"/>
        <s v="West"/>
        <s v="East"/>
        <m/>
      </sharedItems>
    </cacheField>
    <cacheField name="Product ID" numFmtId="0">
      <sharedItems containsBlank="1" count="721">
        <s v="PROD-190"/>
        <s v="PROD-672"/>
        <s v="PROD-459"/>
        <s v="PROD-714"/>
        <s v="PROD-484"/>
        <s v="PROD-628"/>
        <s v="PROD-921"/>
        <s v="PROD-914"/>
        <s v="PROD-655"/>
        <s v="PROD-244"/>
        <s v="PROD-907"/>
        <s v="PROD-258"/>
        <s v="PROD-984"/>
        <s v="PROD-105"/>
        <s v="PROD-934"/>
        <s v="PROD-249"/>
        <s v="PROD-146"/>
        <s v="PROD-124"/>
        <s v="PROD-547"/>
        <s v="PROD-463"/>
        <s v="PROD-674"/>
        <s v="PROD-274"/>
        <s v="PROD-530"/>
        <s v="PROD-263"/>
        <s v="PROD-940"/>
        <s v="PROD-686"/>
        <s v="PROD-884"/>
        <s v="PROD-706"/>
        <s v="PROD-917"/>
        <s v="PROD-695"/>
        <s v="PROD-520"/>
        <s v="PROD-957"/>
        <s v="PROD-384"/>
        <s v="PROD-227"/>
        <s v="PROD-436"/>
        <s v="PROD-954"/>
        <s v="PROD-300"/>
        <s v="PROD-665"/>
        <s v="PROD-128"/>
        <s v="PROD-886"/>
        <s v="PROD-726"/>
        <s v="PROD-526"/>
        <s v="PROD-475"/>
        <s v="PROD-920"/>
        <s v="PROD-846"/>
        <s v="PROD-849"/>
        <s v="PROD-377"/>
        <s v="PROD-287"/>
        <s v="PROD-391"/>
        <s v="PROD-650"/>
        <s v="PROD-792"/>
        <s v="PROD-641"/>
        <s v="PROD-216"/>
        <s v="PROD-990"/>
        <s v="PROD-862"/>
        <s v="PROD-152"/>
        <s v="PROD-617"/>
        <s v="PROD-550"/>
        <s v="PROD-325"/>
        <s v="PROD-765"/>
        <s v="PROD-418"/>
        <s v="PROD-422"/>
        <s v="PROD-949"/>
        <s v="PROD-408"/>
        <s v="PROD-538"/>
        <s v="PROD-267"/>
        <s v="PROD-313"/>
        <s v="PROD-590"/>
        <s v="PROD-234"/>
        <s v="PROD-276"/>
        <s v="PROD-174"/>
        <s v="PROD-848"/>
        <s v="PROD-733"/>
        <s v="PROD-615"/>
        <s v="PROD-178"/>
        <s v="PROD-671"/>
        <s v="PROD-592"/>
        <s v="PROD-825"/>
        <s v="PROD-566"/>
        <s v="PROD-372"/>
        <s v="PROD-701"/>
        <s v="PROD-720"/>
        <s v="PROD-563"/>
        <s v="PROD-838"/>
        <s v="PROD-123"/>
        <s v="PROD-801"/>
        <s v="PROD-576"/>
        <s v="PROD-121"/>
        <s v="PROD-961"/>
        <s v="PROD-933"/>
        <s v="PROD-994"/>
        <s v="PROD-327"/>
        <s v="PROD-151"/>
        <s v="PROD-468"/>
        <s v="PROD-598"/>
        <s v="PROD-153"/>
        <s v="PROD-551"/>
        <s v="PROD-228"/>
        <s v="PROD-196"/>
        <s v="PROD-819"/>
        <s v="PROD-386"/>
        <s v="PROD-839"/>
        <s v="PROD-626"/>
        <s v="PROD-314"/>
        <s v="PROD-827"/>
        <s v="PROD-440"/>
        <s v="PROD-172"/>
        <s v="PROD-637"/>
        <s v="PROD-974"/>
        <s v="PROD-365"/>
        <s v="PROD-433"/>
        <s v="PROD-239"/>
        <s v="PROD-711"/>
        <s v="PROD-833"/>
        <s v="PROD-622"/>
        <s v="PROD-988"/>
        <s v="PROD-645"/>
        <s v="PROD-619"/>
        <s v="PROD-953"/>
        <s v="PROD-545"/>
        <s v="PROD-138"/>
        <s v="PROD-942"/>
        <s v="PROD-857"/>
        <s v="PROD-932"/>
        <s v="PROD-358"/>
        <s v="PROD-353"/>
        <s v="PROD-738"/>
        <s v="PROD-762"/>
        <s v="PROD-399"/>
        <s v="PROD-754"/>
        <s v="PROD-709"/>
        <s v="PROD-960"/>
        <s v="PROD-467"/>
        <s v="PROD-935"/>
        <s v="PROD-179"/>
        <s v="PROD-735"/>
        <s v="PROD-527"/>
        <s v="PROD-491"/>
        <s v="PROD-919"/>
        <s v="PROD-903"/>
        <s v="PROD-585"/>
        <s v="PROD-525"/>
        <s v="PROD-653"/>
        <s v="PROD-180"/>
        <s v="PROD-156"/>
        <s v="PROD-799"/>
        <s v="PROD-202"/>
        <s v="PROD-501"/>
        <s v="PROD-266"/>
        <s v="PROD-908"/>
        <s v="PROD-425"/>
        <s v="PROD-368"/>
        <s v="PROD-635"/>
        <s v="PROD-560"/>
        <s v="PROD-447"/>
        <s v="PROD-112"/>
        <s v="PROD-165"/>
        <s v="PROD-725"/>
        <s v="PROD-181"/>
        <s v="PROD-280"/>
        <s v="PROD-552"/>
        <s v="PROD-278"/>
        <s v="PROD-145"/>
        <s v="PROD-775"/>
        <s v="PROD-370"/>
        <s v="PROD-777"/>
        <s v="PROD-130"/>
        <s v="PROD-938"/>
        <s v="PROD-702"/>
        <s v="PROD-157"/>
        <s v="PROD-736"/>
        <s v="PROD-308"/>
        <s v="PROD-646"/>
        <s v="PROD-679"/>
        <s v="PROD-554"/>
        <s v="PROD-533"/>
        <s v="PROD-222"/>
        <s v="PROD-948"/>
        <s v="PROD-242"/>
        <s v="PROD-419"/>
        <s v="PROD-680"/>
        <s v="PROD-485"/>
        <s v="PROD-385"/>
        <s v="PROD-797"/>
        <s v="PROD-798"/>
        <s v="PROD-651"/>
        <s v="PROD-890"/>
        <s v="PROD-964"/>
        <s v="PROD-657"/>
        <s v="PROD-345"/>
        <s v="PROD-493"/>
        <s v="PROD-731"/>
        <s v="PROD-705"/>
        <s v="PROD-455"/>
        <s v="PROD-763"/>
        <s v="PROD-478"/>
        <s v="PROD-366"/>
        <s v="PROD-716"/>
        <s v="PROD-759"/>
        <s v="PROD-659"/>
        <s v="PROD-514"/>
        <s v="PROD-410"/>
        <s v="PROD-285"/>
        <s v="PROD-666"/>
        <s v="PROD-727"/>
        <s v="PROD-603"/>
        <s v="PROD-802"/>
        <s v="PROD-185"/>
        <s v="PROD-200"/>
        <s v="PROD-495"/>
        <s v="PROD-565"/>
        <s v="PROD-589"/>
        <s v="PROD-689"/>
        <s v="PROD-817"/>
        <s v="PROD-226"/>
        <s v="PROD-236"/>
        <s v="PROD-750"/>
        <s v="PROD-873"/>
        <s v="PROD-879"/>
        <s v="PROD-291"/>
        <s v="PROD-835"/>
        <s v="PROD-678"/>
        <s v="PROD-979"/>
        <s v="PROD-630"/>
        <s v="PROD-417"/>
        <s v="PROD-232"/>
        <s v="PROD-989"/>
        <s v="PROD-926"/>
        <s v="PROD-891"/>
        <s v="PROD-389"/>
        <s v="PROD-904"/>
        <s v="PROD-252"/>
        <s v="PROD-806"/>
        <s v="PROD-700"/>
        <s v="PROD-245"/>
        <s v="PROD-910"/>
        <s v="PROD-170"/>
        <s v="PROD-494"/>
        <s v="PROD-537"/>
        <s v="PROD-141"/>
        <s v="PROD-352"/>
        <s v="PROD-737"/>
        <s v="PROD-673"/>
        <s v="PROD-986"/>
        <s v="PROD-519"/>
        <s v="PROD-621"/>
        <s v="PROD-209"/>
        <s v="PROD-834"/>
        <s v="PROD-559"/>
        <s v="PROD-924"/>
        <s v="PROD-458"/>
        <s v="PROD-898"/>
        <s v="PROD-804"/>
        <s v="PROD-831"/>
        <s v="PROD-786"/>
        <s v="PROD-951"/>
        <s v="PROD-187"/>
        <s v="PROD-644"/>
        <s v="PROD-912"/>
        <s v="PROD-109"/>
        <s v="PROD-257"/>
        <s v="PROD-504"/>
        <s v="PROD-582"/>
        <s v="PROD-306"/>
        <s v="PROD-634"/>
        <s v="PROD-450"/>
        <s v="PROD-434"/>
        <s v="PROD-824"/>
        <s v="PROD-534"/>
        <s v="PROD-888"/>
        <s v="PROD-511"/>
        <s v="PROD-965"/>
        <s v="PROD-188"/>
        <s v="PROD-918"/>
        <s v="PROD-894"/>
        <s v="PROD-845"/>
        <s v="PROD-985"/>
        <s v="PROD-482"/>
        <s v="PROD-892"/>
        <s v="PROD-660"/>
        <s v="PROD-947"/>
        <s v="PROD-336"/>
        <s v="PROD-435"/>
        <s v="PROD-748"/>
        <s v="PROD-106"/>
        <s v="PROD-334"/>
        <s v="PROD-166"/>
        <s v="PROD-685"/>
        <s v="PROD-855"/>
        <s v="PROD-522"/>
        <s v="PROD-981"/>
        <s v="PROD-426"/>
        <s v="PROD-611"/>
        <s v="PROD-599"/>
        <s v="PROD-853"/>
        <s v="PROD-620"/>
        <s v="PROD-807"/>
        <s v="PROD-272"/>
        <s v="PROD-789"/>
        <s v="PROD-930"/>
        <s v="PROD-939"/>
        <s v="PROD-867"/>
        <s v="PROD-747"/>
        <s v="PROD-168"/>
        <s v="PROD-246"/>
        <s v="PROD-913"/>
        <s v="PROD-395"/>
        <s v="PROD-544"/>
        <s v="PROD-387"/>
        <s v="PROD-602"/>
        <s v="PROD-618"/>
        <s v="PROD-958"/>
        <s v="PROD-424"/>
        <s v="PROD-911"/>
        <s v="PROD-500"/>
        <s v="PROD-757"/>
        <s v="PROD-899"/>
        <s v="PROD-535"/>
        <s v="PROD-978"/>
        <s v="PROD-632"/>
        <s v="PROD-826"/>
        <s v="PROD-593"/>
        <s v="PROD-782"/>
        <s v="PROD-310"/>
        <s v="PROD-569"/>
        <s v="PROD-741"/>
        <s v="PROD-591"/>
        <s v="PROD-555"/>
        <s v="PROD-694"/>
        <s v="PROD-120"/>
        <s v="PROD-677"/>
        <s v="PROD-364"/>
        <s v="PROD-509"/>
        <s v="PROD-767"/>
        <s v="PROD-204"/>
        <s v="PROD-542"/>
        <s v="PROD-212"/>
        <s v="PROD-396"/>
        <s v="PROD-662"/>
        <s v="PROD-682"/>
        <s v="PROD-515"/>
        <s v="PROD-608"/>
        <s v="PROD-489"/>
        <s v="PROD-487"/>
        <s v="PROD-392"/>
        <s v="PROD-717"/>
        <s v="PROD-193"/>
        <s v="PROD-359"/>
        <s v="PROD-312"/>
        <s v="PROD-191"/>
        <s v="PROD-113"/>
        <s v="PROD-407"/>
        <s v="PROD-688"/>
        <s v="PROD-818"/>
        <s v="PROD-784"/>
        <s v="PROD-176"/>
        <s v="PROD-523"/>
        <s v="PROD-286"/>
        <s v="PROD-654"/>
        <s v="PROD-897"/>
        <s v="PROD-462"/>
        <s v="PROD-746"/>
        <s v="PROD-162"/>
        <s v="PROD-427"/>
        <s v="PROD-413"/>
        <s v="PROD-902"/>
        <s v="PROD-208"/>
        <s v="PROD-781"/>
        <s v="PROD-712"/>
        <s v="PROD-722"/>
        <s v="PROD-403"/>
        <s v="PROD-785"/>
        <s v="PROD-887"/>
        <s v="PROD-302"/>
        <s v="PROD-696"/>
        <s v="PROD-923"/>
        <s v="PROD-698"/>
        <s v="PROD-715"/>
        <s v="PROD-624"/>
        <s v="PROD-697"/>
        <s v="PROD-496"/>
        <s v="PROD-260"/>
        <s v="PROD-506"/>
        <s v="PROD-362"/>
        <s v="PROD-363"/>
        <s v="PROD-803"/>
        <s v="PROD-776"/>
        <s v="PROD-457"/>
        <s v="PROD-966"/>
        <s v="PROD-255"/>
        <s v="PROD-441"/>
        <s v="PROD-843"/>
        <s v="PROD-149"/>
        <s v="PROD-937"/>
        <s v="PROD-721"/>
        <s v="PROD-861"/>
        <s v="PROD-205"/>
        <s v="PROD-822"/>
        <s v="PROD-329"/>
        <s v="PROD-400"/>
        <s v="PROD-564"/>
        <s v="PROD-906"/>
        <s v="PROD-393"/>
        <s v="PROD-847"/>
        <s v="PROD-461"/>
        <s v="PROD-629"/>
        <s v="PROD-969"/>
        <s v="PROD-160"/>
        <s v="PROD-787"/>
        <s v="PROD-474"/>
        <s v="PROD-305"/>
        <s v="PROD-719"/>
        <s v="PROD-323"/>
        <s v="PROD-868"/>
        <s v="PROD-647"/>
        <s v="PROD-699"/>
        <s v="PROD-691"/>
        <s v="PROD-751"/>
        <s v="PROD-206"/>
        <s v="PROD-597"/>
        <s v="PROD-189"/>
        <s v="PROD-541"/>
        <s v="PROD-248"/>
        <s v="PROD-558"/>
        <s v="PROD-893"/>
        <s v="PROD-755"/>
        <s v="PROD-652"/>
        <s v="PROD-348"/>
        <s v="PROD-437"/>
        <s v="PROD-158"/>
        <s v="PROD-756"/>
        <s v="PROD-428"/>
        <s v="PROD-610"/>
        <s v="PROD-962"/>
        <s v="PROD-375"/>
        <s v="PROD-405"/>
        <s v="PROD-692"/>
        <s v="PROD-967"/>
        <s v="PROD-271"/>
        <s v="PROD-905"/>
        <s v="PROD-331"/>
        <s v="PROD-875"/>
        <s v="PROD-411"/>
        <s v="PROD-946"/>
        <s v="PROD-837"/>
        <s v="PROD-210"/>
        <s v="PROD-931"/>
        <s v="PROD-201"/>
        <s v="PROD-658"/>
        <s v="PROD-796"/>
        <s v="PROD-631"/>
        <s v="PROD-616"/>
        <s v="PROD-186"/>
        <s v="PROD-284"/>
        <s v="PROD-574"/>
        <s v="PROD-466"/>
        <s v="PROD-126"/>
        <s v="PROD-265"/>
        <s v="PROD-322"/>
        <s v="PROD-549"/>
        <s v="PROD-842"/>
        <s v="PROD-127"/>
        <s v="PROD-343"/>
        <s v="PROD-116"/>
        <s v="PROD-852"/>
        <s v="PROD-446"/>
        <s v="PROD-587"/>
        <s v="PROD-173"/>
        <s v="PROD-991"/>
        <s v="PROD-439"/>
        <s v="PROD-529"/>
        <s v="PROD-371"/>
        <s v="PROD-557"/>
        <s v="PROD-415"/>
        <s v="PROD-623"/>
        <s v="PROD-402"/>
        <s v="PROD-963"/>
        <s v="PROD-177"/>
        <s v="PROD-412"/>
        <s v="PROD-241"/>
        <s v="PROD-319"/>
        <s v="PROD-221"/>
        <s v="PROD-882"/>
        <s v="PROD-376"/>
        <s v="PROD-518"/>
        <s v="PROD-972"/>
        <s v="PROD-507"/>
        <s v="PROD-159"/>
        <s v="PROD-724"/>
        <s v="PROD-275"/>
        <s v="PROD-992"/>
        <s v="PROD-769"/>
        <s v="PROD-811"/>
        <s v="PROD-968"/>
        <s v="PROD-728"/>
        <s v="PROD-100"/>
        <s v="PROD-254"/>
        <s v="PROD-144"/>
        <s v="PROD-133"/>
        <s v="PROD-346"/>
        <s v="PROD-219"/>
        <s v="PROD-503"/>
        <s v="PROD-859"/>
        <s v="PROD-432"/>
        <s v="PROD-108"/>
        <s v="PROD-320"/>
        <s v="PROD-261"/>
        <s v="PROD-316"/>
        <s v="PROD-636"/>
        <s v="PROD-704"/>
        <s v="PROD-881"/>
        <s v="PROD-575"/>
        <s v="PROD-586"/>
        <s v="PROD-409"/>
        <s v="PROD-378"/>
        <s v="PROD-169"/>
        <s v="PROD-783"/>
        <s v="PROD-885"/>
        <s v="PROD-429"/>
        <s v="PROD-556"/>
        <s v="PROD-224"/>
        <s v="PROD-294"/>
        <s v="PROD-115"/>
        <s v="PROD-326"/>
        <s v="PROD-481"/>
        <s v="PROD-753"/>
        <s v="PROD-199"/>
        <s v="PROD-155"/>
        <s v="PROD-667"/>
        <s v="PROD-448"/>
        <s v="PROD-465"/>
        <s v="PROD-183"/>
        <s v="PROD-739"/>
        <s v="PROD-872"/>
        <s v="PROD-147"/>
        <s v="PROD-708"/>
        <s v="PROD-840"/>
        <s v="PROD-539"/>
        <s v="PROD-431"/>
        <s v="PROD-793"/>
        <s v="PROD-125"/>
        <s v="PROD-794"/>
        <s v="PROD-971"/>
        <s v="PROD-752"/>
        <s v="PROD-480"/>
        <s v="PROD-338"/>
        <s v="PROD-142"/>
        <s v="PROD-998"/>
        <s v="PROD-982"/>
        <s v="PROD-996"/>
        <s v="PROD-810"/>
        <s v="PROD-548"/>
        <s v="PROD-925"/>
        <s v="PROD-479"/>
        <s v="PROD-595"/>
        <s v="PROD-732"/>
        <s v="PROD-454"/>
        <s v="PROD-536"/>
        <s v="PROD-337"/>
        <s v="PROD-540"/>
        <s v="PROD-143"/>
        <s v="PROD-137"/>
        <s v="PROD-742"/>
        <s v="PROD-896"/>
        <s v="PROD-854"/>
        <s v="PROD-211"/>
        <s v="PROD-118"/>
        <s v="PROD-111"/>
        <s v="PROD-936"/>
        <s v="PROD-505"/>
        <s v="PROD-397"/>
        <s v="PROD-703"/>
        <s v="PROD-382"/>
        <s v="PROD-197"/>
        <s v="PROD-997"/>
        <s v="PROD-863"/>
        <s v="PROD-780"/>
        <s v="PROD-367"/>
        <s v="PROD-238"/>
        <s v="PROD-490"/>
        <s v="PROD-562"/>
        <s v="PROD-451"/>
        <s v="PROD-401"/>
        <s v="PROD-895"/>
        <s v="PROD-499"/>
        <s v="PROD-877"/>
        <s v="PROD-517"/>
        <s v="PROD-139"/>
        <s v="PROD-373"/>
        <s v="PROD-832"/>
        <s v="PROD-543"/>
        <s v="PROD-225"/>
        <s v="PROD-758"/>
        <s v="PROD-922"/>
        <s v="PROD-154"/>
        <s v="PROD-281"/>
        <s v="PROD-350"/>
        <s v="PROD-164"/>
        <s v="PROD-812"/>
        <s v="PROD-909"/>
        <s v="PROD-745"/>
        <s v="PROD-880"/>
        <s v="PROD-333"/>
        <s v="PROD-791"/>
        <s v="PROD-453"/>
        <s v="PROD-283"/>
        <s v="PROD-788"/>
        <s v="PROD-264"/>
        <s v="PROD-524"/>
        <s v="PROD-977"/>
        <s v="PROD-516"/>
        <s v="PROD-553"/>
        <s v="PROD-237"/>
        <s v="PROD-330"/>
        <s v="PROD-301"/>
        <s v="PROD-296"/>
        <s v="PROD-328"/>
        <s v="PROD-869"/>
        <s v="PROD-684"/>
        <s v="PROD-381"/>
        <s v="PROD-304"/>
        <s v="PROD-858"/>
        <s v="PROD-836"/>
        <s v="PROD-889"/>
        <s v="PROD-764"/>
        <s v="PROD-315"/>
        <s v="PROD-207"/>
        <s v="PROD-749"/>
        <s v="PROD-175"/>
        <s v="PROD-683"/>
        <s v="PROD-730"/>
        <s v="PROD-976"/>
        <s v="PROD-648"/>
        <s v="PROD-860"/>
        <s v="PROD-374"/>
        <s v="PROD-681"/>
        <s v="PROD-256"/>
        <s v="PROD-570"/>
        <s v="PROD-195"/>
        <s v="PROD-361"/>
        <s v="PROD-117"/>
        <s v="PROD-577"/>
        <s v="PROD-360"/>
        <s v="PROD-588"/>
        <s v="PROD-581"/>
        <s v="PROD-388"/>
        <s v="PROD-707"/>
        <s v="PROD-131"/>
        <s v="PROD-870"/>
        <s v="PROD-995"/>
        <s v="PROD-290"/>
        <s v="PROD-103"/>
        <s v="PROD-601"/>
        <s v="PROD-369"/>
        <s v="PROD-693"/>
        <s v="PROD-430"/>
        <s v="PROD-952"/>
        <s v="PROD-546"/>
        <s v="PROD-309"/>
        <s v="PROD-670"/>
        <s v="PROD-770"/>
        <s v="PROD-456"/>
        <s v="PROD-398"/>
        <s v="PROD-865"/>
        <s v="PROD-612"/>
        <s v="PROD-339"/>
        <s v="PROD-594"/>
        <s v="PROD-600"/>
        <s v="PROD-980"/>
        <s v="PROD-324"/>
        <s v="PROD-607"/>
        <s v="PROD-492"/>
        <s v="PROD-573"/>
        <s v="PROD-404"/>
        <s v="PROD-335"/>
        <s v="PROD-866"/>
        <s v="PROD-340"/>
        <s v="PROD-901"/>
        <s v="PROD-486"/>
        <s v="PROD-498"/>
        <s v="PROD-614"/>
        <s v="PROD-664"/>
        <s v="PROD-850"/>
        <s v="PROD-900"/>
        <s v="PROD-713"/>
        <s v="PROD-528"/>
        <s v="PROD-828"/>
        <s v="PROD-772"/>
        <s v="PROD-729"/>
        <s v="PROD-521"/>
        <s v="PROD-795"/>
        <s v="PROD-675"/>
        <s v="PROD-773"/>
        <s v="PROD-380"/>
        <s v="PROD-669"/>
        <s v="PROD-844"/>
        <s v="PROD-531"/>
        <s v="PROD-596"/>
        <s v="PROD-449"/>
        <s v="PROD-571"/>
        <s v="PROD-578"/>
        <s v="PROD-821"/>
        <s v="PROD-606"/>
        <s v="PROD-497"/>
        <s v="PROD-270"/>
        <s v="PROD-217"/>
        <s v="PROD-779"/>
        <s v="PROD-438"/>
        <s v="PROD-710"/>
        <s v="PROD-805"/>
        <s v="PROD-192"/>
        <s v="PROD-823"/>
        <s v="PROD-970"/>
        <s v="PROD-638"/>
        <s v="PROD-299"/>
        <s v="PROD-231"/>
        <s v="PROD-532"/>
        <s v="PROD-604"/>
        <s v="PROD-874"/>
        <s v="PROD-347"/>
        <m/>
      </sharedItems>
    </cacheField>
    <cacheField name="Category" numFmtId="0">
      <sharedItems containsBlank="1" count="4">
        <s v="Furniture"/>
        <s v="Office Supplies"/>
        <s v="Technology"/>
        <m/>
      </sharedItems>
    </cacheField>
    <cacheField name="Sub-Category" numFmtId="0">
      <sharedItems containsBlank="1" count="13">
        <s v="Tables"/>
        <s v="Binders"/>
        <s v="Storage"/>
        <s v="Laptops"/>
        <s v="Phones"/>
        <s v="Accessories"/>
        <s v="Bookcases"/>
        <s v="Art Supplies"/>
        <s v="Paper"/>
        <s v="Chairs"/>
        <s v="Desks"/>
        <s v="Printers"/>
        <m/>
      </sharedItems>
    </cacheField>
    <cacheField name="Product Name" numFmtId="0">
      <sharedItems containsBlank="1" count="836">
        <s v="Tables Product 018"/>
        <s v="Binders Product 064"/>
        <s v="Binders Product 060"/>
        <s v="Storage Product 095"/>
        <s v="Laptops Product 065"/>
        <s v="Phones Product 090"/>
        <s v="Binders Product 027"/>
        <s v="Binders Product 005"/>
        <s v="Laptops Product 015"/>
        <s v="Accessories Product 071"/>
        <s v="Bookcases Product 059"/>
        <s v="Art Supplies Product 073"/>
        <s v="Accessories Product 093"/>
        <s v="Bookcases Product 032"/>
        <s v="Paper Product 011"/>
        <s v="Accessories Product 011"/>
        <s v="Phones Product 087"/>
        <s v="Paper Product 078"/>
        <s v="Storage Product 064"/>
        <s v="Laptops Product 047"/>
        <s v="Bookcases Product 012"/>
        <s v="Chairs Product 076"/>
        <s v="Chairs Product 046"/>
        <s v="Art Supplies Product 002"/>
        <s v="Tables Product 019"/>
        <s v="Tables Product 037"/>
        <s v="Tables Product 035"/>
        <s v="Chairs Product 096"/>
        <s v="Desks Product 081"/>
        <s v="Binders Product 043"/>
        <s v="Accessories Product 038"/>
        <s v="Art Supplies Product 080"/>
        <s v="Binders Product 073"/>
        <s v="Desks Product 058"/>
        <s v="Desks Product 020"/>
        <s v="Laptops Product 087"/>
        <s v="Tables Product 078"/>
        <s v="Accessories Product 029"/>
        <s v="Laptops Product 088"/>
        <s v="Storage Product 051"/>
        <s v="Phones Product 091"/>
        <s v="Binders Product 026"/>
        <s v="Bookcases Product 019"/>
        <s v="Art Supplies Product 007"/>
        <s v="Bookcases Product 088"/>
        <s v="Printers Product 057"/>
        <s v="Paper Product 030"/>
        <s v="Printers Product 081"/>
        <s v="Tables Product 034"/>
        <s v="Art Supplies Product 050"/>
        <s v="Printers Product 048"/>
        <s v="Tables Product 071"/>
        <s v="Binders Product 042"/>
        <s v="Binders Product 015"/>
        <s v="Paper Product 082"/>
        <s v="Printers Product 016"/>
        <s v="Storage Product 096"/>
        <s v="Accessories Product 012"/>
        <s v="Storage Product 045"/>
        <s v="Art Supplies Product 041"/>
        <s v="Binders Product 057"/>
        <s v="Printers Product 026"/>
        <s v="Art Supplies Product 066"/>
        <s v="Paper Product 026"/>
        <s v="Laptops Product 092"/>
        <s v="Laptops Product 085"/>
        <s v="Paper Product 018"/>
        <s v="Storage Product 050"/>
        <s v="Art Supplies Product 087"/>
        <s v="Printers Product 014"/>
        <s v="Tables Product 001"/>
        <s v="Paper Product 070"/>
        <s v="Desks Product 063"/>
        <s v="Desks Product 018"/>
        <s v="Storage Product 011"/>
        <s v="Bookcases Product 023"/>
        <s v="Storage Product 002"/>
        <s v="Binders Product 059"/>
        <s v="Tables Product 063"/>
        <s v="Chairs Product 081"/>
        <s v="Laptops Product 048"/>
        <s v="Phones Product 001"/>
        <s v="Phones Product 071"/>
        <s v="Binders Product 023"/>
        <s v="Paper Product 047"/>
        <s v="Chairs Product 031"/>
        <s v="Art Supplies Product 035"/>
        <s v="Binders Product 006"/>
        <s v="Binders Product 009"/>
        <s v="Storage Product 097"/>
        <s v="Chairs Product 060"/>
        <s v="Chairs Product 024"/>
        <s v="Paper Product 067"/>
        <s v="Printers Product 040"/>
        <s v="Paper Product 054"/>
        <s v="Accessories Product 079"/>
        <s v="Desks Product 078"/>
        <s v="Binders Product 082"/>
        <s v="Bookcases Product 021"/>
        <s v="Laptops Product 062"/>
        <s v="Bookcases Product 060"/>
        <s v="Paper Product 057"/>
        <s v="Tables Product 021"/>
        <s v="Laptops Product 014"/>
        <s v="Chairs Product 089"/>
        <s v="Tables Product 049"/>
        <s v="Bookcases Product 080"/>
        <s v="Art Supplies Product 071"/>
        <s v="Art Supplies Product 077"/>
        <s v="Accessories Product 078"/>
        <s v="Desks Product 051"/>
        <s v="Printers Product 015"/>
        <s v="Desks Product 011"/>
        <s v="Tables Product 041"/>
        <s v="Tables Product 004"/>
        <s v="Laptops Product 011"/>
        <s v="Art Supplies Product 021"/>
        <s v="Printers Product 006"/>
        <s v="Binders Product 088"/>
        <s v="Tables Product 033"/>
        <s v="Printers Product 090"/>
        <s v="Desks Product 060"/>
        <s v="Binders Product 007"/>
        <s v="Desks Product 093"/>
        <s v="Phones Product 012"/>
        <s v="Paper Product 058"/>
        <s v="Tables Product 038"/>
        <s v="Storage Product 036"/>
        <s v="Chairs Product 041"/>
        <s v="Bookcases Product 091"/>
        <s v="Printers Product 071"/>
        <s v="Accessories Product 057"/>
        <s v="Storage Product 049"/>
        <s v="Printers Product 037"/>
        <s v="Binders Product 068"/>
        <s v="Bookcases Product 065"/>
        <s v="Printers Product 061"/>
        <s v="Printers Product 010"/>
        <s v="Accessories Product 054"/>
        <s v="Binders Product 021"/>
        <s v="Bookcases Product 087"/>
        <s v="Tables Product 042"/>
        <s v="Bookcases Product 039"/>
        <s v="Printers Product 083"/>
        <s v="Desks Product 035"/>
        <s v="Laptops Product 086"/>
        <s v="Paper Product 038"/>
        <s v="Bookcases Product 084"/>
        <s v="Desks Product 057"/>
        <s v="Bookcases Product 095"/>
        <s v="Bookcases Product 050"/>
        <s v="Binders Product 066"/>
        <s v="Desks Product 004"/>
        <s v="Printers Product 068"/>
        <s v="Paper Product 043"/>
        <s v="Accessories Product 041"/>
        <s v="Phones Product 005"/>
        <s v="Binders Product 070"/>
        <s v="Paper Product 005"/>
        <s v="Chairs Product 045"/>
        <s v="Printers Product 087"/>
        <s v="Printers Product 039"/>
        <s v="Storage Product 085"/>
        <s v="Binders Product 016"/>
        <s v="Tables Product 093"/>
        <s v="Art Supplies Product 023"/>
        <s v="Phones Product 088"/>
        <s v="Binders Product 046"/>
        <s v="Tables Product 058"/>
        <s v="Laptops Product 001"/>
        <s v="Art Supplies Product 043"/>
        <s v="Phones Product 032"/>
        <s v="Art Supplies Product 089"/>
        <s v="Printers Product 080"/>
        <s v="Binders Product 080"/>
        <s v="Art Supplies Product 082"/>
        <s v="Desks Product 069"/>
        <s v="Chairs Product 006"/>
        <s v="Art Supplies Product 045"/>
        <s v="Tables Product 031"/>
        <s v="Binders Product 062"/>
        <s v="Accessories Product 047"/>
        <s v="Paper Product 071"/>
        <s v="Paper Product 094"/>
        <s v="Laptops Product 096"/>
        <s v="Tables Product 007"/>
        <s v="Tables Product 050"/>
        <s v="Tables Product 006"/>
        <s v="Laptops Product 055"/>
        <s v="Storage Product 059"/>
        <s v="Tables Product 068"/>
        <s v="Phones Product 011"/>
        <s v="Storage Product 087"/>
        <s v="Tables Product 090"/>
        <s v="Laptops Product 040"/>
        <s v="Paper Product 069"/>
        <s v="Storage Product 027"/>
        <s v="Bookcases Product 025"/>
        <s v="Laptops Product 025"/>
        <s v="Binders Product 069"/>
        <s v="Desks Product 089"/>
        <s v="Tables Product 036"/>
        <s v="Chairs Product 016"/>
        <s v="Bookcases Product 014"/>
        <s v="Chairs Product 033"/>
        <s v="Desks Product 091"/>
        <s v="Art Supplies Product 017"/>
        <s v="Art Supplies Product 001"/>
        <s v="Paper Product 092"/>
        <s v="Bookcases Product 026"/>
        <s v="Desks Product 066"/>
        <s v="Storage Product 076"/>
        <s v="Tables Product 012"/>
        <s v="Printers Product 063"/>
        <s v="Storage Product 082"/>
        <s v="Accessories Product 025"/>
        <s v="Bookcases Product 033"/>
        <s v="Printers Product 019"/>
        <s v="Accessories Product 048"/>
        <s v="Binders Product 013"/>
        <s v="Binders Product 089"/>
        <s v="Accessories Product 035"/>
        <s v="Binders Product 012"/>
        <s v="Bookcases Product 017"/>
        <s v="Paper Product 014"/>
        <s v="Storage Product 062"/>
        <s v="Desks Product 008"/>
        <s v="Paper Product 096"/>
        <s v="Chairs Product 069"/>
        <s v="Paper Product 023"/>
        <s v="Accessories Product 010"/>
        <s v="Storage Product 070"/>
        <s v="Accessories Product 064"/>
        <s v="Accessories Product 055"/>
        <s v="Chairs Product 071"/>
        <s v="Storage Product 081"/>
        <s v="Phones Product 029"/>
        <s v="Accessories Product 097"/>
        <s v="Storage Product 086"/>
        <s v="Art Supplies Product 063"/>
        <s v="Binders Product 084"/>
        <s v="Tables Product 099"/>
        <s v="Paper Product 041"/>
        <s v="Laptops Product 031"/>
        <s v="Paper Product 015"/>
        <s v="Tables Product 026"/>
        <s v="Paper Product 028"/>
        <s v="Chairs Product 002"/>
        <s v="Binders Product 040"/>
        <s v="Phones Product 007"/>
        <s v="Printers Product 072"/>
        <s v="Accessories Product 034"/>
        <s v="Storage Product 079"/>
        <s v="Tables Product 048"/>
        <s v="Phones Product 023"/>
        <s v="Art Supplies Product 008"/>
        <s v="Binders Product 074"/>
        <s v="Laptops Product 053"/>
        <s v="Tables Product 017"/>
        <s v="Accessories Product 026"/>
        <s v="Printers Product 074"/>
        <s v="Accessories Product 018"/>
        <s v="Storage Product 075"/>
        <s v="Desks Product 068"/>
        <s v="Accessories Product 083"/>
        <s v="Phones Product 017"/>
        <s v="Tables Product 062"/>
        <s v="Storage Product 057"/>
        <s v="Accessories Product 016"/>
        <s v="Paper Product 049"/>
        <s v="Storage Product 020"/>
        <s v="Chairs Product 065"/>
        <s v="Paper Product 010"/>
        <s v="Desks Product 025"/>
        <s v="Storage Product 019"/>
        <s v="Bookcases Product 090"/>
        <s v="Bookcases Product 068"/>
        <s v="Laptops Product 032"/>
        <s v="Desks Product 044"/>
        <s v="Bookcases Product 052"/>
        <s v="Phones Product 058"/>
        <s v="Art Supplies Product 064"/>
        <s v="Phones Product 038"/>
        <s v="Paper Product 088"/>
        <s v="Binders Product 029"/>
        <s v="Binders Product 049"/>
        <s v="Desks Product 071"/>
        <s v="Accessories Product 075"/>
        <s v="Phones Product 004"/>
        <s v="Binders Product 055"/>
        <s v="Paper Product 091"/>
        <s v="Bookcases Product 036"/>
        <s v="Art Supplies Product 047"/>
        <s v="Bookcases Product 074"/>
        <s v="Art Supplies Product 076"/>
        <s v="Printers Product 011"/>
        <s v="Storage Product 015"/>
        <s v="Paper Product 099"/>
        <s v="Phones Product 075"/>
        <s v="Tables Product 080"/>
        <s v="Binders Product 077"/>
        <s v="Bookcases Product 009"/>
        <s v="Storage Product 048"/>
        <s v="Paper Product 059"/>
        <s v="Desks Product 047"/>
        <s v="Paper Product 029"/>
        <s v="Phones Product 061"/>
        <s v="Laptops Product 033"/>
        <s v="Chairs Product 052"/>
        <s v="Paper Product 024"/>
        <s v="Storage Product 072"/>
        <s v="Storage Product 090"/>
        <s v="Phones Product 042"/>
        <s v="Printers Product 024"/>
        <s v="Binders Product 025"/>
        <s v="Phones Product 094"/>
        <s v="Printers Product 004"/>
        <s v="Art Supplies Product 033"/>
        <s v="Phones Product 095"/>
        <s v="Art Supplies Product 056"/>
        <s v="Binders Product 017"/>
        <s v="Paper Product 072"/>
        <s v="Bookcases Product 035"/>
        <s v="Accessories Product 003"/>
        <s v="Art Supplies Product 091"/>
        <s v="Storage Product 054"/>
        <s v="Paper Product 095"/>
        <s v="Laptops Product 041"/>
        <s v="Tables Product 022"/>
        <s v="Storage Product 074"/>
        <s v="Bookcases Product 046"/>
        <s v="Storage Product 052"/>
        <s v="Binders Product 031"/>
        <s v="Art Supplies Product 068"/>
        <s v="Binders Product 078"/>
        <s v="Chairs Product 055"/>
        <s v="Laptops Product 022"/>
        <s v="Art Supplies Product 062"/>
        <s v="Art Supplies Product 052"/>
        <s v="Accessories Product 092"/>
        <s v="Storage Product 093"/>
        <s v="Desks Product 027"/>
        <s v="Chairs Product 077"/>
        <s v="Phones Product 074"/>
        <s v="Accessories Product 062"/>
        <s v="Storage Product 026"/>
        <s v="Phones Product 078"/>
        <s v="Laptops Product 071"/>
        <s v="Paper Product 027"/>
        <s v="Art Supplies Product 025"/>
        <s v="Binders Product 056"/>
        <s v="Binders Product 063"/>
        <s v="Accessories Product 036"/>
        <s v="Binders Product 075"/>
        <s v="Paper Product 068"/>
        <s v="Accessories Product 068"/>
        <s v="Laptops Product 051"/>
        <s v="Desks Product 017"/>
        <s v="Printers Product 084"/>
        <s v="Paper Product 052"/>
        <s v="Bookcases Product 086"/>
        <s v="Laptops Product 003"/>
        <s v="Bookcases Product 031"/>
        <s v="Bookcases Product 048"/>
        <s v="Laptops Product 076"/>
        <s v="Chairs Product 009"/>
        <s v="Tables Product 013"/>
        <s v="Tables Product 083"/>
        <s v="Binders Product 072"/>
        <s v="Printers Product 047"/>
        <s v="Bookcases Product 004"/>
        <s v="Storage Product 022"/>
        <s v="Desks Product 036"/>
        <s v="Desks Product 032"/>
        <s v="Printers Product 097"/>
        <s v="Printers Product 009"/>
        <s v="Art Supplies Product 093"/>
        <s v="Paper Product 006"/>
        <s v="Binders Product 048"/>
        <s v="Chairs Product 042"/>
        <s v="Bookcases Product 075"/>
        <s v="Art Supplies Product 019"/>
        <s v="Art Supplies Product 067"/>
        <s v="Paper Product 087"/>
        <s v="Art Supplies Product 040"/>
        <s v="Chairs Product 010"/>
        <s v="Laptops Product 098"/>
        <s v="Art Supplies Product 088"/>
        <s v="Chairs Product 091"/>
        <s v="Art Supplies Product 092"/>
        <s v="Paper Product 039"/>
        <s v="Storage Product 009"/>
        <s v="Binders Product 014"/>
        <s v="Desks Product 099"/>
        <s v="Printers Product 036"/>
        <s v="Storage Product 032"/>
        <s v="Storage Product 018"/>
        <s v="Chairs Product 088"/>
        <s v="Printers Product 059"/>
        <s v="Bookcases Product 064"/>
        <s v="Desks Product 021"/>
        <s v="Storage Product 012"/>
        <s v="Chairs Product 013"/>
        <s v="Storage Product 060"/>
        <s v="Art Supplies Product 038"/>
        <s v="Tables Product 008"/>
        <s v="Printers Product 035"/>
        <s v="Binders Product 010"/>
        <s v="Bookcases Product 071"/>
        <s v="Tables Product 096"/>
        <s v="Chairs Product 018"/>
        <s v="Binders Product 034"/>
        <s v="Printers Product 060"/>
        <s v="Storage Product 055"/>
        <s v="Desks Product 090"/>
        <s v="Desks Product 029"/>
        <s v="Tables Product 020"/>
        <s v="Storage Product 056"/>
        <s v="Laptops Product 028"/>
        <s v="Phones Product 014"/>
        <s v="Printers Product 099"/>
        <s v="Chairs Product 026"/>
        <s v="Storage Product 001"/>
        <s v="Tables Product 047"/>
        <s v="Printers Product 043"/>
        <s v="Desks Product 016"/>
        <s v="Art Supplies Product 039"/>
        <s v="Binders Product 095"/>
        <s v="Storage Product 042"/>
        <s v="Chairs Product 058"/>
        <s v="Desks Product 084"/>
        <s v="Art Supplies Product 032"/>
        <s v="Storage Product 004"/>
        <s v="Phones Product 051"/>
        <s v="Accessories Product 015"/>
        <s v="Accessories Product 061"/>
        <s v="Bookcases Product 053"/>
        <s v="Paper Product 084"/>
        <s v="Laptops Product 090"/>
        <s v="Binders Product 018"/>
        <s v="Storage Product 058"/>
        <s v="Tables Product 087"/>
        <s v="Chairs Product 062"/>
        <s v="Paper Product 086"/>
        <s v="Phones Product 003"/>
        <s v="Laptops Product 035"/>
        <s v="Phones Product 053"/>
        <s v="Desks Product 042"/>
        <s v="Phones Product 030"/>
        <s v="Storage Product 078"/>
        <s v="Storage Product 033"/>
        <s v="Bookcases Product 024"/>
        <s v="Storage Product 063"/>
        <s v="Binders Product 037"/>
        <s v="Art Supplies Product 084"/>
        <s v="Phones Product 065"/>
        <s v="Paper Product 044"/>
        <s v="Phones Product 016"/>
        <s v="Bookcases Product 055"/>
        <s v="Storage Product 014"/>
        <s v="Desks Product 039"/>
        <s v="Storage Product 028"/>
        <s v="Phones Product 062"/>
        <s v="Desks Product 094"/>
        <s v="Storage Product 084"/>
        <s v="Bookcases Product 042"/>
        <s v="Accessories Product 081"/>
        <s v="Accessories Product 056"/>
        <s v="Laptops Product 016"/>
        <s v="Chairs Product 092"/>
        <s v="Accessories Product 072"/>
        <s v="Storage Product 024"/>
        <s v="Desks Product 072"/>
        <s v="Accessories Product 004"/>
        <s v="Bookcases Product 073"/>
        <s v="Accessories Product 013"/>
        <s v="Accessories Product 039"/>
        <s v="Art Supplies Product 013"/>
        <s v="Chairs Product 048"/>
        <s v="Art Supplies Product 012"/>
        <s v="Bookcases Product 070"/>
        <s v="Tables Product 039"/>
        <s v="Printers Product 053"/>
        <s v="Phones Product 041"/>
        <s v="Chairs Product 099"/>
        <s v="Tables Product 009"/>
        <s v="Desks Product 030"/>
        <s v="Tables Product 055"/>
        <s v="Phones Product 070"/>
        <s v="Laptops Product 072"/>
        <s v="Tables Product 025"/>
        <s v="Paper Product 098"/>
        <s v="Paper Product 021"/>
        <s v="Storage Product 021"/>
        <s v="Desks Product 059"/>
        <s v="Binders Product 038"/>
        <s v="Storage Product 068"/>
        <s v="Art Supplies Product 096"/>
        <s v="Phones Product 039"/>
        <s v="Tables Product 029"/>
        <s v="Tables Product 060"/>
        <s v="Phones Product 045"/>
        <s v="Desks Product 038"/>
        <s v="Printers Product 012"/>
        <s v="Bookcases Product 096"/>
        <s v="Paper Product 090"/>
        <s v="Laptops Product 044"/>
        <s v="Accessories Product 094"/>
        <s v="Tables Product 002"/>
        <s v="Laptops Product 078"/>
        <s v="Paper Product 036"/>
        <s v="Desks Product 086"/>
        <s v="Tables Product 092"/>
        <s v="Binders Product 028"/>
        <s v="Paper Product 007"/>
        <s v="Printers Product 078"/>
        <s v="Tables Product 081"/>
        <s v="Art Supplies Product 081"/>
        <s v="Art Supplies Product 014"/>
        <s v="Storage Product 010"/>
        <s v="Laptops Product 074"/>
        <s v="Printers Product 020"/>
        <s v="Phones Product 022"/>
        <s v="Chairs Product 080"/>
        <s v="Printers Product 041"/>
        <s v="Printers Product 044"/>
        <s v="Paper Product 019"/>
        <s v="Desks Product 055"/>
        <s v="Bookcases Product 015"/>
        <s v="Desks Product 015"/>
        <s v="Bookcases Product 062"/>
        <s v="Printers Product 025"/>
        <s v="Accessories Product 087"/>
        <s v="Binders Product 019"/>
        <s v="Art Supplies Product 042"/>
        <s v="Printers Product 093"/>
        <s v="Desks Product 092"/>
        <s v="Bookcases Product 076"/>
        <s v="Bookcases Product 057"/>
        <s v="Laptops Product 030"/>
        <s v="Phones Product 073"/>
        <s v="Paper Product 075"/>
        <s v="Storage Product 017"/>
        <s v="Accessories Product 089"/>
        <s v="Desks Product 077"/>
        <s v="Paper Product 035"/>
        <s v="Storage Product 007"/>
        <s v="Printers Product 052"/>
        <s v="Tables Product 082"/>
        <s v="Paper Product 076"/>
        <s v="Tables Product 072"/>
        <s v="Paper Product 062"/>
        <s v="Paper Product 085"/>
        <s v="Laptops Product 060"/>
        <s v="Desks Product 037"/>
        <s v="Printers Product 067"/>
        <s v="Bookcases Product 077"/>
        <s v="Printers Product 029"/>
        <s v="Binders Product 039"/>
        <s v="Paper Product 045"/>
        <s v="Art Supplies Product 058"/>
        <s v="Storage Product 039"/>
        <s v="Tables Product 064"/>
        <s v="Art Supplies Product 027"/>
        <s v="Binders Product 032"/>
        <s v="Desks Product 075"/>
        <s v="Paper Product 074"/>
        <s v="Laptops Product 034"/>
        <s v="Desks Product 067"/>
        <s v="Chairs Product 047"/>
        <s v="Art Supplies Product 048"/>
        <s v="Chairs Product 064"/>
        <s v="Printers Product 046"/>
        <s v="Paper Product 079"/>
        <s v="Art Supplies Product 069"/>
        <s v="Tables Product 069"/>
        <s v="Chairs Product 049"/>
        <s v="Binders Product 092"/>
        <s v="Chairs Product 015"/>
        <s v="Desks Product 040"/>
        <s v="Phones Product 048"/>
        <s v="Phones Product 093"/>
        <s v="Accessories Product 023"/>
        <s v="Printers Product 082"/>
        <s v="Binders Product 008"/>
        <s v="Tables Product 075"/>
        <s v="Bookcases Product 049"/>
        <s v="Bookcases Product 005"/>
        <s v="Art Supplies Product 090"/>
        <s v="Accessories Product 001"/>
        <s v="Binders Product 076"/>
        <s v="Storage Product 073"/>
        <s v="Laptops Product 008"/>
        <s v="Art Supplies Product 011"/>
        <s v="Binders Product 004"/>
        <s v="Bookcases Product 066"/>
        <s v="Binders Product 024"/>
        <s v="Paper Product 064"/>
        <s v="Phones Product 020"/>
        <s v="Printers Product 050"/>
        <s v="Desks Product 062"/>
        <s v="Laptops Product 084"/>
        <s v="Art Supplies Product 057"/>
        <s v="Chairs Product 025"/>
        <s v="Chairs Product 030"/>
        <s v="Bookcases Product 045"/>
        <s v="Bookcases Product 011"/>
        <s v="Storage Product 069"/>
        <s v="Chairs Product 019"/>
        <s v="Tables Product 043"/>
        <s v="Phones Product 060"/>
        <s v="Tables Product 065"/>
        <s v="Desks Product 073"/>
        <s v="Laptops Product 094"/>
        <s v="Paper Product 077"/>
        <s v="Laptops Product 081"/>
        <s v="Storage Product 067"/>
        <s v="Paper Product 066"/>
        <s v="Storage Product 098"/>
        <s v="Paper Product 034"/>
        <s v="Paper Product 003"/>
        <s v="Tables Product 054"/>
        <s v="Phones Product 086"/>
        <s v="Chairs Product 003"/>
        <s v="Bookcases Product 010"/>
        <s v="Accessories Product 050"/>
        <s v="Laptops Product 007"/>
        <s v="Paper Product 002"/>
        <s v="Storage Product 099"/>
        <s v="Phones Product 067"/>
        <s v="Storage Product 044"/>
        <s v="Paper Product 089"/>
        <s v="Paper Product 060"/>
        <s v="Binders Product 079"/>
        <s v="Phones Product 002"/>
        <s v="Art Supplies Product 094"/>
        <s v="Printers Product 076"/>
        <s v="Storage Product 029"/>
        <s v="Laptops Product 038"/>
        <s v="Storage Product 065"/>
        <s v="Tables Product 094"/>
        <s v="Binders Product 041"/>
        <s v="Bookcases Product 093"/>
        <s v="Chairs Product 098"/>
        <s v="Phones Product 077"/>
        <s v="Printers Product 066"/>
        <s v="Tables Product 066"/>
        <s v="Tables Product 079"/>
        <s v="Bookcases Product 089"/>
        <s v="Storage Product 035"/>
        <s v="Laptops Product 056"/>
        <s v="Printers Product 075"/>
        <s v="Bookcases Product 063"/>
        <s v="Phones Product 092"/>
        <s v="Art Supplies Product 049"/>
        <s v="Storage Product 030"/>
        <s v="Chairs Product 078"/>
        <s v="Bookcases Product 013"/>
        <s v="Chairs Product 035"/>
        <s v="Accessories Product 095"/>
        <s v="Art Supplies Product 034"/>
        <s v="Storage Product 031"/>
        <s v="Storage Product 071"/>
        <s v="Chairs Product 043"/>
        <s v="Phones Product 015"/>
        <s v="Binders Product 044"/>
        <s v="Art Supplies Product 026"/>
        <s v="Laptops Product 083"/>
        <s v="Storage Product 089"/>
        <s v="Art Supplies Product 030"/>
        <s v="Laptops Product 018"/>
        <s v="Printers Product 005"/>
        <s v="Desks Product 002"/>
        <s v="Tables Product 014"/>
        <s v="Chairs Product 004"/>
        <s v="Tables Product 024"/>
        <s v="Printers Product 030"/>
        <s v="Laptops Product 026"/>
        <s v="Laptops Product 082"/>
        <s v="Laptops Product 009"/>
        <s v="Bookcases Product 079"/>
        <s v="Binders Product 054"/>
        <s v="Accessories Product 020"/>
        <s v="Bookcases Product 047"/>
        <s v="Laptops Product 049"/>
        <s v="Laptops Product 012"/>
        <s v="Art Supplies Product 070"/>
        <s v="Bookcases Product 098"/>
        <s v="Printers Product 085"/>
        <s v="Chairs Product 001"/>
        <s v="Tables Product 095"/>
        <s v="Desks Product 010"/>
        <s v="Paper Product 040"/>
        <s v="Chairs Product 074"/>
        <s v="Desks Product 080"/>
        <s v="Chairs Product 066"/>
        <s v="Binders Product 081"/>
        <s v="Tables Product 016"/>
        <s v="Bookcases Product 037"/>
        <s v="Desks Product 098"/>
        <s v="Art Supplies Product 059"/>
        <s v="Storage Product 041"/>
        <s v="Tables Product 032"/>
        <s v="Binders Product 086"/>
        <s v="Paper Product 033"/>
        <s v="Storage Product 013"/>
        <s v="Laptops Product 024"/>
        <s v="Art Supplies Product 065"/>
        <s v="Chairs Product 056"/>
        <s v="Storage Product 006"/>
        <s v="Accessories Product 002"/>
        <s v="Art Supplies Product 074"/>
        <s v="Chairs Product 093"/>
        <s v="Phones Product 068"/>
        <s v="Bookcases Product 058"/>
        <s v="Desks Product 014"/>
        <s v="Chairs Product 005"/>
        <s v="Paper Product 093"/>
        <s v="Art Supplies Product 051"/>
        <s v="Storage Product 023"/>
        <s v="Paper Product 073"/>
        <s v="Desks Product 074"/>
        <s v="Laptops Product 057"/>
        <s v="Bookcases Product 018"/>
        <s v="Printers Product 038"/>
        <s v="Desks Product 097"/>
        <s v="Accessories Product 006"/>
        <s v="Tables Product 003"/>
        <s v="Chairs Product 082"/>
        <s v="Chairs Product 037"/>
        <s v="Desks Product 013"/>
        <s v="Bookcases Product 027"/>
        <s v="Art Supplies Product 054"/>
        <s v="Tables Product 088"/>
        <s v="Chairs Product 036"/>
        <s v="Bookcases Product 054"/>
        <s v="Art Supplies Product 004"/>
        <s v="Binders Product 083"/>
        <s v="Phones Product 096"/>
        <s v="Binders Product 091"/>
        <s v="Accessories Product 073"/>
        <s v="Art Supplies Product 061"/>
        <s v="Art Supplies Product 053"/>
        <s v="Printers Product 017"/>
        <s v="Bookcases Product 003"/>
        <s v="Chairs Product 070"/>
        <s v="Art Supplies Product 029"/>
        <s v="Paper Product 083"/>
        <s v="Chairs Product 095"/>
        <s v="Paper Product 031"/>
        <s v="Laptops Product 017"/>
        <s v="Tables Product 011"/>
        <s v="Desks Product 026"/>
        <s v="Storage Product 061"/>
        <s v="Paper Product 056"/>
        <s v="Tables Product 077"/>
        <s v="Desks Product 028"/>
        <s v="Storage Product 088"/>
        <s v="Binders Product 045"/>
        <s v="Bookcases Product 081"/>
        <s v="Paper Product 008"/>
        <s v="Tables Product 086"/>
        <s v="Desks Product 053"/>
        <s v="Laptops Product 036"/>
        <s v="Accessories Product 067"/>
        <s v="Accessories Product 022"/>
        <s v="Laptops Product 079"/>
        <s v="Binders Product 051"/>
        <s v="Accessories Product 063"/>
        <s v="Laptops Product 070"/>
        <s v="Printers Product 045"/>
        <s v="Printers Product 049"/>
        <s v="Bookcases Product 085"/>
        <s v="Laptops Product 061"/>
        <s v="Accessories Product 082"/>
        <s v="Accessories Product 014"/>
        <s v="Desks Product 041"/>
        <s v="Phones Product 089"/>
        <s v="Chairs Product 084"/>
        <s v="Printers Product 069"/>
        <s v="Paper Product 001"/>
        <s v="Bookcases Product 022"/>
        <s v="Phones Product 052"/>
        <s v="Phones Product 006"/>
        <s v="Chairs Product 061"/>
        <s v="Paper Product 048"/>
        <s v="Binders Product 002"/>
        <s v="Desks Product 033"/>
        <s v="Desks Product 061"/>
        <s v="Laptops Product 052"/>
        <s v="Art Supplies Product 046"/>
        <s v="Phones Product 066"/>
        <s v="Chairs Product 022"/>
        <s v="Storage Product 037"/>
        <s v="Phones Product 031"/>
        <s v="Paper Product 050"/>
        <s v="Paper Product 017"/>
        <s v="Desks Product 088"/>
        <s v="Binders Product 036"/>
        <s v="Chairs Product 011"/>
        <s v="Paper Product 022"/>
        <s v="Accessories Product 024"/>
        <s v="Accessories Product 021"/>
        <s v="Art Supplies Product 036"/>
        <s v="Laptops Product 093"/>
        <s v="Desks Product 085"/>
        <s v="Desks Product 006"/>
        <s v="Laptops Product 013"/>
        <s v="Chairs Product 040"/>
        <s v="Binders Product 030"/>
        <s v="Binders Product 003"/>
        <s v="Phones Product 050"/>
        <s v="Binders Product 001"/>
        <s v="Accessories Product 059"/>
        <s v="Laptops Product 042"/>
        <s v="Paper Product 020"/>
        <s v="Tables Product 085"/>
        <s v="Chairs Product 053"/>
        <s v="Art Supplies Product 015"/>
        <s v="Chairs Product 028"/>
        <s v="Phones Product 035"/>
        <s v="Art Supplies Product 003"/>
        <s v="Binders Product 047"/>
        <s v="Tables Product 052"/>
        <s v="Tables Product 098"/>
        <s v="Accessories Product 042"/>
        <s v="Desks Product 019"/>
        <s v="Printers Product 051"/>
        <s v="Accessories Product 044"/>
        <s v="Accessories Product 033"/>
        <s v="Art Supplies Product 018"/>
        <s v="Storage Product 034"/>
        <s v="Bookcases Product 083"/>
        <s v="Printers Product 086"/>
        <s v="Printers Product 079"/>
        <m/>
      </sharedItems>
    </cacheField>
    <cacheField name="Sales" numFmtId="0">
      <sharedItems containsString="0" containsBlank="1" containsNumber="1" minValue="10" maxValue="2817.58"/>
    </cacheField>
    <cacheField name="Quantity" numFmtId="0">
      <sharedItems containsString="0" containsBlank="1" containsNumber="1" containsInteger="1" minValue="1" maxValue="9"/>
    </cacheField>
    <cacheField name="Discount" numFmtId="0">
      <sharedItems containsString="0" containsBlank="1" containsNumber="1" minValue="0" maxValue="0.4"/>
    </cacheField>
    <cacheField name="Profit" numFmtId="0">
      <sharedItems containsString="0" containsBlank="1" containsNumber="1" minValue="-106.38" maxValue="353.07"/>
    </cacheField>
    <cacheField name="Months (Order Date)" numFmtId="0" databaseField="0">
      <fieldGroup base="2">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2">
        <rangePr groupBy="quarters" startDate="2024-01-01T00:00:00" endDate="2026-01-01T00:00:00"/>
        <groupItems count="6">
          <s v="&lt;01-01-2024"/>
          <s v="Qtr1"/>
          <s v="Qtr2"/>
          <s v="Qtr3"/>
          <s v="Qtr4"/>
          <s v="&gt;01-01-2026"/>
        </groupItems>
      </fieldGroup>
    </cacheField>
    <cacheField name="Years (Order Date)" numFmtId="0" databaseField="0">
      <fieldGroup base="2">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044083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n v="1"/>
    <x v="0"/>
    <x v="0"/>
    <d v="2024-04-15T00:00:00"/>
    <x v="0"/>
    <s v="CUST-1112"/>
    <s v="Customer 363"/>
    <x v="0"/>
    <x v="0"/>
    <x v="0"/>
    <x v="0"/>
    <n v="272502"/>
    <x v="0"/>
    <x v="0"/>
    <x v="0"/>
    <x v="0"/>
    <x v="0"/>
    <n v="364.26"/>
    <n v="4"/>
    <n v="0.15"/>
    <n v="44.32"/>
  </r>
  <r>
    <n v="2"/>
    <x v="1"/>
    <x v="1"/>
    <d v="2025-03-14T00:00:00"/>
    <x v="1"/>
    <s v="CUST-1179"/>
    <s v="Customer 200"/>
    <x v="0"/>
    <x v="0"/>
    <x v="1"/>
    <x v="1"/>
    <n v="235370"/>
    <x v="1"/>
    <x v="1"/>
    <x v="1"/>
    <x v="1"/>
    <x v="1"/>
    <n v="276.76"/>
    <n v="3"/>
    <n v="0.3"/>
    <n v="24.4"/>
  </r>
  <r>
    <n v="3"/>
    <x v="2"/>
    <x v="2"/>
    <d v="2024-09-29T00:00:00"/>
    <x v="1"/>
    <s v="CUST-1058"/>
    <s v="Customer 240"/>
    <x v="1"/>
    <x v="0"/>
    <x v="2"/>
    <x v="2"/>
    <n v="517216"/>
    <x v="2"/>
    <x v="2"/>
    <x v="1"/>
    <x v="1"/>
    <x v="2"/>
    <n v="41.01"/>
    <n v="5"/>
    <n v="0.4"/>
    <n v="-4.07"/>
  </r>
  <r>
    <n v="4"/>
    <x v="3"/>
    <x v="3"/>
    <d v="2024-04-21T00:00:00"/>
    <x v="0"/>
    <s v="CUST-1219"/>
    <s v="Customer 378"/>
    <x v="1"/>
    <x v="0"/>
    <x v="0"/>
    <x v="0"/>
    <n v="741480"/>
    <x v="0"/>
    <x v="3"/>
    <x v="1"/>
    <x v="2"/>
    <x v="3"/>
    <n v="94.59"/>
    <n v="7"/>
    <n v="0.1"/>
    <n v="-19.22"/>
  </r>
  <r>
    <n v="5"/>
    <x v="4"/>
    <x v="4"/>
    <d v="2024-03-13T00:00:00"/>
    <x v="1"/>
    <s v="CUST-1277"/>
    <s v="Customer 040"/>
    <x v="2"/>
    <x v="0"/>
    <x v="1"/>
    <x v="1"/>
    <n v="962318"/>
    <x v="1"/>
    <x v="4"/>
    <x v="2"/>
    <x v="3"/>
    <x v="4"/>
    <n v="240.92"/>
    <n v="5"/>
    <n v="0.05"/>
    <n v="21.43"/>
  </r>
  <r>
    <n v="6"/>
    <x v="5"/>
    <x v="5"/>
    <d v="2025-12-06T00:00:00"/>
    <x v="2"/>
    <s v="CUST-1007"/>
    <s v="Customer 190"/>
    <x v="0"/>
    <x v="0"/>
    <x v="0"/>
    <x v="0"/>
    <n v="220592"/>
    <x v="0"/>
    <x v="5"/>
    <x v="2"/>
    <x v="4"/>
    <x v="5"/>
    <n v="418.01"/>
    <n v="6"/>
    <n v="0"/>
    <n v="77.959999999999994"/>
  </r>
  <r>
    <n v="7"/>
    <x v="6"/>
    <x v="6"/>
    <d v="2024-01-24T00:00:00"/>
    <x v="0"/>
    <s v="CUST-1238"/>
    <s v="Customer 072"/>
    <x v="2"/>
    <x v="0"/>
    <x v="3"/>
    <x v="3"/>
    <n v="342318"/>
    <x v="1"/>
    <x v="6"/>
    <x v="1"/>
    <x v="1"/>
    <x v="6"/>
    <n v="60.08"/>
    <n v="1"/>
    <n v="0.3"/>
    <n v="26.92"/>
  </r>
  <r>
    <n v="8"/>
    <x v="7"/>
    <x v="7"/>
    <d v="2025-09-09T00:00:00"/>
    <x v="0"/>
    <s v="CUST-1304"/>
    <s v="Customer 217"/>
    <x v="1"/>
    <x v="0"/>
    <x v="4"/>
    <x v="4"/>
    <n v="908985"/>
    <x v="3"/>
    <x v="7"/>
    <x v="1"/>
    <x v="1"/>
    <x v="7"/>
    <n v="45.45"/>
    <n v="1"/>
    <n v="0"/>
    <n v="-8.31"/>
  </r>
  <r>
    <n v="9"/>
    <x v="8"/>
    <x v="8"/>
    <d v="2024-05-04T00:00:00"/>
    <x v="1"/>
    <s v="CUST-1013"/>
    <s v="Customer 013"/>
    <x v="0"/>
    <x v="0"/>
    <x v="5"/>
    <x v="5"/>
    <n v="901151"/>
    <x v="0"/>
    <x v="8"/>
    <x v="2"/>
    <x v="3"/>
    <x v="8"/>
    <n v="575.35"/>
    <n v="4"/>
    <n v="0.15"/>
    <n v="13.56"/>
  </r>
  <r>
    <n v="10"/>
    <x v="9"/>
    <x v="9"/>
    <d v="2025-04-14T00:00:00"/>
    <x v="2"/>
    <s v="CUST-1043"/>
    <s v="Customer 360"/>
    <x v="2"/>
    <x v="0"/>
    <x v="2"/>
    <x v="2"/>
    <n v="909340"/>
    <x v="2"/>
    <x v="9"/>
    <x v="2"/>
    <x v="5"/>
    <x v="9"/>
    <n v="304.06"/>
    <n v="3"/>
    <n v="0.15"/>
    <n v="7.81"/>
  </r>
  <r>
    <n v="11"/>
    <x v="10"/>
    <x v="10"/>
    <d v="2024-08-05T00:00:00"/>
    <x v="0"/>
    <s v="CUST-1367"/>
    <s v="Customer 239"/>
    <x v="1"/>
    <x v="0"/>
    <x v="2"/>
    <x v="2"/>
    <n v="693731"/>
    <x v="2"/>
    <x v="10"/>
    <x v="0"/>
    <x v="6"/>
    <x v="10"/>
    <n v="182.38"/>
    <n v="2"/>
    <n v="0.1"/>
    <n v="-9.56"/>
  </r>
  <r>
    <n v="12"/>
    <x v="11"/>
    <x v="11"/>
    <d v="2024-11-29T00:00:00"/>
    <x v="0"/>
    <s v="CUST-1135"/>
    <s v="Customer 280"/>
    <x v="0"/>
    <x v="0"/>
    <x v="6"/>
    <x v="6"/>
    <n v="276298"/>
    <x v="2"/>
    <x v="11"/>
    <x v="1"/>
    <x v="7"/>
    <x v="11"/>
    <n v="36.68"/>
    <n v="4"/>
    <n v="0.3"/>
    <n v="-6.76"/>
  </r>
  <r>
    <n v="13"/>
    <x v="12"/>
    <x v="12"/>
    <d v="2025-04-06T00:00:00"/>
    <x v="0"/>
    <s v="CUST-1229"/>
    <s v="Customer 146"/>
    <x v="1"/>
    <x v="0"/>
    <x v="7"/>
    <x v="7"/>
    <n v="924516"/>
    <x v="4"/>
    <x v="12"/>
    <x v="2"/>
    <x v="5"/>
    <x v="12"/>
    <n v="405.19"/>
    <n v="2"/>
    <n v="0.15"/>
    <n v="48.72"/>
  </r>
  <r>
    <n v="14"/>
    <x v="13"/>
    <x v="13"/>
    <d v="2024-03-31T00:00:00"/>
    <x v="0"/>
    <s v="CUST-1107"/>
    <s v="Customer 004"/>
    <x v="2"/>
    <x v="0"/>
    <x v="3"/>
    <x v="3"/>
    <n v="193078"/>
    <x v="1"/>
    <x v="13"/>
    <x v="0"/>
    <x v="6"/>
    <x v="13"/>
    <n v="181.19"/>
    <n v="2"/>
    <n v="0.2"/>
    <n v="6.85"/>
  </r>
  <r>
    <n v="15"/>
    <x v="14"/>
    <x v="14"/>
    <d v="2025-01-12T00:00:00"/>
    <x v="0"/>
    <s v="CUST-1111"/>
    <s v="Customer 376"/>
    <x v="0"/>
    <x v="0"/>
    <x v="3"/>
    <x v="3"/>
    <n v="440414"/>
    <x v="1"/>
    <x v="14"/>
    <x v="1"/>
    <x v="8"/>
    <x v="14"/>
    <n v="97.58"/>
    <n v="2"/>
    <n v="0.1"/>
    <n v="-28.12"/>
  </r>
  <r>
    <n v="16"/>
    <x v="15"/>
    <x v="15"/>
    <d v="2024-04-11T00:00:00"/>
    <x v="2"/>
    <s v="CUST-1213"/>
    <s v="Customer 291"/>
    <x v="1"/>
    <x v="0"/>
    <x v="8"/>
    <x v="8"/>
    <n v="445280"/>
    <x v="3"/>
    <x v="15"/>
    <x v="2"/>
    <x v="5"/>
    <x v="15"/>
    <n v="175.1"/>
    <n v="1"/>
    <n v="0.1"/>
    <n v="48.21"/>
  </r>
  <r>
    <n v="17"/>
    <x v="16"/>
    <x v="16"/>
    <d v="2025-10-27T00:00:00"/>
    <x v="0"/>
    <s v="CUST-1082"/>
    <s v="Customer 125"/>
    <x v="0"/>
    <x v="0"/>
    <x v="0"/>
    <x v="0"/>
    <n v="834276"/>
    <x v="0"/>
    <x v="16"/>
    <x v="2"/>
    <x v="4"/>
    <x v="16"/>
    <n v="76.58"/>
    <n v="3"/>
    <n v="0.1"/>
    <n v="-26.13"/>
  </r>
  <r>
    <n v="18"/>
    <x v="17"/>
    <x v="17"/>
    <d v="2024-05-14T00:00:00"/>
    <x v="0"/>
    <s v="CUST-1313"/>
    <s v="Customer 094"/>
    <x v="0"/>
    <x v="0"/>
    <x v="7"/>
    <x v="7"/>
    <n v="237854"/>
    <x v="4"/>
    <x v="17"/>
    <x v="1"/>
    <x v="8"/>
    <x v="17"/>
    <n v="64.650000000000006"/>
    <n v="9"/>
    <n v="0.1"/>
    <n v="-0.38"/>
  </r>
  <r>
    <n v="19"/>
    <x v="18"/>
    <x v="18"/>
    <d v="2025-10-27T00:00:00"/>
    <x v="0"/>
    <s v="CUST-1172"/>
    <s v="Customer 391"/>
    <x v="0"/>
    <x v="0"/>
    <x v="4"/>
    <x v="4"/>
    <n v="578928"/>
    <x v="3"/>
    <x v="18"/>
    <x v="1"/>
    <x v="2"/>
    <x v="18"/>
    <n v="54.9"/>
    <n v="4"/>
    <n v="0.1"/>
    <n v="1.24"/>
  </r>
  <r>
    <n v="20"/>
    <x v="19"/>
    <x v="19"/>
    <d v="2024-11-07T00:00:00"/>
    <x v="0"/>
    <s v="CUST-1186"/>
    <s v="Customer 346"/>
    <x v="1"/>
    <x v="0"/>
    <x v="4"/>
    <x v="4"/>
    <n v="621144"/>
    <x v="3"/>
    <x v="19"/>
    <x v="2"/>
    <x v="3"/>
    <x v="19"/>
    <n v="237.91"/>
    <n v="9"/>
    <n v="0"/>
    <n v="35.409999999999997"/>
  </r>
  <r>
    <n v="21"/>
    <x v="20"/>
    <x v="20"/>
    <d v="2024-12-13T00:00:00"/>
    <x v="3"/>
    <s v="CUST-1071"/>
    <s v="Customer 263"/>
    <x v="0"/>
    <x v="0"/>
    <x v="3"/>
    <x v="3"/>
    <n v="374349"/>
    <x v="1"/>
    <x v="20"/>
    <x v="0"/>
    <x v="6"/>
    <x v="20"/>
    <n v="225.99"/>
    <n v="4"/>
    <n v="0.1"/>
    <n v="23.5"/>
  </r>
  <r>
    <n v="22"/>
    <x v="21"/>
    <x v="21"/>
    <d v="2025-05-08T00:00:00"/>
    <x v="0"/>
    <s v="CUST-1207"/>
    <s v="Customer 292"/>
    <x v="1"/>
    <x v="0"/>
    <x v="4"/>
    <x v="4"/>
    <n v="323068"/>
    <x v="3"/>
    <x v="21"/>
    <x v="0"/>
    <x v="9"/>
    <x v="21"/>
    <n v="139.58000000000001"/>
    <n v="1"/>
    <n v="0.1"/>
    <n v="-19.010000000000002"/>
  </r>
  <r>
    <n v="23"/>
    <x v="22"/>
    <x v="22"/>
    <d v="2025-02-20T00:00:00"/>
    <x v="1"/>
    <s v="CUST-1284"/>
    <s v="Customer 195"/>
    <x v="0"/>
    <x v="0"/>
    <x v="6"/>
    <x v="6"/>
    <n v="276355"/>
    <x v="2"/>
    <x v="22"/>
    <x v="0"/>
    <x v="9"/>
    <x v="22"/>
    <n v="341.69"/>
    <n v="7"/>
    <n v="0"/>
    <n v="18.21"/>
  </r>
  <r>
    <n v="24"/>
    <x v="23"/>
    <x v="23"/>
    <d v="2025-01-25T00:00:00"/>
    <x v="1"/>
    <s v="CUST-1147"/>
    <s v="Customer 281"/>
    <x v="1"/>
    <x v="0"/>
    <x v="2"/>
    <x v="2"/>
    <n v="629214"/>
    <x v="2"/>
    <x v="23"/>
    <x v="1"/>
    <x v="7"/>
    <x v="23"/>
    <n v="52.4"/>
    <n v="3"/>
    <n v="0.1"/>
    <n v="-9.3000000000000007"/>
  </r>
  <r>
    <n v="25"/>
    <x v="24"/>
    <x v="24"/>
    <d v="2024-07-13T00:00:00"/>
    <x v="1"/>
    <s v="CUST-1355"/>
    <s v="Customer 022"/>
    <x v="0"/>
    <x v="0"/>
    <x v="9"/>
    <x v="9"/>
    <n v="821827"/>
    <x v="2"/>
    <x v="24"/>
    <x v="0"/>
    <x v="0"/>
    <x v="24"/>
    <n v="609.53"/>
    <n v="2"/>
    <n v="0.05"/>
    <n v="28.8"/>
  </r>
  <r>
    <n v="26"/>
    <x v="25"/>
    <x v="25"/>
    <d v="2024-10-06T00:00:00"/>
    <x v="0"/>
    <s v="CUST-1337"/>
    <s v="Customer 005"/>
    <x v="0"/>
    <x v="0"/>
    <x v="5"/>
    <x v="5"/>
    <n v="778525"/>
    <x v="0"/>
    <x v="25"/>
    <x v="0"/>
    <x v="0"/>
    <x v="25"/>
    <n v="263.98"/>
    <n v="6"/>
    <n v="0.05"/>
    <n v="30.83"/>
  </r>
  <r>
    <n v="27"/>
    <x v="26"/>
    <x v="26"/>
    <d v="2024-06-11T00:00:00"/>
    <x v="3"/>
    <s v="CUST-1067"/>
    <s v="Customer 147"/>
    <x v="1"/>
    <x v="0"/>
    <x v="8"/>
    <x v="8"/>
    <n v="602237"/>
    <x v="3"/>
    <x v="11"/>
    <x v="0"/>
    <x v="0"/>
    <x v="26"/>
    <n v="172.22"/>
    <n v="4"/>
    <n v="0.4"/>
    <n v="-24.1"/>
  </r>
  <r>
    <n v="28"/>
    <x v="27"/>
    <x v="27"/>
    <d v="2025-04-07T00:00:00"/>
    <x v="2"/>
    <s v="CUST-1137"/>
    <s v="Customer 130"/>
    <x v="1"/>
    <x v="0"/>
    <x v="0"/>
    <x v="0"/>
    <n v="987099"/>
    <x v="0"/>
    <x v="26"/>
    <x v="0"/>
    <x v="9"/>
    <x v="27"/>
    <n v="168.57"/>
    <n v="5"/>
    <n v="0.15"/>
    <n v="22.44"/>
  </r>
  <r>
    <n v="29"/>
    <x v="28"/>
    <x v="28"/>
    <d v="2024-11-12T00:00:00"/>
    <x v="2"/>
    <s v="CUST-1326"/>
    <s v="Customer 367"/>
    <x v="1"/>
    <x v="0"/>
    <x v="5"/>
    <x v="5"/>
    <n v="813611"/>
    <x v="0"/>
    <x v="27"/>
    <x v="0"/>
    <x v="10"/>
    <x v="28"/>
    <n v="248.14"/>
    <n v="7"/>
    <n v="0.2"/>
    <n v="10.64"/>
  </r>
  <r>
    <n v="30"/>
    <x v="29"/>
    <x v="29"/>
    <d v="2024-01-25T00:00:00"/>
    <x v="2"/>
    <s v="CUST-1107"/>
    <s v="Customer 019"/>
    <x v="1"/>
    <x v="0"/>
    <x v="0"/>
    <x v="0"/>
    <n v="734151"/>
    <x v="0"/>
    <x v="28"/>
    <x v="1"/>
    <x v="1"/>
    <x v="29"/>
    <n v="171.95"/>
    <n v="1"/>
    <n v="0.2"/>
    <n v="27.97"/>
  </r>
  <r>
    <n v="31"/>
    <x v="30"/>
    <x v="30"/>
    <d v="2024-09-12T00:00:00"/>
    <x v="2"/>
    <s v="CUST-1385"/>
    <s v="Customer 316"/>
    <x v="1"/>
    <x v="0"/>
    <x v="1"/>
    <x v="1"/>
    <n v="560829"/>
    <x v="1"/>
    <x v="29"/>
    <x v="2"/>
    <x v="5"/>
    <x v="30"/>
    <n v="755.37"/>
    <n v="3"/>
    <n v="0.15"/>
    <n v="29.09"/>
  </r>
  <r>
    <n v="32"/>
    <x v="31"/>
    <x v="31"/>
    <d v="2025-07-16T00:00:00"/>
    <x v="2"/>
    <s v="CUST-1360"/>
    <s v="Customer 374"/>
    <x v="1"/>
    <x v="0"/>
    <x v="5"/>
    <x v="5"/>
    <n v="544718"/>
    <x v="0"/>
    <x v="30"/>
    <x v="1"/>
    <x v="7"/>
    <x v="31"/>
    <n v="78.569999999999993"/>
    <n v="9"/>
    <n v="0.4"/>
    <n v="-12.43"/>
  </r>
  <r>
    <n v="33"/>
    <x v="32"/>
    <x v="32"/>
    <d v="2025-04-25T00:00:00"/>
    <x v="2"/>
    <s v="CUST-1088"/>
    <s v="Customer 322"/>
    <x v="2"/>
    <x v="0"/>
    <x v="9"/>
    <x v="9"/>
    <n v="121067"/>
    <x v="2"/>
    <x v="31"/>
    <x v="1"/>
    <x v="1"/>
    <x v="32"/>
    <n v="101.75"/>
    <n v="6"/>
    <n v="0.05"/>
    <n v="-1.85"/>
  </r>
  <r>
    <n v="34"/>
    <x v="33"/>
    <x v="33"/>
    <d v="2024-03-01T00:00:00"/>
    <x v="3"/>
    <s v="CUST-1385"/>
    <s v="Customer 159"/>
    <x v="2"/>
    <x v="0"/>
    <x v="3"/>
    <x v="3"/>
    <n v="869217"/>
    <x v="1"/>
    <x v="32"/>
    <x v="2"/>
    <x v="3"/>
    <x v="8"/>
    <n v="174.49"/>
    <n v="9"/>
    <n v="0.15"/>
    <n v="61.31"/>
  </r>
  <r>
    <n v="35"/>
    <x v="34"/>
    <x v="34"/>
    <d v="2025-05-26T00:00:00"/>
    <x v="0"/>
    <s v="CUST-1356"/>
    <s v="Customer 146"/>
    <x v="1"/>
    <x v="0"/>
    <x v="6"/>
    <x v="6"/>
    <n v="776513"/>
    <x v="2"/>
    <x v="33"/>
    <x v="0"/>
    <x v="10"/>
    <x v="33"/>
    <n v="631.47"/>
    <n v="5"/>
    <n v="0.15"/>
    <n v="66.14"/>
  </r>
  <r>
    <n v="36"/>
    <x v="35"/>
    <x v="35"/>
    <d v="2025-11-15T00:00:00"/>
    <x v="2"/>
    <s v="CUST-1355"/>
    <s v="Customer 217"/>
    <x v="2"/>
    <x v="0"/>
    <x v="2"/>
    <x v="2"/>
    <n v="651852"/>
    <x v="2"/>
    <x v="23"/>
    <x v="0"/>
    <x v="10"/>
    <x v="34"/>
    <n v="293.08999999999997"/>
    <n v="6"/>
    <n v="0.1"/>
    <n v="-2.21"/>
  </r>
  <r>
    <n v="37"/>
    <x v="36"/>
    <x v="36"/>
    <d v="2025-04-23T00:00:00"/>
    <x v="0"/>
    <s v="CUST-1230"/>
    <s v="Customer 206"/>
    <x v="1"/>
    <x v="0"/>
    <x v="2"/>
    <x v="2"/>
    <n v="340011"/>
    <x v="2"/>
    <x v="34"/>
    <x v="2"/>
    <x v="3"/>
    <x v="35"/>
    <n v="197.4"/>
    <n v="6"/>
    <n v="0.2"/>
    <n v="-7.94"/>
  </r>
  <r>
    <n v="38"/>
    <x v="37"/>
    <x v="37"/>
    <d v="2025-12-03T00:00:00"/>
    <x v="2"/>
    <s v="CUST-1097"/>
    <s v="Customer 261"/>
    <x v="2"/>
    <x v="0"/>
    <x v="6"/>
    <x v="6"/>
    <n v="837651"/>
    <x v="2"/>
    <x v="35"/>
    <x v="0"/>
    <x v="0"/>
    <x v="36"/>
    <n v="250.92"/>
    <n v="7"/>
    <n v="0.3"/>
    <n v="-19.829999999999998"/>
  </r>
  <r>
    <n v="39"/>
    <x v="38"/>
    <x v="38"/>
    <d v="2024-07-12T00:00:00"/>
    <x v="1"/>
    <s v="CUST-1250"/>
    <s v="Customer 212"/>
    <x v="0"/>
    <x v="0"/>
    <x v="7"/>
    <x v="7"/>
    <n v="556324"/>
    <x v="4"/>
    <x v="36"/>
    <x v="2"/>
    <x v="5"/>
    <x v="37"/>
    <n v="165.51"/>
    <n v="1"/>
    <n v="0"/>
    <n v="30.93"/>
  </r>
  <r>
    <n v="40"/>
    <x v="39"/>
    <x v="39"/>
    <d v="2025-11-19T00:00:00"/>
    <x v="2"/>
    <s v="CUST-1246"/>
    <s v="Customer 129"/>
    <x v="0"/>
    <x v="0"/>
    <x v="1"/>
    <x v="1"/>
    <n v="697578"/>
    <x v="1"/>
    <x v="37"/>
    <x v="2"/>
    <x v="3"/>
    <x v="38"/>
    <n v="964.01"/>
    <n v="9"/>
    <n v="0.4"/>
    <n v="-85.02"/>
  </r>
  <r>
    <n v="41"/>
    <x v="40"/>
    <x v="40"/>
    <d v="2025-07-18T00:00:00"/>
    <x v="1"/>
    <s v="CUST-1193"/>
    <s v="Customer 340"/>
    <x v="1"/>
    <x v="0"/>
    <x v="0"/>
    <x v="0"/>
    <n v="169639"/>
    <x v="0"/>
    <x v="38"/>
    <x v="1"/>
    <x v="2"/>
    <x v="39"/>
    <n v="183.47"/>
    <n v="6"/>
    <n v="0.1"/>
    <n v="31.38"/>
  </r>
  <r>
    <n v="42"/>
    <x v="41"/>
    <x v="41"/>
    <d v="2025-07-23T00:00:00"/>
    <x v="2"/>
    <s v="CUST-1072"/>
    <s v="Customer 167"/>
    <x v="0"/>
    <x v="0"/>
    <x v="9"/>
    <x v="9"/>
    <n v="972437"/>
    <x v="2"/>
    <x v="39"/>
    <x v="2"/>
    <x v="4"/>
    <x v="40"/>
    <n v="605.33000000000004"/>
    <n v="3"/>
    <n v="0.05"/>
    <n v="110.37"/>
  </r>
  <r>
    <n v="43"/>
    <x v="42"/>
    <x v="42"/>
    <d v="2024-09-04T00:00:00"/>
    <x v="3"/>
    <s v="CUST-1199"/>
    <s v="Customer 298"/>
    <x v="1"/>
    <x v="0"/>
    <x v="4"/>
    <x v="4"/>
    <n v="677263"/>
    <x v="3"/>
    <x v="40"/>
    <x v="1"/>
    <x v="1"/>
    <x v="41"/>
    <n v="59.34"/>
    <n v="9"/>
    <n v="0.15"/>
    <n v="-37.67"/>
  </r>
  <r>
    <n v="44"/>
    <x v="43"/>
    <x v="43"/>
    <d v="2025-05-21T00:00:00"/>
    <x v="0"/>
    <s v="CUST-1041"/>
    <s v="Customer 011"/>
    <x v="1"/>
    <x v="0"/>
    <x v="5"/>
    <x v="5"/>
    <n v="184577"/>
    <x v="0"/>
    <x v="41"/>
    <x v="0"/>
    <x v="6"/>
    <x v="42"/>
    <n v="249.91"/>
    <n v="9"/>
    <n v="0.15"/>
    <n v="-15.73"/>
  </r>
  <r>
    <n v="45"/>
    <x v="44"/>
    <x v="17"/>
    <d v="2024-05-15T00:00:00"/>
    <x v="2"/>
    <s v="CUST-1327"/>
    <s v="Customer 052"/>
    <x v="1"/>
    <x v="0"/>
    <x v="1"/>
    <x v="1"/>
    <n v="446030"/>
    <x v="1"/>
    <x v="42"/>
    <x v="1"/>
    <x v="7"/>
    <x v="43"/>
    <n v="46.41"/>
    <n v="6"/>
    <n v="0.15"/>
    <n v="-22.46"/>
  </r>
  <r>
    <n v="46"/>
    <x v="45"/>
    <x v="44"/>
    <d v="2025-05-02T00:00:00"/>
    <x v="3"/>
    <s v="CUST-1050"/>
    <s v="Customer 117"/>
    <x v="2"/>
    <x v="0"/>
    <x v="5"/>
    <x v="5"/>
    <n v="882381"/>
    <x v="0"/>
    <x v="43"/>
    <x v="0"/>
    <x v="6"/>
    <x v="44"/>
    <n v="90.54"/>
    <n v="7"/>
    <n v="0.2"/>
    <n v="-3.72"/>
  </r>
  <r>
    <n v="47"/>
    <x v="46"/>
    <x v="45"/>
    <d v="2025-10-10T00:00:00"/>
    <x v="2"/>
    <s v="CUST-1214"/>
    <s v="Customer 279"/>
    <x v="1"/>
    <x v="0"/>
    <x v="9"/>
    <x v="9"/>
    <n v="402619"/>
    <x v="2"/>
    <x v="44"/>
    <x v="2"/>
    <x v="11"/>
    <x v="45"/>
    <n v="526.04"/>
    <n v="9"/>
    <n v="0.2"/>
    <n v="30.96"/>
  </r>
  <r>
    <n v="48"/>
    <x v="47"/>
    <x v="6"/>
    <d v="2024-01-23T00:00:00"/>
    <x v="0"/>
    <s v="CUST-1347"/>
    <s v="Customer 273"/>
    <x v="0"/>
    <x v="0"/>
    <x v="8"/>
    <x v="8"/>
    <n v="440687"/>
    <x v="3"/>
    <x v="45"/>
    <x v="1"/>
    <x v="8"/>
    <x v="46"/>
    <n v="71.099999999999994"/>
    <n v="9"/>
    <n v="0.15"/>
    <n v="-5.43"/>
  </r>
  <r>
    <n v="49"/>
    <x v="48"/>
    <x v="46"/>
    <d v="2024-06-18T00:00:00"/>
    <x v="2"/>
    <s v="CUST-1086"/>
    <s v="Customer 217"/>
    <x v="1"/>
    <x v="0"/>
    <x v="8"/>
    <x v="8"/>
    <n v="201894"/>
    <x v="3"/>
    <x v="46"/>
    <x v="2"/>
    <x v="11"/>
    <x v="47"/>
    <n v="935.99"/>
    <n v="8"/>
    <n v="0.15"/>
    <n v="109.58"/>
  </r>
  <r>
    <n v="50"/>
    <x v="49"/>
    <x v="47"/>
    <d v="2024-10-03T00:00:00"/>
    <x v="0"/>
    <s v="CUST-1307"/>
    <s v="Customer 161"/>
    <x v="2"/>
    <x v="0"/>
    <x v="1"/>
    <x v="1"/>
    <n v="892299"/>
    <x v="1"/>
    <x v="47"/>
    <x v="0"/>
    <x v="0"/>
    <x v="48"/>
    <n v="209.2"/>
    <n v="1"/>
    <n v="0.15"/>
    <n v="-24.13"/>
  </r>
  <r>
    <n v="51"/>
    <x v="50"/>
    <x v="48"/>
    <d v="2025-01-23T00:00:00"/>
    <x v="0"/>
    <s v="CUST-1188"/>
    <s v="Customer 291"/>
    <x v="2"/>
    <x v="0"/>
    <x v="3"/>
    <x v="3"/>
    <n v="576055"/>
    <x v="1"/>
    <x v="48"/>
    <x v="1"/>
    <x v="7"/>
    <x v="49"/>
    <n v="212.18"/>
    <n v="1"/>
    <n v="0.05"/>
    <n v="55.07"/>
  </r>
  <r>
    <n v="52"/>
    <x v="51"/>
    <x v="49"/>
    <d v="2025-08-25T00:00:00"/>
    <x v="3"/>
    <s v="CUST-1030"/>
    <s v="Customer 260"/>
    <x v="2"/>
    <x v="0"/>
    <x v="9"/>
    <x v="9"/>
    <n v="310448"/>
    <x v="2"/>
    <x v="49"/>
    <x v="2"/>
    <x v="11"/>
    <x v="50"/>
    <n v="125.57"/>
    <n v="9"/>
    <n v="0.05"/>
    <n v="-3.43"/>
  </r>
  <r>
    <n v="53"/>
    <x v="52"/>
    <x v="50"/>
    <d v="2024-11-15T00:00:00"/>
    <x v="2"/>
    <s v="CUST-1221"/>
    <s v="Customer 292"/>
    <x v="1"/>
    <x v="0"/>
    <x v="9"/>
    <x v="9"/>
    <n v="475897"/>
    <x v="2"/>
    <x v="50"/>
    <x v="0"/>
    <x v="0"/>
    <x v="51"/>
    <n v="86.68"/>
    <n v="7"/>
    <n v="0.1"/>
    <n v="5.07"/>
  </r>
  <r>
    <n v="54"/>
    <x v="53"/>
    <x v="51"/>
    <d v="2024-01-18T00:00:00"/>
    <x v="3"/>
    <s v="CUST-1100"/>
    <s v="Customer 095"/>
    <x v="1"/>
    <x v="0"/>
    <x v="6"/>
    <x v="6"/>
    <n v="728068"/>
    <x v="2"/>
    <x v="51"/>
    <x v="1"/>
    <x v="1"/>
    <x v="52"/>
    <n v="42.22"/>
    <n v="1"/>
    <n v="0.15"/>
    <n v="-36.35"/>
  </r>
  <r>
    <n v="55"/>
    <x v="54"/>
    <x v="52"/>
    <d v="2024-09-03T00:00:00"/>
    <x v="2"/>
    <s v="CUST-1246"/>
    <s v="Customer 029"/>
    <x v="2"/>
    <x v="0"/>
    <x v="3"/>
    <x v="3"/>
    <n v="527709"/>
    <x v="1"/>
    <x v="52"/>
    <x v="1"/>
    <x v="1"/>
    <x v="53"/>
    <n v="112.79"/>
    <n v="5"/>
    <n v="0.1"/>
    <n v="46.13"/>
  </r>
  <r>
    <n v="56"/>
    <x v="55"/>
    <x v="53"/>
    <d v="2024-12-15T00:00:00"/>
    <x v="0"/>
    <s v="CUST-1363"/>
    <s v="Customer 095"/>
    <x v="1"/>
    <x v="0"/>
    <x v="0"/>
    <x v="0"/>
    <n v="825571"/>
    <x v="0"/>
    <x v="53"/>
    <x v="1"/>
    <x v="8"/>
    <x v="54"/>
    <n v="69.319999999999993"/>
    <n v="4"/>
    <n v="0.15"/>
    <n v="0.14000000000000001"/>
  </r>
  <r>
    <n v="57"/>
    <x v="56"/>
    <x v="54"/>
    <d v="2025-07-23T00:00:00"/>
    <x v="0"/>
    <s v="CUST-1024"/>
    <s v="Customer 185"/>
    <x v="2"/>
    <x v="0"/>
    <x v="0"/>
    <x v="0"/>
    <n v="437462"/>
    <x v="0"/>
    <x v="54"/>
    <x v="2"/>
    <x v="11"/>
    <x v="55"/>
    <n v="212.84"/>
    <n v="1"/>
    <n v="0.05"/>
    <n v="28.36"/>
  </r>
  <r>
    <n v="58"/>
    <x v="57"/>
    <x v="55"/>
    <d v="2024-12-08T00:00:00"/>
    <x v="1"/>
    <s v="CUST-1149"/>
    <s v="Customer 215"/>
    <x v="2"/>
    <x v="0"/>
    <x v="4"/>
    <x v="4"/>
    <n v="187593"/>
    <x v="3"/>
    <x v="55"/>
    <x v="1"/>
    <x v="2"/>
    <x v="56"/>
    <n v="33.39"/>
    <n v="7"/>
    <n v="0.15"/>
    <n v="15.89"/>
  </r>
  <r>
    <n v="59"/>
    <x v="58"/>
    <x v="56"/>
    <d v="2024-04-03T00:00:00"/>
    <x v="0"/>
    <s v="CUST-1347"/>
    <s v="Customer 029"/>
    <x v="0"/>
    <x v="0"/>
    <x v="2"/>
    <x v="2"/>
    <n v="566978"/>
    <x v="2"/>
    <x v="56"/>
    <x v="2"/>
    <x v="5"/>
    <x v="57"/>
    <n v="888.29"/>
    <n v="7"/>
    <n v="0"/>
    <n v="106.06"/>
  </r>
  <r>
    <n v="60"/>
    <x v="59"/>
    <x v="57"/>
    <d v="2025-01-05T00:00:00"/>
    <x v="2"/>
    <s v="CUST-1174"/>
    <s v="Customer 388"/>
    <x v="0"/>
    <x v="0"/>
    <x v="8"/>
    <x v="8"/>
    <n v="227572"/>
    <x v="3"/>
    <x v="57"/>
    <x v="1"/>
    <x v="2"/>
    <x v="58"/>
    <n v="11.92"/>
    <n v="6"/>
    <n v="0.1"/>
    <n v="52.81"/>
  </r>
  <r>
    <n v="61"/>
    <x v="60"/>
    <x v="58"/>
    <d v="2025-04-01T00:00:00"/>
    <x v="1"/>
    <s v="CUST-1326"/>
    <s v="Customer 015"/>
    <x v="0"/>
    <x v="0"/>
    <x v="0"/>
    <x v="0"/>
    <n v="617733"/>
    <x v="0"/>
    <x v="58"/>
    <x v="1"/>
    <x v="7"/>
    <x v="59"/>
    <n v="91.12"/>
    <n v="7"/>
    <n v="0.05"/>
    <n v="14.1"/>
  </r>
  <r>
    <n v="62"/>
    <x v="61"/>
    <x v="59"/>
    <d v="2025-03-06T00:00:00"/>
    <x v="2"/>
    <s v="CUST-1368"/>
    <s v="Customer 306"/>
    <x v="2"/>
    <x v="0"/>
    <x v="3"/>
    <x v="3"/>
    <n v="519515"/>
    <x v="1"/>
    <x v="59"/>
    <x v="1"/>
    <x v="8"/>
    <x v="17"/>
    <n v="14.3"/>
    <n v="8"/>
    <n v="0.1"/>
    <n v="35.58"/>
  </r>
  <r>
    <n v="63"/>
    <x v="62"/>
    <x v="60"/>
    <d v="2025-05-26T00:00:00"/>
    <x v="0"/>
    <s v="CUST-1283"/>
    <s v="Customer 146"/>
    <x v="0"/>
    <x v="0"/>
    <x v="9"/>
    <x v="9"/>
    <n v="259163"/>
    <x v="2"/>
    <x v="60"/>
    <x v="1"/>
    <x v="1"/>
    <x v="60"/>
    <n v="98.44"/>
    <n v="4"/>
    <n v="0.05"/>
    <n v="18.29"/>
  </r>
  <r>
    <n v="64"/>
    <x v="63"/>
    <x v="61"/>
    <d v="2024-02-07T00:00:00"/>
    <x v="2"/>
    <s v="CUST-1067"/>
    <s v="Customer 302"/>
    <x v="2"/>
    <x v="0"/>
    <x v="0"/>
    <x v="0"/>
    <n v="252545"/>
    <x v="0"/>
    <x v="61"/>
    <x v="2"/>
    <x v="11"/>
    <x v="61"/>
    <n v="737.92"/>
    <n v="3"/>
    <n v="0.1"/>
    <n v="59.27"/>
  </r>
  <r>
    <n v="65"/>
    <x v="64"/>
    <x v="62"/>
    <d v="2024-07-26T00:00:00"/>
    <x v="1"/>
    <s v="CUST-1147"/>
    <s v="Customer 118"/>
    <x v="1"/>
    <x v="0"/>
    <x v="9"/>
    <x v="9"/>
    <n v="747534"/>
    <x v="2"/>
    <x v="62"/>
    <x v="1"/>
    <x v="7"/>
    <x v="62"/>
    <n v="44.11"/>
    <n v="6"/>
    <n v="0.1"/>
    <n v="33.869999999999997"/>
  </r>
  <r>
    <n v="66"/>
    <x v="65"/>
    <x v="63"/>
    <d v="2024-03-24T00:00:00"/>
    <x v="3"/>
    <s v="CUST-1248"/>
    <s v="Customer 203"/>
    <x v="0"/>
    <x v="0"/>
    <x v="0"/>
    <x v="0"/>
    <n v="456386"/>
    <x v="0"/>
    <x v="63"/>
    <x v="1"/>
    <x v="8"/>
    <x v="63"/>
    <n v="64.7"/>
    <n v="7"/>
    <n v="0.2"/>
    <n v="-14.3"/>
  </r>
  <r>
    <n v="67"/>
    <x v="66"/>
    <x v="64"/>
    <d v="2025-07-19T00:00:00"/>
    <x v="0"/>
    <s v="CUST-1150"/>
    <s v="Customer 275"/>
    <x v="1"/>
    <x v="0"/>
    <x v="8"/>
    <x v="8"/>
    <n v="810731"/>
    <x v="3"/>
    <x v="64"/>
    <x v="2"/>
    <x v="3"/>
    <x v="64"/>
    <n v="332.84"/>
    <n v="6"/>
    <n v="0.15"/>
    <n v="69.760000000000005"/>
  </r>
  <r>
    <n v="68"/>
    <x v="67"/>
    <x v="48"/>
    <d v="2025-01-23T00:00:00"/>
    <x v="0"/>
    <s v="CUST-1098"/>
    <s v="Customer 098"/>
    <x v="0"/>
    <x v="0"/>
    <x v="5"/>
    <x v="5"/>
    <n v="302210"/>
    <x v="0"/>
    <x v="65"/>
    <x v="1"/>
    <x v="7"/>
    <x v="31"/>
    <n v="106.13"/>
    <n v="1"/>
    <n v="0.3"/>
    <n v="13.48"/>
  </r>
  <r>
    <n v="69"/>
    <x v="68"/>
    <x v="65"/>
    <d v="2024-01-06T00:00:00"/>
    <x v="1"/>
    <s v="CUST-1045"/>
    <s v="Customer 328"/>
    <x v="0"/>
    <x v="0"/>
    <x v="0"/>
    <x v="0"/>
    <n v="333462"/>
    <x v="0"/>
    <x v="66"/>
    <x v="2"/>
    <x v="3"/>
    <x v="65"/>
    <n v="226.83"/>
    <n v="7"/>
    <n v="0.15"/>
    <n v="20.170000000000002"/>
  </r>
  <r>
    <n v="70"/>
    <x v="69"/>
    <x v="66"/>
    <d v="2025-01-26T00:00:00"/>
    <x v="3"/>
    <s v="CUST-1362"/>
    <s v="Customer 352"/>
    <x v="1"/>
    <x v="0"/>
    <x v="3"/>
    <x v="3"/>
    <n v="908524"/>
    <x v="1"/>
    <x v="67"/>
    <x v="1"/>
    <x v="8"/>
    <x v="66"/>
    <n v="68.25"/>
    <n v="8"/>
    <n v="0.1"/>
    <n v="-16.5"/>
  </r>
  <r>
    <n v="71"/>
    <x v="70"/>
    <x v="67"/>
    <d v="2025-07-21T00:00:00"/>
    <x v="2"/>
    <s v="CUST-1370"/>
    <s v="Customer 303"/>
    <x v="0"/>
    <x v="0"/>
    <x v="0"/>
    <x v="0"/>
    <n v="510281"/>
    <x v="0"/>
    <x v="68"/>
    <x v="1"/>
    <x v="2"/>
    <x v="67"/>
    <n v="38.97"/>
    <n v="1"/>
    <n v="0.1"/>
    <n v="19.190000000000001"/>
  </r>
  <r>
    <n v="72"/>
    <x v="71"/>
    <x v="68"/>
    <d v="2024-04-18T00:00:00"/>
    <x v="1"/>
    <s v="CUST-1089"/>
    <s v="Customer 296"/>
    <x v="2"/>
    <x v="0"/>
    <x v="2"/>
    <x v="2"/>
    <n v="703724"/>
    <x v="2"/>
    <x v="69"/>
    <x v="1"/>
    <x v="7"/>
    <x v="68"/>
    <n v="40.630000000000003"/>
    <n v="4"/>
    <n v="0.2"/>
    <n v="33.5"/>
  </r>
  <r>
    <n v="73"/>
    <x v="72"/>
    <x v="69"/>
    <d v="2025-04-24T00:00:00"/>
    <x v="3"/>
    <s v="CUST-1248"/>
    <s v="Customer 038"/>
    <x v="1"/>
    <x v="0"/>
    <x v="8"/>
    <x v="8"/>
    <n v="187980"/>
    <x v="3"/>
    <x v="70"/>
    <x v="2"/>
    <x v="11"/>
    <x v="69"/>
    <n v="191.42"/>
    <n v="5"/>
    <n v="0.1"/>
    <n v="34.29"/>
  </r>
  <r>
    <n v="74"/>
    <x v="73"/>
    <x v="70"/>
    <d v="2025-12-04T00:00:00"/>
    <x v="2"/>
    <s v="CUST-1240"/>
    <s v="Customer 372"/>
    <x v="2"/>
    <x v="0"/>
    <x v="3"/>
    <x v="3"/>
    <n v="663543"/>
    <x v="1"/>
    <x v="71"/>
    <x v="0"/>
    <x v="0"/>
    <x v="26"/>
    <n v="251.46"/>
    <n v="8"/>
    <n v="0"/>
    <n v="1.81"/>
  </r>
  <r>
    <n v="75"/>
    <x v="74"/>
    <x v="71"/>
    <d v="2025-02-08T00:00:00"/>
    <x v="3"/>
    <s v="CUST-1210"/>
    <s v="Customer 025"/>
    <x v="1"/>
    <x v="0"/>
    <x v="6"/>
    <x v="6"/>
    <n v="957586"/>
    <x v="2"/>
    <x v="24"/>
    <x v="0"/>
    <x v="0"/>
    <x v="70"/>
    <n v="255.32"/>
    <n v="1"/>
    <n v="0.3"/>
    <n v="12.82"/>
  </r>
  <r>
    <n v="76"/>
    <x v="75"/>
    <x v="72"/>
    <d v="2026-01-02T00:00:00"/>
    <x v="1"/>
    <s v="CUST-1380"/>
    <s v="Customer 045"/>
    <x v="1"/>
    <x v="0"/>
    <x v="3"/>
    <x v="3"/>
    <n v="331444"/>
    <x v="1"/>
    <x v="72"/>
    <x v="1"/>
    <x v="8"/>
    <x v="71"/>
    <n v="62.35"/>
    <n v="3"/>
    <n v="0.2"/>
    <n v="-5.72"/>
  </r>
  <r>
    <n v="77"/>
    <x v="76"/>
    <x v="73"/>
    <d v="2025-07-11T00:00:00"/>
    <x v="2"/>
    <s v="CUST-1380"/>
    <s v="Customer 329"/>
    <x v="0"/>
    <x v="0"/>
    <x v="2"/>
    <x v="2"/>
    <n v="917166"/>
    <x v="2"/>
    <x v="73"/>
    <x v="0"/>
    <x v="10"/>
    <x v="72"/>
    <n v="230.43"/>
    <n v="9"/>
    <n v="0.05"/>
    <n v="-13.33"/>
  </r>
  <r>
    <n v="78"/>
    <x v="77"/>
    <x v="74"/>
    <d v="2024-06-13T00:00:00"/>
    <x v="1"/>
    <s v="CUST-1307"/>
    <s v="Customer 069"/>
    <x v="0"/>
    <x v="0"/>
    <x v="5"/>
    <x v="5"/>
    <n v="690611"/>
    <x v="0"/>
    <x v="74"/>
    <x v="0"/>
    <x v="10"/>
    <x v="73"/>
    <n v="106.75"/>
    <n v="9"/>
    <n v="0.1"/>
    <n v="-19.89"/>
  </r>
  <r>
    <n v="79"/>
    <x v="78"/>
    <x v="75"/>
    <d v="2024-07-23T00:00:00"/>
    <x v="3"/>
    <s v="CUST-1365"/>
    <s v="Customer 256"/>
    <x v="2"/>
    <x v="0"/>
    <x v="8"/>
    <x v="8"/>
    <n v="866941"/>
    <x v="3"/>
    <x v="52"/>
    <x v="1"/>
    <x v="2"/>
    <x v="74"/>
    <n v="46.53"/>
    <n v="2"/>
    <n v="0.05"/>
    <n v="23.96"/>
  </r>
  <r>
    <n v="80"/>
    <x v="79"/>
    <x v="76"/>
    <d v="2024-09-30T00:00:00"/>
    <x v="2"/>
    <s v="CUST-1198"/>
    <s v="Customer 130"/>
    <x v="1"/>
    <x v="0"/>
    <x v="6"/>
    <x v="6"/>
    <n v="263639"/>
    <x v="2"/>
    <x v="75"/>
    <x v="0"/>
    <x v="6"/>
    <x v="75"/>
    <n v="833.81"/>
    <n v="5"/>
    <n v="0.1"/>
    <n v="45.88"/>
  </r>
  <r>
    <n v="81"/>
    <x v="80"/>
    <x v="2"/>
    <d v="2024-09-29T00:00:00"/>
    <x v="3"/>
    <s v="CUST-1275"/>
    <s v="Customer 236"/>
    <x v="0"/>
    <x v="0"/>
    <x v="2"/>
    <x v="2"/>
    <n v="538480"/>
    <x v="2"/>
    <x v="76"/>
    <x v="1"/>
    <x v="2"/>
    <x v="76"/>
    <n v="29.39"/>
    <n v="8"/>
    <n v="0.3"/>
    <n v="-34.4"/>
  </r>
  <r>
    <n v="82"/>
    <x v="81"/>
    <x v="77"/>
    <d v="2025-04-02T00:00:00"/>
    <x v="3"/>
    <s v="CUST-1373"/>
    <s v="Customer 340"/>
    <x v="2"/>
    <x v="0"/>
    <x v="2"/>
    <x v="2"/>
    <n v="301682"/>
    <x v="2"/>
    <x v="77"/>
    <x v="1"/>
    <x v="1"/>
    <x v="77"/>
    <n v="197.35"/>
    <n v="7"/>
    <n v="0.1"/>
    <n v="44.95"/>
  </r>
  <r>
    <n v="83"/>
    <x v="82"/>
    <x v="78"/>
    <d v="2025-04-10T00:00:00"/>
    <x v="3"/>
    <s v="CUST-1216"/>
    <s v="Customer 035"/>
    <x v="0"/>
    <x v="0"/>
    <x v="1"/>
    <x v="1"/>
    <n v="507821"/>
    <x v="1"/>
    <x v="78"/>
    <x v="1"/>
    <x v="7"/>
    <x v="43"/>
    <n v="136.44999999999999"/>
    <n v="3"/>
    <n v="0.2"/>
    <n v="10.69"/>
  </r>
  <r>
    <n v="84"/>
    <x v="83"/>
    <x v="79"/>
    <d v="2025-12-31T00:00:00"/>
    <x v="0"/>
    <s v="CUST-1219"/>
    <s v="Customer 080"/>
    <x v="0"/>
    <x v="0"/>
    <x v="8"/>
    <x v="8"/>
    <n v="101577"/>
    <x v="3"/>
    <x v="79"/>
    <x v="0"/>
    <x v="0"/>
    <x v="78"/>
    <n v="243.24"/>
    <n v="3"/>
    <n v="0.1"/>
    <n v="16.14"/>
  </r>
  <r>
    <n v="85"/>
    <x v="84"/>
    <x v="80"/>
    <d v="2024-09-12T00:00:00"/>
    <x v="3"/>
    <s v="CUST-1133"/>
    <s v="Customer 285"/>
    <x v="1"/>
    <x v="0"/>
    <x v="3"/>
    <x v="3"/>
    <n v="417336"/>
    <x v="1"/>
    <x v="64"/>
    <x v="0"/>
    <x v="9"/>
    <x v="79"/>
    <n v="286.82"/>
    <n v="7"/>
    <n v="0.05"/>
    <n v="37.43"/>
  </r>
  <r>
    <n v="86"/>
    <x v="85"/>
    <x v="81"/>
    <d v="2025-12-03T00:00:00"/>
    <x v="3"/>
    <s v="CUST-1165"/>
    <s v="Customer 189"/>
    <x v="1"/>
    <x v="0"/>
    <x v="9"/>
    <x v="9"/>
    <n v="516690"/>
    <x v="2"/>
    <x v="80"/>
    <x v="2"/>
    <x v="3"/>
    <x v="80"/>
    <n v="214.57"/>
    <n v="8"/>
    <n v="0.1"/>
    <n v="2.81"/>
  </r>
  <r>
    <n v="87"/>
    <x v="86"/>
    <x v="82"/>
    <d v="2024-10-27T00:00:00"/>
    <x v="2"/>
    <s v="CUST-1213"/>
    <s v="Customer 059"/>
    <x v="0"/>
    <x v="0"/>
    <x v="5"/>
    <x v="5"/>
    <n v="508456"/>
    <x v="0"/>
    <x v="81"/>
    <x v="2"/>
    <x v="4"/>
    <x v="81"/>
    <n v="765.03"/>
    <n v="6"/>
    <n v="0.2"/>
    <n v="57.64"/>
  </r>
  <r>
    <n v="88"/>
    <x v="87"/>
    <x v="83"/>
    <d v="2025-12-27T00:00:00"/>
    <x v="2"/>
    <s v="CUST-1006"/>
    <s v="Customer 283"/>
    <x v="2"/>
    <x v="0"/>
    <x v="9"/>
    <x v="9"/>
    <n v="675194"/>
    <x v="2"/>
    <x v="82"/>
    <x v="2"/>
    <x v="4"/>
    <x v="82"/>
    <n v="166.5"/>
    <n v="8"/>
    <n v="0.3"/>
    <n v="19.670000000000002"/>
  </r>
  <r>
    <n v="89"/>
    <x v="88"/>
    <x v="84"/>
    <d v="2025-12-22T00:00:00"/>
    <x v="2"/>
    <s v="CUST-1164"/>
    <s v="Customer 187"/>
    <x v="0"/>
    <x v="0"/>
    <x v="3"/>
    <x v="3"/>
    <n v="741232"/>
    <x v="1"/>
    <x v="83"/>
    <x v="2"/>
    <x v="11"/>
    <x v="50"/>
    <n v="436.25"/>
    <n v="7"/>
    <n v="0.15"/>
    <n v="25.46"/>
  </r>
  <r>
    <n v="90"/>
    <x v="89"/>
    <x v="85"/>
    <d v="2024-12-06T00:00:00"/>
    <x v="1"/>
    <s v="CUST-1316"/>
    <s v="Customer 095"/>
    <x v="2"/>
    <x v="0"/>
    <x v="3"/>
    <x v="3"/>
    <n v="283163"/>
    <x v="1"/>
    <x v="84"/>
    <x v="1"/>
    <x v="1"/>
    <x v="83"/>
    <n v="54.41"/>
    <n v="3"/>
    <n v="0.2"/>
    <n v="11.68"/>
  </r>
  <r>
    <n v="91"/>
    <x v="90"/>
    <x v="86"/>
    <d v="2024-02-25T00:00:00"/>
    <x v="0"/>
    <s v="CUST-1291"/>
    <s v="Customer 247"/>
    <x v="0"/>
    <x v="0"/>
    <x v="8"/>
    <x v="8"/>
    <n v="153634"/>
    <x v="3"/>
    <x v="85"/>
    <x v="1"/>
    <x v="8"/>
    <x v="84"/>
    <n v="39.659999999999997"/>
    <n v="2"/>
    <n v="0"/>
    <n v="-22.92"/>
  </r>
  <r>
    <n v="92"/>
    <x v="91"/>
    <x v="87"/>
    <d v="2024-08-06T00:00:00"/>
    <x v="0"/>
    <s v="CUST-1376"/>
    <s v="Customer 349"/>
    <x v="1"/>
    <x v="0"/>
    <x v="3"/>
    <x v="3"/>
    <n v="921190"/>
    <x v="1"/>
    <x v="86"/>
    <x v="0"/>
    <x v="9"/>
    <x v="85"/>
    <n v="207.69"/>
    <n v="9"/>
    <n v="0"/>
    <n v="26.12"/>
  </r>
  <r>
    <n v="93"/>
    <x v="92"/>
    <x v="88"/>
    <d v="2024-07-09T00:00:00"/>
    <x v="1"/>
    <s v="CUST-1339"/>
    <s v="Customer 085"/>
    <x v="2"/>
    <x v="0"/>
    <x v="1"/>
    <x v="1"/>
    <n v="752020"/>
    <x v="1"/>
    <x v="87"/>
    <x v="1"/>
    <x v="7"/>
    <x v="86"/>
    <n v="71.099999999999994"/>
    <n v="9"/>
    <n v="0.2"/>
    <n v="2.3199999999999998"/>
  </r>
  <r>
    <n v="94"/>
    <x v="93"/>
    <x v="89"/>
    <d v="2025-01-16T00:00:00"/>
    <x v="0"/>
    <s v="CUST-1131"/>
    <s v="Customer 085"/>
    <x v="0"/>
    <x v="0"/>
    <x v="6"/>
    <x v="6"/>
    <n v="330881"/>
    <x v="2"/>
    <x v="88"/>
    <x v="1"/>
    <x v="1"/>
    <x v="87"/>
    <n v="41.89"/>
    <n v="2"/>
    <n v="0.15"/>
    <n v="49.77"/>
  </r>
  <r>
    <n v="95"/>
    <x v="94"/>
    <x v="90"/>
    <d v="2025-05-10T00:00:00"/>
    <x v="1"/>
    <s v="CUST-1200"/>
    <s v="Customer 197"/>
    <x v="1"/>
    <x v="0"/>
    <x v="3"/>
    <x v="3"/>
    <n v="755032"/>
    <x v="1"/>
    <x v="89"/>
    <x v="1"/>
    <x v="1"/>
    <x v="88"/>
    <n v="58.81"/>
    <n v="7"/>
    <n v="0"/>
    <n v="27.6"/>
  </r>
  <r>
    <n v="96"/>
    <x v="95"/>
    <x v="91"/>
    <d v="2024-02-14T00:00:00"/>
    <x v="3"/>
    <s v="CUST-1365"/>
    <s v="Customer 097"/>
    <x v="1"/>
    <x v="0"/>
    <x v="9"/>
    <x v="9"/>
    <n v="651238"/>
    <x v="2"/>
    <x v="90"/>
    <x v="1"/>
    <x v="2"/>
    <x v="89"/>
    <n v="24.6"/>
    <n v="4"/>
    <n v="0.2"/>
    <n v="4.41"/>
  </r>
  <r>
    <n v="97"/>
    <x v="96"/>
    <x v="92"/>
    <d v="2024-06-09T00:00:00"/>
    <x v="1"/>
    <s v="CUST-1283"/>
    <s v="Customer 106"/>
    <x v="2"/>
    <x v="0"/>
    <x v="3"/>
    <x v="3"/>
    <n v="578646"/>
    <x v="1"/>
    <x v="91"/>
    <x v="0"/>
    <x v="9"/>
    <x v="90"/>
    <n v="110.11"/>
    <n v="8"/>
    <n v="0"/>
    <n v="-7.74"/>
  </r>
  <r>
    <n v="98"/>
    <x v="97"/>
    <x v="93"/>
    <d v="2024-01-18T00:00:00"/>
    <x v="1"/>
    <s v="CUST-1170"/>
    <s v="Customer 295"/>
    <x v="2"/>
    <x v="0"/>
    <x v="1"/>
    <x v="1"/>
    <n v="550985"/>
    <x v="1"/>
    <x v="74"/>
    <x v="0"/>
    <x v="0"/>
    <x v="0"/>
    <n v="205.29"/>
    <n v="2"/>
    <n v="0.2"/>
    <n v="-11.34"/>
  </r>
  <r>
    <n v="99"/>
    <x v="98"/>
    <x v="94"/>
    <d v="2024-03-11T00:00:00"/>
    <x v="2"/>
    <s v="CUST-1069"/>
    <s v="Customer 193"/>
    <x v="1"/>
    <x v="0"/>
    <x v="0"/>
    <x v="0"/>
    <n v="980432"/>
    <x v="0"/>
    <x v="92"/>
    <x v="2"/>
    <x v="5"/>
    <x v="37"/>
    <n v="419.14"/>
    <n v="6"/>
    <n v="0.15"/>
    <n v="31.93"/>
  </r>
  <r>
    <n v="100"/>
    <x v="99"/>
    <x v="95"/>
    <d v="2025-06-08T00:00:00"/>
    <x v="0"/>
    <s v="CUST-1327"/>
    <s v="Customer 065"/>
    <x v="1"/>
    <x v="0"/>
    <x v="0"/>
    <x v="0"/>
    <n v="952208"/>
    <x v="0"/>
    <x v="93"/>
    <x v="0"/>
    <x v="9"/>
    <x v="91"/>
    <n v="338.89"/>
    <n v="9"/>
    <n v="0.1"/>
    <n v="4.82"/>
  </r>
  <r>
    <n v="101"/>
    <x v="100"/>
    <x v="20"/>
    <d v="2024-12-12T00:00:00"/>
    <x v="0"/>
    <s v="CUST-1021"/>
    <s v="Customer 212"/>
    <x v="1"/>
    <x v="0"/>
    <x v="2"/>
    <x v="2"/>
    <n v="259132"/>
    <x v="2"/>
    <x v="94"/>
    <x v="1"/>
    <x v="7"/>
    <x v="59"/>
    <n v="93.23"/>
    <n v="7"/>
    <n v="0.1"/>
    <n v="-21.49"/>
  </r>
  <r>
    <n v="102"/>
    <x v="101"/>
    <x v="96"/>
    <d v="2024-05-14T00:00:00"/>
    <x v="0"/>
    <s v="CUST-1397"/>
    <s v="Customer 207"/>
    <x v="1"/>
    <x v="0"/>
    <x v="5"/>
    <x v="5"/>
    <n v="255063"/>
    <x v="0"/>
    <x v="46"/>
    <x v="1"/>
    <x v="8"/>
    <x v="92"/>
    <n v="59.48"/>
    <n v="2"/>
    <n v="0.2"/>
    <n v="28.29"/>
  </r>
  <r>
    <n v="103"/>
    <x v="102"/>
    <x v="97"/>
    <d v="2025-10-14T00:00:00"/>
    <x v="3"/>
    <s v="CUST-1276"/>
    <s v="Customer 016"/>
    <x v="0"/>
    <x v="0"/>
    <x v="4"/>
    <x v="4"/>
    <n v="886492"/>
    <x v="3"/>
    <x v="95"/>
    <x v="2"/>
    <x v="11"/>
    <x v="93"/>
    <n v="393.71"/>
    <n v="7"/>
    <n v="0"/>
    <n v="95.58"/>
  </r>
  <r>
    <n v="104"/>
    <x v="103"/>
    <x v="98"/>
    <d v="2025-04-20T00:00:00"/>
    <x v="3"/>
    <s v="CUST-1180"/>
    <s v="Customer 327"/>
    <x v="0"/>
    <x v="0"/>
    <x v="6"/>
    <x v="6"/>
    <n v="532941"/>
    <x v="2"/>
    <x v="96"/>
    <x v="0"/>
    <x v="0"/>
    <x v="36"/>
    <n v="221.32"/>
    <n v="1"/>
    <n v="0"/>
    <n v="55.82"/>
  </r>
  <r>
    <n v="105"/>
    <x v="104"/>
    <x v="99"/>
    <d v="2024-03-06T00:00:00"/>
    <x v="2"/>
    <s v="CUST-1325"/>
    <s v="Customer 150"/>
    <x v="2"/>
    <x v="0"/>
    <x v="7"/>
    <x v="7"/>
    <n v="214003"/>
    <x v="4"/>
    <x v="97"/>
    <x v="1"/>
    <x v="8"/>
    <x v="94"/>
    <n v="232.61"/>
    <n v="7"/>
    <n v="0.05"/>
    <n v="54.31"/>
  </r>
  <r>
    <n v="106"/>
    <x v="105"/>
    <x v="100"/>
    <d v="2024-05-20T00:00:00"/>
    <x v="3"/>
    <s v="CUST-1390"/>
    <s v="Customer 335"/>
    <x v="0"/>
    <x v="0"/>
    <x v="2"/>
    <x v="2"/>
    <n v="238009"/>
    <x v="2"/>
    <x v="98"/>
    <x v="2"/>
    <x v="5"/>
    <x v="95"/>
    <n v="822.32"/>
    <n v="5"/>
    <n v="0.1"/>
    <n v="75.3"/>
  </r>
  <r>
    <n v="107"/>
    <x v="106"/>
    <x v="101"/>
    <d v="2025-05-17T00:00:00"/>
    <x v="1"/>
    <s v="CUST-1335"/>
    <s v="Customer 087"/>
    <x v="1"/>
    <x v="0"/>
    <x v="5"/>
    <x v="5"/>
    <n v="206102"/>
    <x v="0"/>
    <x v="99"/>
    <x v="0"/>
    <x v="10"/>
    <x v="96"/>
    <n v="316.04000000000002"/>
    <n v="7"/>
    <n v="0.05"/>
    <n v="22.72"/>
  </r>
  <r>
    <n v="108"/>
    <x v="107"/>
    <x v="102"/>
    <d v="2025-08-20T00:00:00"/>
    <x v="3"/>
    <s v="CUST-1070"/>
    <s v="Customer 003"/>
    <x v="1"/>
    <x v="0"/>
    <x v="0"/>
    <x v="0"/>
    <n v="913087"/>
    <x v="0"/>
    <x v="100"/>
    <x v="1"/>
    <x v="1"/>
    <x v="97"/>
    <n v="37.24"/>
    <n v="3"/>
    <n v="0.05"/>
    <n v="17.87"/>
  </r>
  <r>
    <n v="109"/>
    <x v="108"/>
    <x v="103"/>
    <d v="2025-01-31T00:00:00"/>
    <x v="0"/>
    <s v="CUST-1070"/>
    <s v="Customer 090"/>
    <x v="1"/>
    <x v="0"/>
    <x v="9"/>
    <x v="9"/>
    <n v="485693"/>
    <x v="2"/>
    <x v="101"/>
    <x v="0"/>
    <x v="6"/>
    <x v="98"/>
    <n v="258.45"/>
    <n v="7"/>
    <n v="0.2"/>
    <n v="32.08"/>
  </r>
  <r>
    <n v="110"/>
    <x v="109"/>
    <x v="104"/>
    <d v="2025-11-08T00:00:00"/>
    <x v="2"/>
    <s v="CUST-1055"/>
    <s v="Customer 208"/>
    <x v="2"/>
    <x v="0"/>
    <x v="7"/>
    <x v="7"/>
    <n v="974527"/>
    <x v="4"/>
    <x v="102"/>
    <x v="2"/>
    <x v="3"/>
    <x v="99"/>
    <n v="472.11"/>
    <n v="1"/>
    <n v="0.2"/>
    <n v="21.78"/>
  </r>
  <r>
    <n v="111"/>
    <x v="110"/>
    <x v="105"/>
    <d v="2025-02-25T00:00:00"/>
    <x v="0"/>
    <s v="CUST-1198"/>
    <s v="Customer 013"/>
    <x v="0"/>
    <x v="0"/>
    <x v="5"/>
    <x v="5"/>
    <n v="644344"/>
    <x v="0"/>
    <x v="103"/>
    <x v="0"/>
    <x v="6"/>
    <x v="100"/>
    <n v="202.24"/>
    <n v="1"/>
    <n v="0.15"/>
    <n v="-29.07"/>
  </r>
  <r>
    <n v="112"/>
    <x v="111"/>
    <x v="106"/>
    <d v="2024-10-17T00:00:00"/>
    <x v="1"/>
    <s v="CUST-1343"/>
    <s v="Customer 366"/>
    <x v="2"/>
    <x v="0"/>
    <x v="5"/>
    <x v="5"/>
    <n v="786736"/>
    <x v="0"/>
    <x v="104"/>
    <x v="1"/>
    <x v="8"/>
    <x v="101"/>
    <n v="107.24"/>
    <n v="1"/>
    <n v="0.1"/>
    <n v="31.1"/>
  </r>
  <r>
    <n v="113"/>
    <x v="112"/>
    <x v="107"/>
    <d v="2025-01-15T00:00:00"/>
    <x v="0"/>
    <s v="CUST-1367"/>
    <s v="Customer 094"/>
    <x v="1"/>
    <x v="0"/>
    <x v="2"/>
    <x v="2"/>
    <n v="576874"/>
    <x v="2"/>
    <x v="105"/>
    <x v="0"/>
    <x v="0"/>
    <x v="102"/>
    <n v="351.45"/>
    <n v="9"/>
    <n v="0.1"/>
    <n v="4.6500000000000004"/>
  </r>
  <r>
    <n v="114"/>
    <x v="113"/>
    <x v="108"/>
    <d v="2025-05-08T00:00:00"/>
    <x v="2"/>
    <s v="CUST-1100"/>
    <s v="Customer 045"/>
    <x v="1"/>
    <x v="0"/>
    <x v="7"/>
    <x v="7"/>
    <n v="494768"/>
    <x v="4"/>
    <x v="106"/>
    <x v="2"/>
    <x v="3"/>
    <x v="103"/>
    <n v="265.58999999999997"/>
    <n v="7"/>
    <n v="0.3"/>
    <n v="-6.84"/>
  </r>
  <r>
    <n v="115"/>
    <x v="114"/>
    <x v="109"/>
    <d v="2024-08-20T00:00:00"/>
    <x v="3"/>
    <s v="CUST-1246"/>
    <s v="Customer 019"/>
    <x v="1"/>
    <x v="0"/>
    <x v="8"/>
    <x v="8"/>
    <n v="179795"/>
    <x v="3"/>
    <x v="107"/>
    <x v="0"/>
    <x v="9"/>
    <x v="104"/>
    <n v="407.95"/>
    <n v="4"/>
    <n v="0"/>
    <n v="50.95"/>
  </r>
  <r>
    <n v="116"/>
    <x v="115"/>
    <x v="91"/>
    <d v="2024-02-15T00:00:00"/>
    <x v="1"/>
    <s v="CUST-1075"/>
    <s v="Customer 177"/>
    <x v="0"/>
    <x v="0"/>
    <x v="4"/>
    <x v="4"/>
    <n v="157986"/>
    <x v="3"/>
    <x v="108"/>
    <x v="0"/>
    <x v="0"/>
    <x v="105"/>
    <n v="151.31"/>
    <n v="1"/>
    <n v="0.1"/>
    <n v="-64.180000000000007"/>
  </r>
  <r>
    <n v="117"/>
    <x v="116"/>
    <x v="110"/>
    <d v="2024-01-29T00:00:00"/>
    <x v="0"/>
    <s v="CUST-1317"/>
    <s v="Customer 129"/>
    <x v="2"/>
    <x v="0"/>
    <x v="8"/>
    <x v="8"/>
    <n v="115896"/>
    <x v="3"/>
    <x v="109"/>
    <x v="0"/>
    <x v="6"/>
    <x v="106"/>
    <n v="74.599999999999994"/>
    <n v="3"/>
    <n v="0.15"/>
    <n v="28.28"/>
  </r>
  <r>
    <n v="118"/>
    <x v="117"/>
    <x v="111"/>
    <d v="2024-05-16T00:00:00"/>
    <x v="1"/>
    <s v="CUST-1333"/>
    <s v="Customer 299"/>
    <x v="1"/>
    <x v="0"/>
    <x v="7"/>
    <x v="7"/>
    <n v="988921"/>
    <x v="4"/>
    <x v="110"/>
    <x v="1"/>
    <x v="7"/>
    <x v="107"/>
    <n v="49.39"/>
    <n v="8"/>
    <n v="0.15"/>
    <n v="37.11"/>
  </r>
  <r>
    <n v="119"/>
    <x v="118"/>
    <x v="112"/>
    <d v="2024-07-23T00:00:00"/>
    <x v="3"/>
    <s v="CUST-1001"/>
    <s v="Customer 398"/>
    <x v="1"/>
    <x v="0"/>
    <x v="8"/>
    <x v="8"/>
    <n v="564432"/>
    <x v="3"/>
    <x v="111"/>
    <x v="2"/>
    <x v="4"/>
    <x v="5"/>
    <n v="132.1"/>
    <n v="9"/>
    <n v="0.4"/>
    <n v="-10.220000000000001"/>
  </r>
  <r>
    <n v="120"/>
    <x v="119"/>
    <x v="113"/>
    <d v="2024-02-04T00:00:00"/>
    <x v="2"/>
    <s v="CUST-1303"/>
    <s v="Customer 066"/>
    <x v="1"/>
    <x v="0"/>
    <x v="1"/>
    <x v="1"/>
    <n v="319222"/>
    <x v="1"/>
    <x v="74"/>
    <x v="1"/>
    <x v="7"/>
    <x v="108"/>
    <n v="41.39"/>
    <n v="1"/>
    <n v="0.15"/>
    <n v="25.23"/>
  </r>
  <r>
    <n v="121"/>
    <x v="120"/>
    <x v="114"/>
    <d v="2024-02-21T00:00:00"/>
    <x v="3"/>
    <s v="CUST-1182"/>
    <s v="Customer 268"/>
    <x v="1"/>
    <x v="0"/>
    <x v="0"/>
    <x v="0"/>
    <n v="453791"/>
    <x v="0"/>
    <x v="112"/>
    <x v="2"/>
    <x v="5"/>
    <x v="109"/>
    <n v="393.83"/>
    <n v="1"/>
    <n v="0.05"/>
    <n v="82.56"/>
  </r>
  <r>
    <n v="122"/>
    <x v="121"/>
    <x v="115"/>
    <d v="2025-05-22T00:00:00"/>
    <x v="0"/>
    <s v="CUST-1017"/>
    <s v="Customer 012"/>
    <x v="0"/>
    <x v="0"/>
    <x v="1"/>
    <x v="1"/>
    <n v="613269"/>
    <x v="1"/>
    <x v="113"/>
    <x v="0"/>
    <x v="10"/>
    <x v="110"/>
    <n v="495.62"/>
    <n v="3"/>
    <n v="0"/>
    <n v="21.2"/>
  </r>
  <r>
    <n v="123"/>
    <x v="122"/>
    <x v="116"/>
    <d v="2025-02-14T00:00:00"/>
    <x v="1"/>
    <s v="CUST-1303"/>
    <s v="Customer 135"/>
    <x v="0"/>
    <x v="0"/>
    <x v="3"/>
    <x v="3"/>
    <n v="996068"/>
    <x v="1"/>
    <x v="114"/>
    <x v="2"/>
    <x v="11"/>
    <x v="111"/>
    <n v="1381.55"/>
    <n v="7"/>
    <n v="0.05"/>
    <n v="217.98"/>
  </r>
  <r>
    <n v="124"/>
    <x v="123"/>
    <x v="117"/>
    <d v="2025-07-30T00:00:00"/>
    <x v="1"/>
    <s v="CUST-1016"/>
    <s v="Customer 154"/>
    <x v="2"/>
    <x v="0"/>
    <x v="8"/>
    <x v="8"/>
    <n v="297780"/>
    <x v="3"/>
    <x v="115"/>
    <x v="0"/>
    <x v="10"/>
    <x v="112"/>
    <n v="307.52999999999997"/>
    <n v="3"/>
    <n v="0.15"/>
    <n v="-12.4"/>
  </r>
  <r>
    <n v="125"/>
    <x v="124"/>
    <x v="118"/>
    <d v="2025-12-30T00:00:00"/>
    <x v="0"/>
    <s v="CUST-1139"/>
    <s v="Customer 294"/>
    <x v="0"/>
    <x v="0"/>
    <x v="3"/>
    <x v="3"/>
    <n v="594829"/>
    <x v="1"/>
    <x v="116"/>
    <x v="0"/>
    <x v="0"/>
    <x v="113"/>
    <n v="240.03"/>
    <n v="8"/>
    <n v="0.1"/>
    <n v="19.22"/>
  </r>
  <r>
    <n v="126"/>
    <x v="125"/>
    <x v="119"/>
    <d v="2024-04-11T00:00:00"/>
    <x v="2"/>
    <s v="CUST-1396"/>
    <s v="Customer 354"/>
    <x v="1"/>
    <x v="0"/>
    <x v="9"/>
    <x v="9"/>
    <n v="563956"/>
    <x v="2"/>
    <x v="66"/>
    <x v="0"/>
    <x v="0"/>
    <x v="114"/>
    <n v="173.3"/>
    <n v="1"/>
    <n v="0.15"/>
    <n v="-12.85"/>
  </r>
  <r>
    <n v="127"/>
    <x v="126"/>
    <x v="120"/>
    <d v="2025-11-17T00:00:00"/>
    <x v="1"/>
    <s v="CUST-1382"/>
    <s v="Customer 140"/>
    <x v="2"/>
    <x v="0"/>
    <x v="6"/>
    <x v="6"/>
    <n v="850593"/>
    <x v="2"/>
    <x v="117"/>
    <x v="2"/>
    <x v="3"/>
    <x v="115"/>
    <n v="203.49"/>
    <n v="5"/>
    <n v="0.1"/>
    <n v="35.950000000000003"/>
  </r>
  <r>
    <n v="128"/>
    <x v="127"/>
    <x v="121"/>
    <d v="2025-12-30T00:00:00"/>
    <x v="0"/>
    <s v="CUST-1252"/>
    <s v="Customer 014"/>
    <x v="1"/>
    <x v="0"/>
    <x v="9"/>
    <x v="9"/>
    <n v="949649"/>
    <x v="2"/>
    <x v="118"/>
    <x v="1"/>
    <x v="7"/>
    <x v="116"/>
    <n v="136.04"/>
    <n v="5"/>
    <n v="0.1"/>
    <n v="31.87"/>
  </r>
  <r>
    <n v="129"/>
    <x v="128"/>
    <x v="122"/>
    <d v="2025-07-04T00:00:00"/>
    <x v="1"/>
    <s v="CUST-1043"/>
    <s v="Customer 086"/>
    <x v="1"/>
    <x v="0"/>
    <x v="7"/>
    <x v="7"/>
    <n v="640022"/>
    <x v="4"/>
    <x v="119"/>
    <x v="2"/>
    <x v="11"/>
    <x v="117"/>
    <n v="130.74"/>
    <n v="2"/>
    <n v="0.2"/>
    <n v="-13.49"/>
  </r>
  <r>
    <n v="130"/>
    <x v="129"/>
    <x v="123"/>
    <d v="2025-09-10T00:00:00"/>
    <x v="2"/>
    <s v="CUST-1069"/>
    <s v="Customer 341"/>
    <x v="2"/>
    <x v="0"/>
    <x v="5"/>
    <x v="5"/>
    <n v="261149"/>
    <x v="0"/>
    <x v="120"/>
    <x v="1"/>
    <x v="1"/>
    <x v="118"/>
    <n v="74.67"/>
    <n v="3"/>
    <n v="0"/>
    <n v="56.06"/>
  </r>
  <r>
    <n v="131"/>
    <x v="130"/>
    <x v="78"/>
    <d v="2025-04-09T00:00:00"/>
    <x v="2"/>
    <s v="CUST-1031"/>
    <s v="Customer 234"/>
    <x v="1"/>
    <x v="0"/>
    <x v="0"/>
    <x v="0"/>
    <n v="911032"/>
    <x v="0"/>
    <x v="121"/>
    <x v="1"/>
    <x v="1"/>
    <x v="83"/>
    <n v="58.24"/>
    <n v="2"/>
    <n v="0.05"/>
    <n v="24.71"/>
  </r>
  <r>
    <n v="132"/>
    <x v="131"/>
    <x v="124"/>
    <d v="2025-10-07T00:00:00"/>
    <x v="0"/>
    <s v="CUST-1083"/>
    <s v="Customer 291"/>
    <x v="0"/>
    <x v="0"/>
    <x v="8"/>
    <x v="8"/>
    <n v="123548"/>
    <x v="3"/>
    <x v="122"/>
    <x v="0"/>
    <x v="0"/>
    <x v="0"/>
    <n v="472.97"/>
    <n v="9"/>
    <n v="0.1"/>
    <n v="20.7"/>
  </r>
  <r>
    <n v="133"/>
    <x v="132"/>
    <x v="125"/>
    <d v="2024-01-08T00:00:00"/>
    <x v="1"/>
    <s v="CUST-1138"/>
    <s v="Customer 194"/>
    <x v="1"/>
    <x v="0"/>
    <x v="2"/>
    <x v="2"/>
    <n v="902009"/>
    <x v="2"/>
    <x v="23"/>
    <x v="0"/>
    <x v="0"/>
    <x v="119"/>
    <n v="392.91"/>
    <n v="8"/>
    <n v="0.1"/>
    <n v="28.4"/>
  </r>
  <r>
    <n v="134"/>
    <x v="133"/>
    <x v="126"/>
    <d v="2024-08-07T00:00:00"/>
    <x v="0"/>
    <s v="CUST-1278"/>
    <s v="Customer 251"/>
    <x v="1"/>
    <x v="0"/>
    <x v="6"/>
    <x v="6"/>
    <n v="449903"/>
    <x v="2"/>
    <x v="123"/>
    <x v="0"/>
    <x v="6"/>
    <x v="20"/>
    <n v="479.81"/>
    <n v="8"/>
    <n v="0.2"/>
    <n v="1.48"/>
  </r>
  <r>
    <n v="135"/>
    <x v="134"/>
    <x v="115"/>
    <d v="2025-05-20T00:00:00"/>
    <x v="0"/>
    <s v="CUST-1181"/>
    <s v="Customer 013"/>
    <x v="0"/>
    <x v="0"/>
    <x v="4"/>
    <x v="4"/>
    <n v="159164"/>
    <x v="3"/>
    <x v="124"/>
    <x v="2"/>
    <x v="11"/>
    <x v="120"/>
    <n v="344.96"/>
    <n v="2"/>
    <n v="0.3"/>
    <n v="-18.95"/>
  </r>
  <r>
    <n v="136"/>
    <x v="135"/>
    <x v="127"/>
    <d v="2025-02-05T00:00:00"/>
    <x v="0"/>
    <s v="CUST-1087"/>
    <s v="Customer 204"/>
    <x v="0"/>
    <x v="0"/>
    <x v="4"/>
    <x v="4"/>
    <n v="866887"/>
    <x v="3"/>
    <x v="125"/>
    <x v="0"/>
    <x v="10"/>
    <x v="121"/>
    <n v="536.01"/>
    <n v="2"/>
    <n v="0"/>
    <n v="18.14"/>
  </r>
  <r>
    <n v="137"/>
    <x v="136"/>
    <x v="128"/>
    <d v="2025-01-29T00:00:00"/>
    <x v="0"/>
    <s v="CUST-1177"/>
    <s v="Customer 143"/>
    <x v="1"/>
    <x v="0"/>
    <x v="4"/>
    <x v="4"/>
    <n v="117143"/>
    <x v="3"/>
    <x v="126"/>
    <x v="1"/>
    <x v="1"/>
    <x v="122"/>
    <n v="32.81"/>
    <n v="5"/>
    <n v="0.2"/>
    <n v="6.45"/>
  </r>
  <r>
    <n v="138"/>
    <x v="137"/>
    <x v="129"/>
    <d v="2024-07-28T00:00:00"/>
    <x v="3"/>
    <s v="CUST-1107"/>
    <s v="Customer 026"/>
    <x v="2"/>
    <x v="0"/>
    <x v="8"/>
    <x v="8"/>
    <n v="317508"/>
    <x v="3"/>
    <x v="127"/>
    <x v="0"/>
    <x v="10"/>
    <x v="123"/>
    <n v="121.43"/>
    <n v="3"/>
    <n v="0.2"/>
    <n v="-14.4"/>
  </r>
  <r>
    <n v="139"/>
    <x v="138"/>
    <x v="93"/>
    <d v="2024-01-18T00:00:00"/>
    <x v="2"/>
    <s v="CUST-1158"/>
    <s v="Customer 309"/>
    <x v="1"/>
    <x v="0"/>
    <x v="4"/>
    <x v="4"/>
    <n v="132152"/>
    <x v="3"/>
    <x v="128"/>
    <x v="2"/>
    <x v="4"/>
    <x v="124"/>
    <n v="289.86"/>
    <n v="1"/>
    <n v="0.2"/>
    <n v="5.45"/>
  </r>
  <r>
    <n v="140"/>
    <x v="139"/>
    <x v="130"/>
    <d v="2025-07-10T00:00:00"/>
    <x v="3"/>
    <s v="CUST-1196"/>
    <s v="Customer 366"/>
    <x v="1"/>
    <x v="0"/>
    <x v="1"/>
    <x v="1"/>
    <n v="970220"/>
    <x v="1"/>
    <x v="3"/>
    <x v="1"/>
    <x v="8"/>
    <x v="125"/>
    <n v="15.19"/>
    <n v="5"/>
    <n v="0.15"/>
    <n v="5.0199999999999996"/>
  </r>
  <r>
    <n v="141"/>
    <x v="140"/>
    <x v="131"/>
    <d v="2025-04-09T00:00:00"/>
    <x v="2"/>
    <s v="CUST-1306"/>
    <s v="Customer 074"/>
    <x v="0"/>
    <x v="0"/>
    <x v="6"/>
    <x v="6"/>
    <n v="729112"/>
    <x v="2"/>
    <x v="129"/>
    <x v="0"/>
    <x v="0"/>
    <x v="126"/>
    <n v="121.66"/>
    <n v="6"/>
    <n v="0.2"/>
    <n v="-30.47"/>
  </r>
  <r>
    <n v="142"/>
    <x v="141"/>
    <x v="132"/>
    <d v="2025-11-26T00:00:00"/>
    <x v="3"/>
    <s v="CUST-1335"/>
    <s v="Customer 292"/>
    <x v="2"/>
    <x v="0"/>
    <x v="1"/>
    <x v="1"/>
    <n v="612214"/>
    <x v="1"/>
    <x v="130"/>
    <x v="1"/>
    <x v="2"/>
    <x v="127"/>
    <n v="31.53"/>
    <n v="5"/>
    <n v="0.05"/>
    <n v="-9.2100000000000009"/>
  </r>
  <r>
    <n v="143"/>
    <x v="142"/>
    <x v="133"/>
    <d v="2025-07-31T00:00:00"/>
    <x v="1"/>
    <s v="CUST-1225"/>
    <s v="Customer 105"/>
    <x v="1"/>
    <x v="0"/>
    <x v="5"/>
    <x v="5"/>
    <n v="960931"/>
    <x v="0"/>
    <x v="131"/>
    <x v="0"/>
    <x v="9"/>
    <x v="128"/>
    <n v="417.04"/>
    <n v="3"/>
    <n v="0.2"/>
    <n v="9.85"/>
  </r>
  <r>
    <n v="144"/>
    <x v="143"/>
    <x v="134"/>
    <d v="2024-08-30T00:00:00"/>
    <x v="0"/>
    <s v="CUST-1000"/>
    <s v="Customer 167"/>
    <x v="1"/>
    <x v="0"/>
    <x v="6"/>
    <x v="6"/>
    <n v="419248"/>
    <x v="2"/>
    <x v="132"/>
    <x v="0"/>
    <x v="6"/>
    <x v="129"/>
    <n v="127.39"/>
    <n v="2"/>
    <n v="0"/>
    <n v="32.76"/>
  </r>
  <r>
    <n v="145"/>
    <x v="144"/>
    <x v="135"/>
    <d v="2025-07-20T00:00:00"/>
    <x v="3"/>
    <s v="CUST-1149"/>
    <s v="Customer 132"/>
    <x v="2"/>
    <x v="0"/>
    <x v="1"/>
    <x v="1"/>
    <n v="474842"/>
    <x v="1"/>
    <x v="133"/>
    <x v="2"/>
    <x v="11"/>
    <x v="130"/>
    <n v="1125.01"/>
    <n v="3"/>
    <n v="0"/>
    <n v="199.93"/>
  </r>
  <r>
    <n v="146"/>
    <x v="145"/>
    <x v="136"/>
    <d v="2024-04-07T00:00:00"/>
    <x v="3"/>
    <s v="CUST-1097"/>
    <s v="Customer 216"/>
    <x v="2"/>
    <x v="0"/>
    <x v="6"/>
    <x v="6"/>
    <n v="532601"/>
    <x v="2"/>
    <x v="134"/>
    <x v="2"/>
    <x v="5"/>
    <x v="131"/>
    <n v="358.87"/>
    <n v="2"/>
    <n v="0.2"/>
    <n v="53.96"/>
  </r>
  <r>
    <n v="147"/>
    <x v="146"/>
    <x v="44"/>
    <d v="2025-05-03T00:00:00"/>
    <x v="1"/>
    <s v="CUST-1341"/>
    <s v="Customer 114"/>
    <x v="2"/>
    <x v="0"/>
    <x v="5"/>
    <x v="5"/>
    <n v="491670"/>
    <x v="0"/>
    <x v="135"/>
    <x v="1"/>
    <x v="2"/>
    <x v="132"/>
    <n v="72.540000000000006"/>
    <n v="4"/>
    <n v="0.15"/>
    <n v="15.13"/>
  </r>
  <r>
    <n v="148"/>
    <x v="147"/>
    <x v="116"/>
    <d v="2025-02-11T00:00:00"/>
    <x v="3"/>
    <s v="CUST-1155"/>
    <s v="Customer 016"/>
    <x v="2"/>
    <x v="0"/>
    <x v="3"/>
    <x v="3"/>
    <n v="467508"/>
    <x v="1"/>
    <x v="9"/>
    <x v="2"/>
    <x v="11"/>
    <x v="133"/>
    <n v="285.43"/>
    <n v="7"/>
    <n v="0.05"/>
    <n v="48.32"/>
  </r>
  <r>
    <n v="149"/>
    <x v="148"/>
    <x v="109"/>
    <d v="2024-08-20T00:00:00"/>
    <x v="2"/>
    <s v="CUST-1018"/>
    <s v="Customer 365"/>
    <x v="0"/>
    <x v="0"/>
    <x v="8"/>
    <x v="8"/>
    <n v="193944"/>
    <x v="3"/>
    <x v="136"/>
    <x v="1"/>
    <x v="1"/>
    <x v="134"/>
    <n v="43.11"/>
    <n v="3"/>
    <n v="0.05"/>
    <n v="-8.52"/>
  </r>
  <r>
    <n v="150"/>
    <x v="149"/>
    <x v="137"/>
    <d v="2025-10-19T00:00:00"/>
    <x v="0"/>
    <s v="CUST-1357"/>
    <s v="Customer 128"/>
    <x v="0"/>
    <x v="0"/>
    <x v="8"/>
    <x v="8"/>
    <n v="386100"/>
    <x v="3"/>
    <x v="137"/>
    <x v="0"/>
    <x v="6"/>
    <x v="135"/>
    <n v="60.74"/>
    <n v="2"/>
    <n v="0"/>
    <n v="-5.86"/>
  </r>
  <r>
    <n v="151"/>
    <x v="150"/>
    <x v="138"/>
    <d v="2024-06-20T00:00:00"/>
    <x v="1"/>
    <s v="CUST-1057"/>
    <s v="Customer 185"/>
    <x v="1"/>
    <x v="0"/>
    <x v="4"/>
    <x v="4"/>
    <n v="921726"/>
    <x v="3"/>
    <x v="138"/>
    <x v="2"/>
    <x v="11"/>
    <x v="136"/>
    <n v="201.91"/>
    <n v="1"/>
    <n v="0"/>
    <n v="17.68"/>
  </r>
  <r>
    <n v="152"/>
    <x v="151"/>
    <x v="139"/>
    <d v="2025-06-26T00:00:00"/>
    <x v="2"/>
    <s v="CUST-1096"/>
    <s v="Customer 221"/>
    <x v="0"/>
    <x v="0"/>
    <x v="9"/>
    <x v="9"/>
    <n v="710224"/>
    <x v="2"/>
    <x v="139"/>
    <x v="2"/>
    <x v="11"/>
    <x v="137"/>
    <n v="108.31"/>
    <n v="6"/>
    <n v="0.15"/>
    <n v="-0.84"/>
  </r>
  <r>
    <n v="153"/>
    <x v="152"/>
    <x v="140"/>
    <d v="2024-02-10T00:00:00"/>
    <x v="2"/>
    <s v="CUST-1311"/>
    <s v="Customer 238"/>
    <x v="0"/>
    <x v="0"/>
    <x v="4"/>
    <x v="4"/>
    <n v="907827"/>
    <x v="3"/>
    <x v="140"/>
    <x v="2"/>
    <x v="5"/>
    <x v="138"/>
    <n v="364.55"/>
    <n v="6"/>
    <n v="0.15"/>
    <n v="30.5"/>
  </r>
  <r>
    <n v="154"/>
    <x v="153"/>
    <x v="141"/>
    <d v="2025-06-10T00:00:00"/>
    <x v="2"/>
    <s v="CUST-1352"/>
    <s v="Customer 193"/>
    <x v="2"/>
    <x v="0"/>
    <x v="7"/>
    <x v="7"/>
    <n v="248866"/>
    <x v="4"/>
    <x v="141"/>
    <x v="1"/>
    <x v="1"/>
    <x v="139"/>
    <n v="93.73"/>
    <n v="5"/>
    <n v="0.1"/>
    <n v="-15.54"/>
  </r>
  <r>
    <n v="155"/>
    <x v="154"/>
    <x v="142"/>
    <d v="2024-06-09T00:00:00"/>
    <x v="2"/>
    <s v="CUST-1171"/>
    <s v="Customer 109"/>
    <x v="1"/>
    <x v="0"/>
    <x v="1"/>
    <x v="1"/>
    <n v="351063"/>
    <x v="1"/>
    <x v="132"/>
    <x v="0"/>
    <x v="6"/>
    <x v="140"/>
    <n v="659.94"/>
    <n v="9"/>
    <n v="0.1"/>
    <n v="26.66"/>
  </r>
  <r>
    <n v="156"/>
    <x v="155"/>
    <x v="143"/>
    <d v="2025-12-02T00:00:00"/>
    <x v="3"/>
    <s v="CUST-1210"/>
    <s v="Customer 391"/>
    <x v="1"/>
    <x v="0"/>
    <x v="6"/>
    <x v="6"/>
    <n v="403806"/>
    <x v="2"/>
    <x v="142"/>
    <x v="0"/>
    <x v="0"/>
    <x v="141"/>
    <n v="130.72999999999999"/>
    <n v="3"/>
    <n v="0.2"/>
    <n v="-31.61"/>
  </r>
  <r>
    <n v="157"/>
    <x v="156"/>
    <x v="144"/>
    <d v="2024-09-01T00:00:00"/>
    <x v="0"/>
    <s v="CUST-1372"/>
    <s v="Customer 246"/>
    <x v="0"/>
    <x v="0"/>
    <x v="9"/>
    <x v="9"/>
    <n v="714342"/>
    <x v="2"/>
    <x v="143"/>
    <x v="0"/>
    <x v="6"/>
    <x v="142"/>
    <n v="770.52"/>
    <n v="4"/>
    <n v="0.2"/>
    <n v="8.74"/>
  </r>
  <r>
    <n v="158"/>
    <x v="157"/>
    <x v="145"/>
    <d v="2024-03-28T00:00:00"/>
    <x v="3"/>
    <s v="CUST-1151"/>
    <s v="Customer 014"/>
    <x v="2"/>
    <x v="0"/>
    <x v="5"/>
    <x v="5"/>
    <n v="230193"/>
    <x v="0"/>
    <x v="144"/>
    <x v="2"/>
    <x v="11"/>
    <x v="143"/>
    <n v="348.74"/>
    <n v="8"/>
    <n v="0.15"/>
    <n v="56.49"/>
  </r>
  <r>
    <n v="159"/>
    <x v="158"/>
    <x v="146"/>
    <d v="2025-08-03T00:00:00"/>
    <x v="3"/>
    <s v="CUST-1287"/>
    <s v="Customer 252"/>
    <x v="2"/>
    <x v="0"/>
    <x v="7"/>
    <x v="7"/>
    <n v="278446"/>
    <x v="4"/>
    <x v="145"/>
    <x v="0"/>
    <x v="10"/>
    <x v="144"/>
    <n v="507.72"/>
    <n v="2"/>
    <n v="0.05"/>
    <n v="26.64"/>
  </r>
  <r>
    <n v="160"/>
    <x v="159"/>
    <x v="35"/>
    <d v="2025-11-16T00:00:00"/>
    <x v="0"/>
    <s v="CUST-1046"/>
    <s v="Customer 379"/>
    <x v="0"/>
    <x v="0"/>
    <x v="5"/>
    <x v="5"/>
    <n v="555775"/>
    <x v="0"/>
    <x v="146"/>
    <x v="2"/>
    <x v="3"/>
    <x v="145"/>
    <n v="795.83"/>
    <n v="3"/>
    <n v="0.05"/>
    <n v="80.540000000000006"/>
  </r>
  <r>
    <n v="161"/>
    <x v="160"/>
    <x v="147"/>
    <d v="2025-07-13T00:00:00"/>
    <x v="3"/>
    <s v="CUST-1253"/>
    <s v="Customer 162"/>
    <x v="0"/>
    <x v="0"/>
    <x v="8"/>
    <x v="8"/>
    <n v="514627"/>
    <x v="3"/>
    <x v="147"/>
    <x v="1"/>
    <x v="8"/>
    <x v="146"/>
    <n v="139.63999999999999"/>
    <n v="2"/>
    <n v="0.1"/>
    <n v="26.33"/>
  </r>
  <r>
    <n v="162"/>
    <x v="161"/>
    <x v="117"/>
    <d v="2025-08-01T00:00:00"/>
    <x v="1"/>
    <s v="CUST-1397"/>
    <s v="Customer 220"/>
    <x v="1"/>
    <x v="0"/>
    <x v="8"/>
    <x v="8"/>
    <n v="305827"/>
    <x v="3"/>
    <x v="148"/>
    <x v="0"/>
    <x v="6"/>
    <x v="147"/>
    <n v="171.74"/>
    <n v="9"/>
    <n v="0.4"/>
    <n v="-5.23"/>
  </r>
  <r>
    <n v="163"/>
    <x v="162"/>
    <x v="148"/>
    <d v="2025-10-09T00:00:00"/>
    <x v="3"/>
    <s v="CUST-1067"/>
    <s v="Customer 088"/>
    <x v="2"/>
    <x v="0"/>
    <x v="4"/>
    <x v="4"/>
    <n v="966304"/>
    <x v="3"/>
    <x v="68"/>
    <x v="0"/>
    <x v="10"/>
    <x v="148"/>
    <n v="154.52000000000001"/>
    <n v="9"/>
    <n v="0.05"/>
    <n v="-6.3"/>
  </r>
  <r>
    <n v="164"/>
    <x v="163"/>
    <x v="110"/>
    <d v="2024-01-31T00:00:00"/>
    <x v="2"/>
    <s v="CUST-1121"/>
    <s v="Customer 017"/>
    <x v="0"/>
    <x v="0"/>
    <x v="1"/>
    <x v="1"/>
    <n v="657373"/>
    <x v="1"/>
    <x v="149"/>
    <x v="0"/>
    <x v="6"/>
    <x v="149"/>
    <n v="232.52"/>
    <n v="5"/>
    <n v="0.2"/>
    <n v="39.869999999999997"/>
  </r>
  <r>
    <n v="165"/>
    <x v="164"/>
    <x v="149"/>
    <d v="2025-09-17T00:00:00"/>
    <x v="3"/>
    <s v="CUST-1381"/>
    <s v="Customer 044"/>
    <x v="0"/>
    <x v="0"/>
    <x v="9"/>
    <x v="9"/>
    <n v="445165"/>
    <x v="2"/>
    <x v="150"/>
    <x v="0"/>
    <x v="6"/>
    <x v="150"/>
    <n v="187.01"/>
    <n v="7"/>
    <n v="0.15"/>
    <n v="5.09"/>
  </r>
  <r>
    <n v="166"/>
    <x v="165"/>
    <x v="73"/>
    <d v="2025-07-11T00:00:00"/>
    <x v="1"/>
    <s v="CUST-1331"/>
    <s v="Customer 093"/>
    <x v="2"/>
    <x v="0"/>
    <x v="0"/>
    <x v="0"/>
    <n v="605350"/>
    <x v="0"/>
    <x v="151"/>
    <x v="1"/>
    <x v="1"/>
    <x v="151"/>
    <n v="103.38"/>
    <n v="2"/>
    <n v="0.2"/>
    <n v="2.95"/>
  </r>
  <r>
    <n v="167"/>
    <x v="166"/>
    <x v="55"/>
    <d v="2024-12-09T00:00:00"/>
    <x v="1"/>
    <s v="CUST-1218"/>
    <s v="Customer 205"/>
    <x v="0"/>
    <x v="0"/>
    <x v="7"/>
    <x v="7"/>
    <n v="784308"/>
    <x v="4"/>
    <x v="152"/>
    <x v="0"/>
    <x v="10"/>
    <x v="152"/>
    <n v="115.41"/>
    <n v="7"/>
    <n v="0.2"/>
    <n v="23.35"/>
  </r>
  <r>
    <n v="168"/>
    <x v="167"/>
    <x v="11"/>
    <d v="2024-11-28T00:00:00"/>
    <x v="3"/>
    <s v="CUST-1055"/>
    <s v="Customer 108"/>
    <x v="2"/>
    <x v="0"/>
    <x v="7"/>
    <x v="7"/>
    <n v="701383"/>
    <x v="4"/>
    <x v="153"/>
    <x v="2"/>
    <x v="11"/>
    <x v="153"/>
    <n v="232.39"/>
    <n v="3"/>
    <n v="0"/>
    <n v="55.48"/>
  </r>
  <r>
    <n v="169"/>
    <x v="168"/>
    <x v="150"/>
    <d v="2025-10-05T00:00:00"/>
    <x v="1"/>
    <s v="CUST-1076"/>
    <s v="Customer 180"/>
    <x v="1"/>
    <x v="0"/>
    <x v="4"/>
    <x v="4"/>
    <n v="244179"/>
    <x v="3"/>
    <x v="154"/>
    <x v="1"/>
    <x v="8"/>
    <x v="154"/>
    <n v="38.44"/>
    <n v="6"/>
    <n v="0"/>
    <n v="35.119999999999997"/>
  </r>
  <r>
    <n v="170"/>
    <x v="169"/>
    <x v="151"/>
    <d v="2025-05-23T00:00:00"/>
    <x v="2"/>
    <s v="CUST-1068"/>
    <s v="Customer 084"/>
    <x v="0"/>
    <x v="0"/>
    <x v="8"/>
    <x v="8"/>
    <n v="373958"/>
    <x v="3"/>
    <x v="155"/>
    <x v="2"/>
    <x v="5"/>
    <x v="155"/>
    <n v="643.57000000000005"/>
    <n v="6"/>
    <n v="0.1"/>
    <n v="52.85"/>
  </r>
  <r>
    <n v="171"/>
    <x v="170"/>
    <x v="152"/>
    <d v="2024-12-16T00:00:00"/>
    <x v="0"/>
    <s v="CUST-1335"/>
    <s v="Customer 128"/>
    <x v="2"/>
    <x v="0"/>
    <x v="4"/>
    <x v="4"/>
    <n v="629954"/>
    <x v="3"/>
    <x v="124"/>
    <x v="2"/>
    <x v="4"/>
    <x v="156"/>
    <n v="734.46"/>
    <n v="5"/>
    <n v="0.15"/>
    <n v="119.39"/>
  </r>
  <r>
    <n v="172"/>
    <x v="171"/>
    <x v="153"/>
    <d v="2025-04-20T00:00:00"/>
    <x v="3"/>
    <s v="CUST-1074"/>
    <s v="Customer 237"/>
    <x v="0"/>
    <x v="0"/>
    <x v="6"/>
    <x v="6"/>
    <n v="349836"/>
    <x v="2"/>
    <x v="156"/>
    <x v="1"/>
    <x v="8"/>
    <x v="71"/>
    <n v="90.17"/>
    <n v="7"/>
    <n v="0.2"/>
    <n v="-25.68"/>
  </r>
  <r>
    <n v="173"/>
    <x v="172"/>
    <x v="109"/>
    <d v="2024-08-20T00:00:00"/>
    <x v="1"/>
    <s v="CUST-1044"/>
    <s v="Customer 395"/>
    <x v="1"/>
    <x v="0"/>
    <x v="9"/>
    <x v="9"/>
    <n v="534044"/>
    <x v="2"/>
    <x v="0"/>
    <x v="1"/>
    <x v="1"/>
    <x v="157"/>
    <n v="37.79"/>
    <n v="4"/>
    <n v="0.15"/>
    <n v="-17.440000000000001"/>
  </r>
  <r>
    <n v="174"/>
    <x v="173"/>
    <x v="38"/>
    <d v="2024-07-09T00:00:00"/>
    <x v="2"/>
    <s v="CUST-1164"/>
    <s v="Customer 049"/>
    <x v="2"/>
    <x v="0"/>
    <x v="1"/>
    <x v="1"/>
    <n v="578997"/>
    <x v="1"/>
    <x v="157"/>
    <x v="1"/>
    <x v="8"/>
    <x v="158"/>
    <n v="94.46"/>
    <n v="2"/>
    <n v="0.15"/>
    <n v="29.11"/>
  </r>
  <r>
    <n v="175"/>
    <x v="174"/>
    <x v="154"/>
    <d v="2024-08-14T00:00:00"/>
    <x v="0"/>
    <s v="CUST-1078"/>
    <s v="Customer 170"/>
    <x v="0"/>
    <x v="0"/>
    <x v="3"/>
    <x v="3"/>
    <n v="211915"/>
    <x v="1"/>
    <x v="158"/>
    <x v="0"/>
    <x v="6"/>
    <x v="140"/>
    <n v="142.1"/>
    <n v="2"/>
    <n v="0.15"/>
    <n v="9.49"/>
  </r>
  <r>
    <n v="176"/>
    <x v="175"/>
    <x v="155"/>
    <d v="2025-01-22T00:00:00"/>
    <x v="2"/>
    <s v="CUST-1314"/>
    <s v="Customer 325"/>
    <x v="0"/>
    <x v="0"/>
    <x v="2"/>
    <x v="2"/>
    <n v="637691"/>
    <x v="2"/>
    <x v="159"/>
    <x v="0"/>
    <x v="9"/>
    <x v="159"/>
    <n v="174.72"/>
    <n v="6"/>
    <n v="0.15"/>
    <n v="70.59"/>
  </r>
  <r>
    <n v="177"/>
    <x v="176"/>
    <x v="156"/>
    <d v="2025-01-13T00:00:00"/>
    <x v="3"/>
    <s v="CUST-1046"/>
    <s v="Customer 053"/>
    <x v="0"/>
    <x v="0"/>
    <x v="2"/>
    <x v="2"/>
    <n v="307397"/>
    <x v="2"/>
    <x v="160"/>
    <x v="2"/>
    <x v="11"/>
    <x v="160"/>
    <n v="142.81"/>
    <n v="8"/>
    <n v="0.15"/>
    <n v="37.840000000000003"/>
  </r>
  <r>
    <n v="178"/>
    <x v="177"/>
    <x v="157"/>
    <d v="2024-10-12T00:00:00"/>
    <x v="2"/>
    <s v="CUST-1348"/>
    <s v="Customer 182"/>
    <x v="2"/>
    <x v="0"/>
    <x v="4"/>
    <x v="4"/>
    <n v="920217"/>
    <x v="3"/>
    <x v="161"/>
    <x v="2"/>
    <x v="11"/>
    <x v="161"/>
    <n v="339.44"/>
    <n v="2"/>
    <n v="0.15"/>
    <n v="38.31"/>
  </r>
  <r>
    <n v="179"/>
    <x v="178"/>
    <x v="158"/>
    <d v="2025-09-30T00:00:00"/>
    <x v="3"/>
    <s v="CUST-1020"/>
    <s v="Customer 039"/>
    <x v="0"/>
    <x v="0"/>
    <x v="6"/>
    <x v="6"/>
    <n v="641797"/>
    <x v="2"/>
    <x v="162"/>
    <x v="1"/>
    <x v="7"/>
    <x v="62"/>
    <n v="108.48"/>
    <n v="3"/>
    <n v="0.2"/>
    <n v="40.51"/>
  </r>
  <r>
    <n v="180"/>
    <x v="179"/>
    <x v="159"/>
    <d v="2025-09-21T00:00:00"/>
    <x v="3"/>
    <s v="CUST-1102"/>
    <s v="Customer 385"/>
    <x v="2"/>
    <x v="0"/>
    <x v="9"/>
    <x v="9"/>
    <n v="467658"/>
    <x v="2"/>
    <x v="140"/>
    <x v="0"/>
    <x v="6"/>
    <x v="147"/>
    <n v="301.98"/>
    <n v="4"/>
    <n v="0.2"/>
    <n v="26.8"/>
  </r>
  <r>
    <n v="181"/>
    <x v="180"/>
    <x v="160"/>
    <d v="2024-09-18T00:00:00"/>
    <x v="0"/>
    <s v="CUST-1188"/>
    <s v="Customer 010"/>
    <x v="1"/>
    <x v="0"/>
    <x v="0"/>
    <x v="0"/>
    <n v="656107"/>
    <x v="0"/>
    <x v="163"/>
    <x v="1"/>
    <x v="2"/>
    <x v="162"/>
    <n v="174.92"/>
    <n v="3"/>
    <n v="0.3"/>
    <n v="11.2"/>
  </r>
  <r>
    <n v="182"/>
    <x v="181"/>
    <x v="161"/>
    <d v="2024-12-28T00:00:00"/>
    <x v="3"/>
    <s v="CUST-1235"/>
    <s v="Customer 026"/>
    <x v="2"/>
    <x v="0"/>
    <x v="2"/>
    <x v="2"/>
    <n v="130461"/>
    <x v="2"/>
    <x v="164"/>
    <x v="1"/>
    <x v="1"/>
    <x v="163"/>
    <n v="157.16999999999999"/>
    <n v="6"/>
    <n v="0.2"/>
    <n v="24.26"/>
  </r>
  <r>
    <n v="183"/>
    <x v="182"/>
    <x v="162"/>
    <d v="2025-12-16T00:00:00"/>
    <x v="3"/>
    <s v="CUST-1148"/>
    <s v="Customer 322"/>
    <x v="1"/>
    <x v="0"/>
    <x v="9"/>
    <x v="9"/>
    <n v="143162"/>
    <x v="2"/>
    <x v="165"/>
    <x v="2"/>
    <x v="4"/>
    <x v="5"/>
    <n v="462.6"/>
    <n v="5"/>
    <n v="0.4"/>
    <n v="-45.67"/>
  </r>
  <r>
    <n v="184"/>
    <x v="183"/>
    <x v="77"/>
    <d v="2025-04-02T00:00:00"/>
    <x v="3"/>
    <s v="CUST-1340"/>
    <s v="Customer 248"/>
    <x v="1"/>
    <x v="0"/>
    <x v="1"/>
    <x v="1"/>
    <n v="275405"/>
    <x v="1"/>
    <x v="166"/>
    <x v="0"/>
    <x v="0"/>
    <x v="164"/>
    <n v="269.26"/>
    <n v="6"/>
    <n v="0.05"/>
    <n v="-17.25"/>
  </r>
  <r>
    <n v="185"/>
    <x v="184"/>
    <x v="163"/>
    <d v="2025-02-16T00:00:00"/>
    <x v="2"/>
    <s v="CUST-1364"/>
    <s v="Customer 374"/>
    <x v="2"/>
    <x v="0"/>
    <x v="5"/>
    <x v="5"/>
    <n v="605173"/>
    <x v="0"/>
    <x v="167"/>
    <x v="1"/>
    <x v="7"/>
    <x v="165"/>
    <n v="91.13"/>
    <n v="9"/>
    <n v="0.15"/>
    <n v="0.91"/>
  </r>
  <r>
    <n v="186"/>
    <x v="185"/>
    <x v="164"/>
    <d v="2025-10-12T00:00:00"/>
    <x v="1"/>
    <s v="CUST-1224"/>
    <s v="Customer 073"/>
    <x v="2"/>
    <x v="0"/>
    <x v="6"/>
    <x v="6"/>
    <n v="766110"/>
    <x v="2"/>
    <x v="168"/>
    <x v="2"/>
    <x v="4"/>
    <x v="166"/>
    <n v="366.83"/>
    <n v="8"/>
    <n v="0.05"/>
    <n v="21.97"/>
  </r>
  <r>
    <n v="187"/>
    <x v="186"/>
    <x v="165"/>
    <d v="2024-11-17T00:00:00"/>
    <x v="0"/>
    <s v="CUST-1134"/>
    <s v="Customer 042"/>
    <x v="2"/>
    <x v="0"/>
    <x v="8"/>
    <x v="8"/>
    <n v="673722"/>
    <x v="3"/>
    <x v="169"/>
    <x v="1"/>
    <x v="1"/>
    <x v="167"/>
    <n v="126.61"/>
    <n v="3"/>
    <n v="0.2"/>
    <n v="-3.64"/>
  </r>
  <r>
    <n v="188"/>
    <x v="187"/>
    <x v="166"/>
    <d v="2025-11-10T00:00:00"/>
    <x v="1"/>
    <s v="CUST-1181"/>
    <s v="Customer 125"/>
    <x v="0"/>
    <x v="0"/>
    <x v="9"/>
    <x v="9"/>
    <n v="982693"/>
    <x v="2"/>
    <x v="170"/>
    <x v="0"/>
    <x v="0"/>
    <x v="168"/>
    <n v="330.84"/>
    <n v="9"/>
    <n v="0"/>
    <n v="70.36"/>
  </r>
  <r>
    <n v="189"/>
    <x v="188"/>
    <x v="154"/>
    <d v="2024-08-13T00:00:00"/>
    <x v="1"/>
    <s v="CUST-1102"/>
    <s v="Customer 024"/>
    <x v="2"/>
    <x v="0"/>
    <x v="1"/>
    <x v="1"/>
    <n v="636512"/>
    <x v="1"/>
    <x v="171"/>
    <x v="2"/>
    <x v="3"/>
    <x v="169"/>
    <n v="554.24"/>
    <n v="5"/>
    <n v="0.2"/>
    <n v="52.19"/>
  </r>
  <r>
    <n v="190"/>
    <x v="189"/>
    <x v="167"/>
    <d v="2024-08-24T00:00:00"/>
    <x v="1"/>
    <s v="CUST-1332"/>
    <s v="Customer 024"/>
    <x v="0"/>
    <x v="0"/>
    <x v="0"/>
    <x v="0"/>
    <n v="105577"/>
    <x v="0"/>
    <x v="172"/>
    <x v="0"/>
    <x v="9"/>
    <x v="91"/>
    <n v="336.98"/>
    <n v="4"/>
    <n v="0.05"/>
    <n v="45.06"/>
  </r>
  <r>
    <n v="191"/>
    <x v="190"/>
    <x v="120"/>
    <d v="2025-11-18T00:00:00"/>
    <x v="3"/>
    <s v="CUST-1192"/>
    <s v="Customer 335"/>
    <x v="1"/>
    <x v="0"/>
    <x v="3"/>
    <x v="3"/>
    <n v="685842"/>
    <x v="1"/>
    <x v="173"/>
    <x v="1"/>
    <x v="7"/>
    <x v="170"/>
    <n v="35.81"/>
    <n v="4"/>
    <n v="0.05"/>
    <n v="22.35"/>
  </r>
  <r>
    <n v="192"/>
    <x v="191"/>
    <x v="16"/>
    <d v="2025-10-27T00:00:00"/>
    <x v="2"/>
    <s v="CUST-1078"/>
    <s v="Customer 002"/>
    <x v="2"/>
    <x v="0"/>
    <x v="8"/>
    <x v="8"/>
    <n v="777758"/>
    <x v="3"/>
    <x v="174"/>
    <x v="2"/>
    <x v="4"/>
    <x v="171"/>
    <n v="118.57"/>
    <n v="3"/>
    <n v="0.3"/>
    <n v="-7.88"/>
  </r>
  <r>
    <n v="193"/>
    <x v="192"/>
    <x v="168"/>
    <d v="2025-01-10T00:00:00"/>
    <x v="2"/>
    <s v="CUST-1034"/>
    <s v="Customer 112"/>
    <x v="1"/>
    <x v="0"/>
    <x v="3"/>
    <x v="3"/>
    <n v="396952"/>
    <x v="1"/>
    <x v="64"/>
    <x v="1"/>
    <x v="7"/>
    <x v="172"/>
    <n v="122.68"/>
    <n v="4"/>
    <n v="0.2"/>
    <n v="6.85"/>
  </r>
  <r>
    <n v="194"/>
    <x v="193"/>
    <x v="169"/>
    <d v="2025-11-05T00:00:00"/>
    <x v="2"/>
    <s v="CUST-1356"/>
    <s v="Customer 181"/>
    <x v="2"/>
    <x v="0"/>
    <x v="0"/>
    <x v="0"/>
    <n v="697457"/>
    <x v="0"/>
    <x v="175"/>
    <x v="2"/>
    <x v="11"/>
    <x v="173"/>
    <n v="266.83"/>
    <n v="3"/>
    <n v="0.05"/>
    <n v="43.96"/>
  </r>
  <r>
    <n v="195"/>
    <x v="194"/>
    <x v="170"/>
    <d v="2025-09-02T00:00:00"/>
    <x v="3"/>
    <s v="CUST-1284"/>
    <s v="Customer 310"/>
    <x v="1"/>
    <x v="0"/>
    <x v="1"/>
    <x v="1"/>
    <n v="101620"/>
    <x v="1"/>
    <x v="26"/>
    <x v="1"/>
    <x v="1"/>
    <x v="174"/>
    <n v="288.39999999999998"/>
    <n v="2"/>
    <n v="0.2"/>
    <n v="30.57"/>
  </r>
  <r>
    <n v="196"/>
    <x v="195"/>
    <x v="98"/>
    <d v="2025-04-22T00:00:00"/>
    <x v="3"/>
    <s v="CUST-1358"/>
    <s v="Customer 002"/>
    <x v="0"/>
    <x v="0"/>
    <x v="2"/>
    <x v="2"/>
    <n v="880498"/>
    <x v="2"/>
    <x v="176"/>
    <x v="1"/>
    <x v="7"/>
    <x v="175"/>
    <n v="110.78"/>
    <n v="3"/>
    <n v="0.2"/>
    <n v="-14.21"/>
  </r>
  <r>
    <n v="197"/>
    <x v="196"/>
    <x v="171"/>
    <d v="2024-08-22T00:00:00"/>
    <x v="1"/>
    <s v="CUST-1105"/>
    <s v="Customer 032"/>
    <x v="1"/>
    <x v="0"/>
    <x v="3"/>
    <x v="3"/>
    <n v="389962"/>
    <x v="1"/>
    <x v="177"/>
    <x v="0"/>
    <x v="10"/>
    <x v="176"/>
    <n v="111.89"/>
    <n v="4"/>
    <n v="0.15"/>
    <n v="51.71"/>
  </r>
  <r>
    <n v="198"/>
    <x v="197"/>
    <x v="172"/>
    <d v="2025-11-24T00:00:00"/>
    <x v="1"/>
    <s v="CUST-1380"/>
    <s v="Customer 114"/>
    <x v="1"/>
    <x v="0"/>
    <x v="8"/>
    <x v="8"/>
    <n v="776760"/>
    <x v="3"/>
    <x v="178"/>
    <x v="0"/>
    <x v="9"/>
    <x v="177"/>
    <n v="161.13999999999999"/>
    <n v="9"/>
    <n v="0.3"/>
    <n v="48.47"/>
  </r>
  <r>
    <n v="199"/>
    <x v="198"/>
    <x v="173"/>
    <d v="2024-04-24T00:00:00"/>
    <x v="0"/>
    <s v="CUST-1386"/>
    <s v="Customer 114"/>
    <x v="1"/>
    <x v="0"/>
    <x v="4"/>
    <x v="4"/>
    <n v="670217"/>
    <x v="3"/>
    <x v="179"/>
    <x v="1"/>
    <x v="7"/>
    <x v="178"/>
    <n v="41.61"/>
    <n v="4"/>
    <n v="0.2"/>
    <n v="11.92"/>
  </r>
  <r>
    <n v="200"/>
    <x v="199"/>
    <x v="174"/>
    <d v="2025-05-13T00:00:00"/>
    <x v="2"/>
    <s v="CUST-1299"/>
    <s v="Customer 098"/>
    <x v="2"/>
    <x v="0"/>
    <x v="7"/>
    <x v="7"/>
    <n v="115733"/>
    <x v="4"/>
    <x v="180"/>
    <x v="0"/>
    <x v="0"/>
    <x v="179"/>
    <n v="199.19"/>
    <n v="2"/>
    <n v="0.2"/>
    <n v="-18.739999999999998"/>
  </r>
  <r>
    <n v="201"/>
    <x v="200"/>
    <x v="175"/>
    <d v="2025-03-19T00:00:00"/>
    <x v="1"/>
    <s v="CUST-1130"/>
    <s v="Customer 185"/>
    <x v="2"/>
    <x v="0"/>
    <x v="9"/>
    <x v="9"/>
    <n v="177597"/>
    <x v="2"/>
    <x v="181"/>
    <x v="1"/>
    <x v="1"/>
    <x v="180"/>
    <n v="83.92"/>
    <n v="9"/>
    <n v="0.15"/>
    <n v="4.74"/>
  </r>
  <r>
    <n v="202"/>
    <x v="201"/>
    <x v="135"/>
    <d v="2025-07-21T00:00:00"/>
    <x v="1"/>
    <s v="CUST-1129"/>
    <s v="Customer 246"/>
    <x v="2"/>
    <x v="0"/>
    <x v="2"/>
    <x v="2"/>
    <n v="172255"/>
    <x v="2"/>
    <x v="166"/>
    <x v="2"/>
    <x v="5"/>
    <x v="181"/>
    <n v="161.82"/>
    <n v="4"/>
    <n v="0.4"/>
    <n v="-17.170000000000002"/>
  </r>
  <r>
    <n v="203"/>
    <x v="202"/>
    <x v="176"/>
    <d v="2024-09-27T00:00:00"/>
    <x v="2"/>
    <s v="CUST-1170"/>
    <s v="Customer 383"/>
    <x v="2"/>
    <x v="0"/>
    <x v="3"/>
    <x v="3"/>
    <n v="795457"/>
    <x v="1"/>
    <x v="182"/>
    <x v="1"/>
    <x v="8"/>
    <x v="182"/>
    <n v="71.72"/>
    <n v="2"/>
    <n v="0"/>
    <n v="-35.450000000000003"/>
  </r>
  <r>
    <n v="204"/>
    <x v="203"/>
    <x v="177"/>
    <d v="2025-05-27T00:00:00"/>
    <x v="2"/>
    <s v="CUST-1052"/>
    <s v="Customer 198"/>
    <x v="0"/>
    <x v="0"/>
    <x v="5"/>
    <x v="5"/>
    <n v="782171"/>
    <x v="0"/>
    <x v="183"/>
    <x v="1"/>
    <x v="2"/>
    <x v="132"/>
    <n v="26.62"/>
    <n v="6"/>
    <n v="0"/>
    <n v="22.19"/>
  </r>
  <r>
    <n v="205"/>
    <x v="204"/>
    <x v="23"/>
    <d v="2025-01-22T00:00:00"/>
    <x v="2"/>
    <s v="CUST-1103"/>
    <s v="Customer 046"/>
    <x v="1"/>
    <x v="0"/>
    <x v="9"/>
    <x v="9"/>
    <n v="292180"/>
    <x v="2"/>
    <x v="184"/>
    <x v="1"/>
    <x v="8"/>
    <x v="183"/>
    <n v="42.38"/>
    <n v="1"/>
    <n v="0.3"/>
    <n v="21.54"/>
  </r>
  <r>
    <n v="206"/>
    <x v="205"/>
    <x v="178"/>
    <d v="2025-01-24T00:00:00"/>
    <x v="2"/>
    <s v="CUST-1327"/>
    <s v="Customer 211"/>
    <x v="0"/>
    <x v="0"/>
    <x v="4"/>
    <x v="4"/>
    <n v="883258"/>
    <x v="3"/>
    <x v="185"/>
    <x v="2"/>
    <x v="3"/>
    <x v="184"/>
    <n v="521.71"/>
    <n v="8"/>
    <n v="0.2"/>
    <n v="4.3600000000000003"/>
  </r>
  <r>
    <n v="207"/>
    <x v="206"/>
    <x v="173"/>
    <d v="2024-04-26T00:00:00"/>
    <x v="3"/>
    <s v="CUST-1228"/>
    <s v="Customer 097"/>
    <x v="0"/>
    <x v="0"/>
    <x v="0"/>
    <x v="0"/>
    <n v="436399"/>
    <x v="0"/>
    <x v="186"/>
    <x v="0"/>
    <x v="0"/>
    <x v="185"/>
    <n v="188.27"/>
    <n v="3"/>
    <n v="0.15"/>
    <n v="5.4"/>
  </r>
  <r>
    <n v="208"/>
    <x v="207"/>
    <x v="123"/>
    <d v="2025-09-07T00:00:00"/>
    <x v="0"/>
    <s v="CUST-1268"/>
    <s v="Customer 161"/>
    <x v="0"/>
    <x v="0"/>
    <x v="7"/>
    <x v="7"/>
    <n v="475574"/>
    <x v="4"/>
    <x v="187"/>
    <x v="0"/>
    <x v="0"/>
    <x v="0"/>
    <n v="333.47"/>
    <n v="8"/>
    <n v="0.2"/>
    <n v="-32.9"/>
  </r>
  <r>
    <n v="209"/>
    <x v="208"/>
    <x v="179"/>
    <d v="2025-09-19T00:00:00"/>
    <x v="1"/>
    <s v="CUST-1240"/>
    <s v="Customer 386"/>
    <x v="2"/>
    <x v="0"/>
    <x v="1"/>
    <x v="1"/>
    <n v="368933"/>
    <x v="1"/>
    <x v="188"/>
    <x v="0"/>
    <x v="0"/>
    <x v="186"/>
    <n v="84.91"/>
    <n v="5"/>
    <n v="0.4"/>
    <n v="23.53"/>
  </r>
  <r>
    <n v="210"/>
    <x v="209"/>
    <x v="63"/>
    <d v="2024-03-23T00:00:00"/>
    <x v="0"/>
    <s v="CUST-1185"/>
    <s v="Customer 070"/>
    <x v="1"/>
    <x v="0"/>
    <x v="4"/>
    <x v="4"/>
    <n v="966453"/>
    <x v="3"/>
    <x v="189"/>
    <x v="0"/>
    <x v="0"/>
    <x v="187"/>
    <n v="614.6"/>
    <n v="8"/>
    <n v="0.15"/>
    <n v="33.86"/>
  </r>
  <r>
    <n v="211"/>
    <x v="210"/>
    <x v="143"/>
    <d v="2025-12-02T00:00:00"/>
    <x v="2"/>
    <s v="CUST-1088"/>
    <s v="Customer 141"/>
    <x v="2"/>
    <x v="0"/>
    <x v="4"/>
    <x v="4"/>
    <n v="515976"/>
    <x v="3"/>
    <x v="190"/>
    <x v="2"/>
    <x v="3"/>
    <x v="188"/>
    <n v="394.09"/>
    <n v="7"/>
    <n v="0.3"/>
    <n v="12.5"/>
  </r>
  <r>
    <n v="212"/>
    <x v="211"/>
    <x v="173"/>
    <d v="2024-04-26T00:00:00"/>
    <x v="0"/>
    <s v="CUST-1290"/>
    <s v="Customer 230"/>
    <x v="0"/>
    <x v="0"/>
    <x v="0"/>
    <x v="0"/>
    <n v="755337"/>
    <x v="0"/>
    <x v="191"/>
    <x v="1"/>
    <x v="2"/>
    <x v="189"/>
    <n v="64.83"/>
    <n v="9"/>
    <n v="0.3"/>
    <n v="-27.99"/>
  </r>
  <r>
    <n v="213"/>
    <x v="212"/>
    <x v="65"/>
    <d v="2024-01-08T00:00:00"/>
    <x v="2"/>
    <s v="CUST-1132"/>
    <s v="Customer 323"/>
    <x v="0"/>
    <x v="0"/>
    <x v="6"/>
    <x v="6"/>
    <n v="657176"/>
    <x v="2"/>
    <x v="192"/>
    <x v="0"/>
    <x v="0"/>
    <x v="190"/>
    <n v="336.17"/>
    <n v="7"/>
    <n v="0.05"/>
    <n v="-13.05"/>
  </r>
  <r>
    <n v="214"/>
    <x v="213"/>
    <x v="180"/>
    <d v="2025-10-04T00:00:00"/>
    <x v="0"/>
    <s v="CUST-1292"/>
    <s v="Customer 173"/>
    <x v="0"/>
    <x v="0"/>
    <x v="0"/>
    <x v="0"/>
    <n v="551989"/>
    <x v="0"/>
    <x v="193"/>
    <x v="2"/>
    <x v="4"/>
    <x v="191"/>
    <n v="684.78"/>
    <n v="1"/>
    <n v="0.3"/>
    <n v="35.67"/>
  </r>
  <r>
    <n v="215"/>
    <x v="214"/>
    <x v="181"/>
    <d v="2024-08-12T00:00:00"/>
    <x v="2"/>
    <s v="CUST-1329"/>
    <s v="Customer 192"/>
    <x v="0"/>
    <x v="0"/>
    <x v="6"/>
    <x v="6"/>
    <n v="649633"/>
    <x v="2"/>
    <x v="194"/>
    <x v="1"/>
    <x v="2"/>
    <x v="192"/>
    <n v="61.4"/>
    <n v="3"/>
    <n v="0.05"/>
    <n v="12.37"/>
  </r>
  <r>
    <n v="216"/>
    <x v="215"/>
    <x v="67"/>
    <d v="2025-07-22T00:00:00"/>
    <x v="2"/>
    <s v="CUST-1280"/>
    <s v="Customer 304"/>
    <x v="2"/>
    <x v="0"/>
    <x v="6"/>
    <x v="6"/>
    <n v="199764"/>
    <x v="2"/>
    <x v="61"/>
    <x v="0"/>
    <x v="0"/>
    <x v="193"/>
    <n v="184.17"/>
    <n v="6"/>
    <n v="0.4"/>
    <n v="6.34"/>
  </r>
  <r>
    <n v="217"/>
    <x v="216"/>
    <x v="154"/>
    <d v="2024-08-16T00:00:00"/>
    <x v="3"/>
    <s v="CUST-1197"/>
    <s v="Customer 044"/>
    <x v="2"/>
    <x v="0"/>
    <x v="2"/>
    <x v="2"/>
    <n v="299294"/>
    <x v="2"/>
    <x v="195"/>
    <x v="2"/>
    <x v="3"/>
    <x v="194"/>
    <n v="187.26"/>
    <n v="9"/>
    <n v="0.05"/>
    <n v="32.950000000000003"/>
  </r>
  <r>
    <n v="218"/>
    <x v="217"/>
    <x v="155"/>
    <d v="2025-01-22T00:00:00"/>
    <x v="3"/>
    <s v="CUST-1157"/>
    <s v="Customer 069"/>
    <x v="2"/>
    <x v="0"/>
    <x v="2"/>
    <x v="2"/>
    <n v="969460"/>
    <x v="2"/>
    <x v="196"/>
    <x v="1"/>
    <x v="8"/>
    <x v="195"/>
    <n v="118.48"/>
    <n v="4"/>
    <n v="0.05"/>
    <n v="4.38"/>
  </r>
  <r>
    <n v="219"/>
    <x v="218"/>
    <x v="182"/>
    <d v="2025-02-09T00:00:00"/>
    <x v="3"/>
    <s v="CUST-1219"/>
    <s v="Customer 031"/>
    <x v="0"/>
    <x v="0"/>
    <x v="8"/>
    <x v="8"/>
    <n v="523041"/>
    <x v="3"/>
    <x v="197"/>
    <x v="1"/>
    <x v="2"/>
    <x v="196"/>
    <n v="102.5"/>
    <n v="1"/>
    <n v="0.1"/>
    <n v="10.29"/>
  </r>
  <r>
    <n v="220"/>
    <x v="219"/>
    <x v="183"/>
    <d v="2025-10-02T00:00:00"/>
    <x v="1"/>
    <s v="CUST-1019"/>
    <s v="Customer 255"/>
    <x v="2"/>
    <x v="0"/>
    <x v="3"/>
    <x v="3"/>
    <n v="923333"/>
    <x v="1"/>
    <x v="198"/>
    <x v="0"/>
    <x v="6"/>
    <x v="197"/>
    <n v="423.38"/>
    <n v="2"/>
    <n v="0"/>
    <n v="59.52"/>
  </r>
  <r>
    <n v="221"/>
    <x v="220"/>
    <x v="184"/>
    <d v="2024-05-12T00:00:00"/>
    <x v="3"/>
    <s v="CUST-1260"/>
    <s v="Customer 013"/>
    <x v="0"/>
    <x v="0"/>
    <x v="3"/>
    <x v="3"/>
    <n v="439851"/>
    <x v="1"/>
    <x v="199"/>
    <x v="2"/>
    <x v="3"/>
    <x v="198"/>
    <n v="330.52"/>
    <n v="9"/>
    <n v="0.05"/>
    <n v="83.51"/>
  </r>
  <r>
    <n v="222"/>
    <x v="221"/>
    <x v="86"/>
    <d v="2024-02-24T00:00:00"/>
    <x v="1"/>
    <s v="CUST-1174"/>
    <s v="Customer 387"/>
    <x v="2"/>
    <x v="0"/>
    <x v="1"/>
    <x v="1"/>
    <n v="503923"/>
    <x v="1"/>
    <x v="200"/>
    <x v="1"/>
    <x v="1"/>
    <x v="199"/>
    <n v="181.38"/>
    <n v="3"/>
    <n v="0.15"/>
    <n v="34.840000000000003"/>
  </r>
  <r>
    <n v="223"/>
    <x v="222"/>
    <x v="120"/>
    <d v="2025-11-17T00:00:00"/>
    <x v="0"/>
    <s v="CUST-1371"/>
    <s v="Customer 332"/>
    <x v="2"/>
    <x v="0"/>
    <x v="3"/>
    <x v="3"/>
    <n v="157196"/>
    <x v="1"/>
    <x v="49"/>
    <x v="0"/>
    <x v="10"/>
    <x v="200"/>
    <n v="153.47"/>
    <n v="8"/>
    <n v="0.15"/>
    <n v="13.77"/>
  </r>
  <r>
    <n v="224"/>
    <x v="223"/>
    <x v="72"/>
    <d v="2025-12-31T00:00:00"/>
    <x v="0"/>
    <s v="CUST-1076"/>
    <s v="Customer 188"/>
    <x v="0"/>
    <x v="0"/>
    <x v="2"/>
    <x v="2"/>
    <n v="254591"/>
    <x v="2"/>
    <x v="102"/>
    <x v="0"/>
    <x v="0"/>
    <x v="201"/>
    <n v="206.11"/>
    <n v="8"/>
    <n v="0.05"/>
    <n v="-3.12"/>
  </r>
  <r>
    <n v="225"/>
    <x v="224"/>
    <x v="169"/>
    <d v="2025-11-04T00:00:00"/>
    <x v="3"/>
    <s v="CUST-1003"/>
    <s v="Customer 090"/>
    <x v="2"/>
    <x v="0"/>
    <x v="8"/>
    <x v="8"/>
    <n v="775899"/>
    <x v="3"/>
    <x v="201"/>
    <x v="0"/>
    <x v="9"/>
    <x v="202"/>
    <n v="365.55"/>
    <n v="5"/>
    <n v="0.3"/>
    <n v="-44.26"/>
  </r>
  <r>
    <n v="226"/>
    <x v="225"/>
    <x v="162"/>
    <d v="2025-12-11T00:00:00"/>
    <x v="1"/>
    <s v="CUST-1278"/>
    <s v="Customer 057"/>
    <x v="0"/>
    <x v="0"/>
    <x v="8"/>
    <x v="8"/>
    <n v="460400"/>
    <x v="3"/>
    <x v="202"/>
    <x v="0"/>
    <x v="6"/>
    <x v="203"/>
    <n v="465.89"/>
    <n v="2"/>
    <n v="0.15"/>
    <n v="8.99"/>
  </r>
  <r>
    <n v="227"/>
    <x v="226"/>
    <x v="185"/>
    <d v="2025-02-23T00:00:00"/>
    <x v="0"/>
    <s v="CUST-1237"/>
    <s v="Customer 289"/>
    <x v="0"/>
    <x v="0"/>
    <x v="6"/>
    <x v="6"/>
    <n v="957617"/>
    <x v="2"/>
    <x v="106"/>
    <x v="0"/>
    <x v="9"/>
    <x v="204"/>
    <n v="524.37"/>
    <n v="4"/>
    <n v="0.1"/>
    <n v="38.340000000000003"/>
  </r>
  <r>
    <n v="228"/>
    <x v="227"/>
    <x v="186"/>
    <d v="2024-09-06T00:00:00"/>
    <x v="2"/>
    <s v="CUST-1195"/>
    <s v="Customer 330"/>
    <x v="1"/>
    <x v="0"/>
    <x v="0"/>
    <x v="0"/>
    <n v="368116"/>
    <x v="0"/>
    <x v="114"/>
    <x v="0"/>
    <x v="10"/>
    <x v="205"/>
    <n v="82.7"/>
    <n v="6"/>
    <n v="0.2"/>
    <n v="10.47"/>
  </r>
  <r>
    <n v="229"/>
    <x v="228"/>
    <x v="187"/>
    <d v="2025-03-17T00:00:00"/>
    <x v="2"/>
    <s v="CUST-1290"/>
    <s v="Customer 241"/>
    <x v="2"/>
    <x v="0"/>
    <x v="1"/>
    <x v="1"/>
    <n v="898385"/>
    <x v="1"/>
    <x v="91"/>
    <x v="1"/>
    <x v="7"/>
    <x v="206"/>
    <n v="77.349999999999994"/>
    <n v="1"/>
    <n v="0.15"/>
    <n v="4.13"/>
  </r>
  <r>
    <n v="230"/>
    <x v="229"/>
    <x v="188"/>
    <d v="2024-07-22T00:00:00"/>
    <x v="1"/>
    <s v="CUST-1316"/>
    <s v="Customer 259"/>
    <x v="1"/>
    <x v="0"/>
    <x v="6"/>
    <x v="6"/>
    <n v="964358"/>
    <x v="2"/>
    <x v="203"/>
    <x v="1"/>
    <x v="7"/>
    <x v="207"/>
    <n v="24.96"/>
    <n v="9"/>
    <n v="0.2"/>
    <n v="1.25"/>
  </r>
  <r>
    <n v="231"/>
    <x v="230"/>
    <x v="189"/>
    <d v="2024-07-06T00:00:00"/>
    <x v="0"/>
    <s v="CUST-1181"/>
    <s v="Customer 199"/>
    <x v="1"/>
    <x v="0"/>
    <x v="0"/>
    <x v="0"/>
    <n v="608670"/>
    <x v="0"/>
    <x v="72"/>
    <x v="0"/>
    <x v="9"/>
    <x v="85"/>
    <n v="243.76"/>
    <n v="6"/>
    <n v="0.15"/>
    <n v="26.42"/>
  </r>
  <r>
    <n v="232"/>
    <x v="231"/>
    <x v="190"/>
    <d v="2024-05-04T00:00:00"/>
    <x v="3"/>
    <s v="CUST-1346"/>
    <s v="Customer 025"/>
    <x v="0"/>
    <x v="0"/>
    <x v="3"/>
    <x v="3"/>
    <n v="917439"/>
    <x v="1"/>
    <x v="204"/>
    <x v="1"/>
    <x v="7"/>
    <x v="175"/>
    <n v="28.59"/>
    <n v="1"/>
    <n v="0.05"/>
    <n v="7.22"/>
  </r>
  <r>
    <n v="233"/>
    <x v="232"/>
    <x v="191"/>
    <d v="2025-02-05T00:00:00"/>
    <x v="0"/>
    <s v="CUST-1361"/>
    <s v="Customer 086"/>
    <x v="0"/>
    <x v="0"/>
    <x v="6"/>
    <x v="6"/>
    <n v="858685"/>
    <x v="2"/>
    <x v="55"/>
    <x v="1"/>
    <x v="8"/>
    <x v="208"/>
    <n v="79.3"/>
    <n v="2"/>
    <n v="0.15"/>
    <n v="29.35"/>
  </r>
  <r>
    <n v="234"/>
    <x v="233"/>
    <x v="192"/>
    <d v="2024-10-22T00:00:00"/>
    <x v="3"/>
    <s v="CUST-1100"/>
    <s v="Customer 165"/>
    <x v="0"/>
    <x v="0"/>
    <x v="9"/>
    <x v="9"/>
    <n v="219324"/>
    <x v="2"/>
    <x v="157"/>
    <x v="0"/>
    <x v="6"/>
    <x v="209"/>
    <n v="227.35"/>
    <n v="1"/>
    <n v="0.1"/>
    <n v="49.75"/>
  </r>
  <r>
    <n v="235"/>
    <x v="234"/>
    <x v="193"/>
    <d v="2024-10-08T00:00:00"/>
    <x v="3"/>
    <s v="CUST-1089"/>
    <s v="Customer 371"/>
    <x v="0"/>
    <x v="0"/>
    <x v="3"/>
    <x v="3"/>
    <n v="660027"/>
    <x v="1"/>
    <x v="205"/>
    <x v="0"/>
    <x v="10"/>
    <x v="210"/>
    <n v="586.91999999999996"/>
    <n v="2"/>
    <n v="0.2"/>
    <n v="32.89"/>
  </r>
  <r>
    <n v="236"/>
    <x v="235"/>
    <x v="194"/>
    <d v="2025-09-04T00:00:00"/>
    <x v="0"/>
    <s v="CUST-1201"/>
    <s v="Customer 393"/>
    <x v="0"/>
    <x v="0"/>
    <x v="0"/>
    <x v="0"/>
    <n v="440362"/>
    <x v="0"/>
    <x v="206"/>
    <x v="1"/>
    <x v="2"/>
    <x v="211"/>
    <n v="96.97"/>
    <n v="8"/>
    <n v="0.05"/>
    <n v="24.61"/>
  </r>
  <r>
    <n v="237"/>
    <x v="236"/>
    <x v="195"/>
    <d v="2024-07-18T00:00:00"/>
    <x v="0"/>
    <s v="CUST-1170"/>
    <s v="Customer 015"/>
    <x v="0"/>
    <x v="0"/>
    <x v="1"/>
    <x v="1"/>
    <n v="628943"/>
    <x v="1"/>
    <x v="207"/>
    <x v="0"/>
    <x v="6"/>
    <x v="98"/>
    <n v="226.17"/>
    <n v="5"/>
    <n v="0.2"/>
    <n v="44.69"/>
  </r>
  <r>
    <n v="238"/>
    <x v="237"/>
    <x v="34"/>
    <d v="2025-05-27T00:00:00"/>
    <x v="0"/>
    <s v="CUST-1008"/>
    <s v="Customer 121"/>
    <x v="0"/>
    <x v="0"/>
    <x v="0"/>
    <x v="0"/>
    <n v="580674"/>
    <x v="0"/>
    <x v="208"/>
    <x v="1"/>
    <x v="7"/>
    <x v="116"/>
    <n v="40.520000000000003"/>
    <n v="4"/>
    <n v="0.1"/>
    <n v="-15.66"/>
  </r>
  <r>
    <n v="239"/>
    <x v="238"/>
    <x v="196"/>
    <d v="2024-05-27T00:00:00"/>
    <x v="0"/>
    <s v="CUST-1005"/>
    <s v="Customer 214"/>
    <x v="1"/>
    <x v="0"/>
    <x v="6"/>
    <x v="6"/>
    <n v="405218"/>
    <x v="2"/>
    <x v="209"/>
    <x v="0"/>
    <x v="0"/>
    <x v="212"/>
    <n v="242.05"/>
    <n v="2"/>
    <n v="0"/>
    <n v="13.57"/>
  </r>
  <r>
    <n v="240"/>
    <x v="239"/>
    <x v="197"/>
    <d v="2025-09-02T00:00:00"/>
    <x v="2"/>
    <s v="CUST-1141"/>
    <s v="Customer 158"/>
    <x v="2"/>
    <x v="0"/>
    <x v="6"/>
    <x v="6"/>
    <n v="404543"/>
    <x v="2"/>
    <x v="150"/>
    <x v="1"/>
    <x v="1"/>
    <x v="118"/>
    <n v="140.69999999999999"/>
    <n v="2"/>
    <n v="0.05"/>
    <n v="-20.63"/>
  </r>
  <r>
    <n v="241"/>
    <x v="240"/>
    <x v="112"/>
    <d v="2024-07-23T00:00:00"/>
    <x v="0"/>
    <s v="CUST-1283"/>
    <s v="Customer 379"/>
    <x v="1"/>
    <x v="0"/>
    <x v="4"/>
    <x v="4"/>
    <n v="631661"/>
    <x v="3"/>
    <x v="210"/>
    <x v="2"/>
    <x v="3"/>
    <x v="64"/>
    <n v="362.39"/>
    <n v="2"/>
    <n v="0.1"/>
    <n v="62.34"/>
  </r>
  <r>
    <n v="242"/>
    <x v="241"/>
    <x v="198"/>
    <d v="2024-05-06T00:00:00"/>
    <x v="1"/>
    <s v="CUST-1304"/>
    <s v="Customer 354"/>
    <x v="1"/>
    <x v="0"/>
    <x v="1"/>
    <x v="1"/>
    <n v="851943"/>
    <x v="1"/>
    <x v="146"/>
    <x v="2"/>
    <x v="11"/>
    <x v="213"/>
    <n v="175.25"/>
    <n v="8"/>
    <n v="0.1"/>
    <n v="18.16"/>
  </r>
  <r>
    <n v="243"/>
    <x v="242"/>
    <x v="199"/>
    <d v="2024-07-09T00:00:00"/>
    <x v="3"/>
    <s v="CUST-1052"/>
    <s v="Customer 242"/>
    <x v="1"/>
    <x v="0"/>
    <x v="5"/>
    <x v="5"/>
    <n v="505123"/>
    <x v="0"/>
    <x v="211"/>
    <x v="1"/>
    <x v="2"/>
    <x v="214"/>
    <n v="53.96"/>
    <n v="9"/>
    <n v="0.1"/>
    <n v="37.450000000000003"/>
  </r>
  <r>
    <n v="244"/>
    <x v="243"/>
    <x v="200"/>
    <d v="2024-11-23T00:00:00"/>
    <x v="0"/>
    <s v="CUST-1249"/>
    <s v="Customer 083"/>
    <x v="0"/>
    <x v="0"/>
    <x v="3"/>
    <x v="3"/>
    <n v="305671"/>
    <x v="1"/>
    <x v="14"/>
    <x v="2"/>
    <x v="11"/>
    <x v="160"/>
    <n v="599.17999999999995"/>
    <n v="9"/>
    <n v="0.15"/>
    <n v="50.39"/>
  </r>
  <r>
    <n v="245"/>
    <x v="244"/>
    <x v="201"/>
    <d v="2025-04-11T00:00:00"/>
    <x v="2"/>
    <s v="CUST-1172"/>
    <s v="Customer 234"/>
    <x v="2"/>
    <x v="0"/>
    <x v="8"/>
    <x v="8"/>
    <n v="704019"/>
    <x v="3"/>
    <x v="212"/>
    <x v="2"/>
    <x v="5"/>
    <x v="215"/>
    <n v="1032.1099999999999"/>
    <n v="7"/>
    <n v="0.2"/>
    <n v="59.24"/>
  </r>
  <r>
    <n v="246"/>
    <x v="245"/>
    <x v="202"/>
    <d v="2024-12-17T00:00:00"/>
    <x v="3"/>
    <s v="CUST-1146"/>
    <s v="Customer 255"/>
    <x v="2"/>
    <x v="0"/>
    <x v="1"/>
    <x v="1"/>
    <n v="167194"/>
    <x v="1"/>
    <x v="213"/>
    <x v="0"/>
    <x v="6"/>
    <x v="216"/>
    <n v="158.74"/>
    <n v="7"/>
    <n v="0"/>
    <n v="-7.72"/>
  </r>
  <r>
    <n v="247"/>
    <x v="246"/>
    <x v="203"/>
    <d v="2025-10-25T00:00:00"/>
    <x v="0"/>
    <s v="CUST-1203"/>
    <s v="Customer 310"/>
    <x v="1"/>
    <x v="0"/>
    <x v="8"/>
    <x v="8"/>
    <n v="996618"/>
    <x v="3"/>
    <x v="54"/>
    <x v="2"/>
    <x v="11"/>
    <x v="93"/>
    <n v="310.57"/>
    <n v="3"/>
    <n v="0.4"/>
    <n v="-13.93"/>
  </r>
  <r>
    <n v="248"/>
    <x v="247"/>
    <x v="182"/>
    <d v="2025-02-08T00:00:00"/>
    <x v="2"/>
    <s v="CUST-1352"/>
    <s v="Customer 111"/>
    <x v="1"/>
    <x v="0"/>
    <x v="1"/>
    <x v="1"/>
    <n v="609163"/>
    <x v="1"/>
    <x v="214"/>
    <x v="2"/>
    <x v="11"/>
    <x v="217"/>
    <n v="1467.81"/>
    <n v="2"/>
    <n v="0.2"/>
    <n v="103.37"/>
  </r>
  <r>
    <n v="249"/>
    <x v="248"/>
    <x v="53"/>
    <d v="2024-12-16T00:00:00"/>
    <x v="0"/>
    <s v="CUST-1263"/>
    <s v="Customer 057"/>
    <x v="1"/>
    <x v="0"/>
    <x v="1"/>
    <x v="1"/>
    <n v="386305"/>
    <x v="1"/>
    <x v="215"/>
    <x v="1"/>
    <x v="7"/>
    <x v="68"/>
    <n v="44.07"/>
    <n v="1"/>
    <n v="0.15"/>
    <n v="21.04"/>
  </r>
  <r>
    <n v="250"/>
    <x v="249"/>
    <x v="34"/>
    <d v="2025-05-30T00:00:00"/>
    <x v="2"/>
    <s v="CUST-1189"/>
    <s v="Customer 152"/>
    <x v="1"/>
    <x v="0"/>
    <x v="0"/>
    <x v="0"/>
    <n v="682933"/>
    <x v="0"/>
    <x v="216"/>
    <x v="2"/>
    <x v="5"/>
    <x v="218"/>
    <n v="323.02999999999997"/>
    <n v="2"/>
    <n v="0.3"/>
    <n v="6.11"/>
  </r>
  <r>
    <n v="251"/>
    <x v="250"/>
    <x v="204"/>
    <d v="2024-05-29T00:00:00"/>
    <x v="3"/>
    <s v="CUST-1347"/>
    <s v="Customer 296"/>
    <x v="1"/>
    <x v="0"/>
    <x v="1"/>
    <x v="1"/>
    <n v="390655"/>
    <x v="1"/>
    <x v="74"/>
    <x v="1"/>
    <x v="7"/>
    <x v="206"/>
    <n v="216.09"/>
    <n v="7"/>
    <n v="0.1"/>
    <n v="24.99"/>
  </r>
  <r>
    <n v="252"/>
    <x v="251"/>
    <x v="205"/>
    <d v="2024-05-29T00:00:00"/>
    <x v="1"/>
    <s v="CUST-1185"/>
    <s v="Customer 341"/>
    <x v="2"/>
    <x v="0"/>
    <x v="4"/>
    <x v="4"/>
    <n v="111017"/>
    <x v="3"/>
    <x v="217"/>
    <x v="1"/>
    <x v="1"/>
    <x v="219"/>
    <n v="44.11"/>
    <n v="4"/>
    <n v="0.1"/>
    <n v="34"/>
  </r>
  <r>
    <n v="253"/>
    <x v="252"/>
    <x v="206"/>
    <d v="2025-12-16T00:00:00"/>
    <x v="3"/>
    <s v="CUST-1394"/>
    <s v="Customer 012"/>
    <x v="1"/>
    <x v="0"/>
    <x v="5"/>
    <x v="5"/>
    <n v="878928"/>
    <x v="0"/>
    <x v="69"/>
    <x v="1"/>
    <x v="1"/>
    <x v="220"/>
    <n v="51.8"/>
    <n v="4"/>
    <n v="0.05"/>
    <n v="2.2799999999999998"/>
  </r>
  <r>
    <n v="254"/>
    <x v="253"/>
    <x v="207"/>
    <d v="2025-05-05T00:00:00"/>
    <x v="1"/>
    <s v="CUST-1055"/>
    <s v="Customer 118"/>
    <x v="2"/>
    <x v="0"/>
    <x v="6"/>
    <x v="6"/>
    <n v="731581"/>
    <x v="2"/>
    <x v="218"/>
    <x v="2"/>
    <x v="5"/>
    <x v="221"/>
    <n v="246.58"/>
    <n v="6"/>
    <n v="0"/>
    <n v="-0.49"/>
  </r>
  <r>
    <n v="255"/>
    <x v="254"/>
    <x v="150"/>
    <d v="2025-10-02T00:00:00"/>
    <x v="0"/>
    <s v="CUST-1330"/>
    <s v="Customer 225"/>
    <x v="1"/>
    <x v="0"/>
    <x v="7"/>
    <x v="7"/>
    <n v="187132"/>
    <x v="4"/>
    <x v="219"/>
    <x v="1"/>
    <x v="1"/>
    <x v="222"/>
    <n v="158.15"/>
    <n v="4"/>
    <n v="0.1"/>
    <n v="31.96"/>
  </r>
  <r>
    <n v="256"/>
    <x v="255"/>
    <x v="208"/>
    <d v="2025-07-09T00:00:00"/>
    <x v="0"/>
    <s v="CUST-1332"/>
    <s v="Customer 375"/>
    <x v="2"/>
    <x v="0"/>
    <x v="8"/>
    <x v="8"/>
    <n v="741687"/>
    <x v="3"/>
    <x v="136"/>
    <x v="0"/>
    <x v="6"/>
    <x v="223"/>
    <n v="182.49"/>
    <n v="7"/>
    <n v="0.15"/>
    <n v="42.29"/>
  </r>
  <r>
    <n v="257"/>
    <x v="256"/>
    <x v="85"/>
    <d v="2024-12-06T00:00:00"/>
    <x v="2"/>
    <s v="CUST-1169"/>
    <s v="Customer 140"/>
    <x v="2"/>
    <x v="0"/>
    <x v="6"/>
    <x v="6"/>
    <n v="375478"/>
    <x v="2"/>
    <x v="220"/>
    <x v="1"/>
    <x v="8"/>
    <x v="224"/>
    <n v="24.41"/>
    <n v="2"/>
    <n v="0.05"/>
    <n v="29.91"/>
  </r>
  <r>
    <n v="258"/>
    <x v="257"/>
    <x v="209"/>
    <d v="2025-10-03T00:00:00"/>
    <x v="3"/>
    <s v="CUST-1046"/>
    <s v="Customer 327"/>
    <x v="1"/>
    <x v="0"/>
    <x v="7"/>
    <x v="7"/>
    <n v="334975"/>
    <x v="4"/>
    <x v="221"/>
    <x v="1"/>
    <x v="2"/>
    <x v="225"/>
    <n v="93.05"/>
    <n v="9"/>
    <n v="0.15"/>
    <n v="31.61"/>
  </r>
  <r>
    <n v="259"/>
    <x v="258"/>
    <x v="153"/>
    <d v="2025-04-20T00:00:00"/>
    <x v="3"/>
    <s v="CUST-1288"/>
    <s v="Customer 337"/>
    <x v="1"/>
    <x v="0"/>
    <x v="5"/>
    <x v="5"/>
    <n v="443243"/>
    <x v="0"/>
    <x v="222"/>
    <x v="1"/>
    <x v="1"/>
    <x v="6"/>
    <n v="110.66"/>
    <n v="7"/>
    <n v="0"/>
    <n v="-22.39"/>
  </r>
  <r>
    <n v="260"/>
    <x v="259"/>
    <x v="210"/>
    <d v="2024-06-04T00:00:00"/>
    <x v="1"/>
    <s v="CUST-1113"/>
    <s v="Customer 020"/>
    <x v="2"/>
    <x v="0"/>
    <x v="5"/>
    <x v="5"/>
    <n v="871279"/>
    <x v="0"/>
    <x v="223"/>
    <x v="0"/>
    <x v="10"/>
    <x v="226"/>
    <n v="456.16"/>
    <n v="8"/>
    <n v="0.2"/>
    <n v="-4.67"/>
  </r>
  <r>
    <n v="261"/>
    <x v="260"/>
    <x v="211"/>
    <d v="2025-02-21T00:00:00"/>
    <x v="2"/>
    <s v="CUST-1078"/>
    <s v="Customer 073"/>
    <x v="0"/>
    <x v="0"/>
    <x v="8"/>
    <x v="8"/>
    <n v="872783"/>
    <x v="3"/>
    <x v="209"/>
    <x v="1"/>
    <x v="8"/>
    <x v="227"/>
    <n v="126.86"/>
    <n v="6"/>
    <n v="0"/>
    <n v="23.32"/>
  </r>
  <r>
    <n v="262"/>
    <x v="261"/>
    <x v="212"/>
    <d v="2024-10-27T00:00:00"/>
    <x v="3"/>
    <s v="CUST-1225"/>
    <s v="Customer 230"/>
    <x v="1"/>
    <x v="0"/>
    <x v="8"/>
    <x v="8"/>
    <n v="623512"/>
    <x v="3"/>
    <x v="224"/>
    <x v="0"/>
    <x v="9"/>
    <x v="228"/>
    <n v="224.54"/>
    <n v="7"/>
    <n v="0.4"/>
    <n v="15.49"/>
  </r>
  <r>
    <n v="263"/>
    <x v="262"/>
    <x v="213"/>
    <d v="2025-09-06T00:00:00"/>
    <x v="0"/>
    <s v="CUST-1183"/>
    <s v="Customer 121"/>
    <x v="2"/>
    <x v="0"/>
    <x v="5"/>
    <x v="5"/>
    <n v="919781"/>
    <x v="0"/>
    <x v="225"/>
    <x v="1"/>
    <x v="8"/>
    <x v="229"/>
    <n v="78.069999999999993"/>
    <n v="8"/>
    <n v="0.05"/>
    <n v="49.44"/>
  </r>
  <r>
    <n v="264"/>
    <x v="263"/>
    <x v="214"/>
    <d v="2024-09-22T00:00:00"/>
    <x v="3"/>
    <s v="CUST-1122"/>
    <s v="Customer 054"/>
    <x v="1"/>
    <x v="0"/>
    <x v="7"/>
    <x v="7"/>
    <n v="241553"/>
    <x v="4"/>
    <x v="226"/>
    <x v="1"/>
    <x v="1"/>
    <x v="180"/>
    <n v="148.94999999999999"/>
    <n v="6"/>
    <n v="0.4"/>
    <n v="52.16"/>
  </r>
  <r>
    <n v="265"/>
    <x v="264"/>
    <x v="196"/>
    <d v="2024-05-24T00:00:00"/>
    <x v="0"/>
    <s v="CUST-1112"/>
    <s v="Customer 044"/>
    <x v="1"/>
    <x v="0"/>
    <x v="1"/>
    <x v="1"/>
    <n v="357808"/>
    <x v="1"/>
    <x v="227"/>
    <x v="2"/>
    <x v="5"/>
    <x v="230"/>
    <n v="469.55"/>
    <n v="8"/>
    <n v="0.1"/>
    <n v="19.07"/>
  </r>
  <r>
    <n v="266"/>
    <x v="265"/>
    <x v="53"/>
    <d v="2024-12-13T00:00:00"/>
    <x v="1"/>
    <s v="CUST-1227"/>
    <s v="Customer 191"/>
    <x v="0"/>
    <x v="0"/>
    <x v="3"/>
    <x v="3"/>
    <n v="957759"/>
    <x v="1"/>
    <x v="196"/>
    <x v="1"/>
    <x v="2"/>
    <x v="231"/>
    <n v="133.81"/>
    <n v="4"/>
    <n v="0.1"/>
    <n v="28.1"/>
  </r>
  <r>
    <n v="267"/>
    <x v="266"/>
    <x v="215"/>
    <d v="2025-09-17T00:00:00"/>
    <x v="0"/>
    <s v="CUST-1203"/>
    <s v="Customer 213"/>
    <x v="0"/>
    <x v="0"/>
    <x v="9"/>
    <x v="9"/>
    <n v="405745"/>
    <x v="2"/>
    <x v="159"/>
    <x v="2"/>
    <x v="5"/>
    <x v="232"/>
    <n v="454"/>
    <n v="9"/>
    <n v="0.15"/>
    <n v="40.229999999999997"/>
  </r>
  <r>
    <n v="268"/>
    <x v="267"/>
    <x v="216"/>
    <d v="2025-07-29T00:00:00"/>
    <x v="2"/>
    <s v="CUST-1176"/>
    <s v="Customer 369"/>
    <x v="2"/>
    <x v="0"/>
    <x v="6"/>
    <x v="6"/>
    <n v="521001"/>
    <x v="2"/>
    <x v="167"/>
    <x v="2"/>
    <x v="5"/>
    <x v="233"/>
    <n v="282.86"/>
    <n v="6"/>
    <n v="0.15"/>
    <n v="8.2100000000000009"/>
  </r>
  <r>
    <n v="269"/>
    <x v="268"/>
    <x v="65"/>
    <d v="2024-01-06T00:00:00"/>
    <x v="0"/>
    <s v="CUST-1326"/>
    <s v="Customer 225"/>
    <x v="0"/>
    <x v="0"/>
    <x v="0"/>
    <x v="0"/>
    <n v="477721"/>
    <x v="0"/>
    <x v="228"/>
    <x v="2"/>
    <x v="4"/>
    <x v="191"/>
    <n v="296.04000000000002"/>
    <n v="1"/>
    <n v="0.1"/>
    <n v="29.34"/>
  </r>
  <r>
    <n v="270"/>
    <x v="269"/>
    <x v="217"/>
    <d v="2024-11-03T00:00:00"/>
    <x v="0"/>
    <s v="CUST-1228"/>
    <s v="Customer 344"/>
    <x v="2"/>
    <x v="0"/>
    <x v="6"/>
    <x v="6"/>
    <n v="322603"/>
    <x v="2"/>
    <x v="229"/>
    <x v="0"/>
    <x v="9"/>
    <x v="234"/>
    <n v="322.52"/>
    <n v="3"/>
    <n v="0.3"/>
    <n v="-1.07"/>
  </r>
  <r>
    <n v="271"/>
    <x v="270"/>
    <x v="218"/>
    <d v="2024-09-13T00:00:00"/>
    <x v="1"/>
    <s v="CUST-1193"/>
    <s v="Customer 016"/>
    <x v="0"/>
    <x v="0"/>
    <x v="0"/>
    <x v="0"/>
    <n v="140524"/>
    <x v="0"/>
    <x v="230"/>
    <x v="1"/>
    <x v="2"/>
    <x v="235"/>
    <n v="90.23"/>
    <n v="2"/>
    <n v="0.2"/>
    <n v="-29.95"/>
  </r>
  <r>
    <n v="272"/>
    <x v="271"/>
    <x v="219"/>
    <d v="2025-10-15T00:00:00"/>
    <x v="3"/>
    <s v="CUST-1060"/>
    <s v="Customer 026"/>
    <x v="0"/>
    <x v="0"/>
    <x v="7"/>
    <x v="7"/>
    <n v="592134"/>
    <x v="4"/>
    <x v="150"/>
    <x v="2"/>
    <x v="4"/>
    <x v="236"/>
    <n v="303.14999999999998"/>
    <n v="3"/>
    <n v="0.3"/>
    <n v="-18.03"/>
  </r>
  <r>
    <n v="273"/>
    <x v="272"/>
    <x v="220"/>
    <d v="2025-03-31T00:00:00"/>
    <x v="1"/>
    <s v="CUST-1091"/>
    <s v="Customer 286"/>
    <x v="0"/>
    <x v="0"/>
    <x v="0"/>
    <x v="0"/>
    <n v="165480"/>
    <x v="0"/>
    <x v="231"/>
    <x v="2"/>
    <x v="5"/>
    <x v="237"/>
    <n v="602.70000000000005"/>
    <n v="7"/>
    <n v="0.4"/>
    <n v="0.18"/>
  </r>
  <r>
    <n v="274"/>
    <x v="273"/>
    <x v="221"/>
    <d v="2024-02-09T00:00:00"/>
    <x v="1"/>
    <s v="CUST-1356"/>
    <s v="Customer 340"/>
    <x v="2"/>
    <x v="0"/>
    <x v="8"/>
    <x v="8"/>
    <n v="936659"/>
    <x v="3"/>
    <x v="232"/>
    <x v="1"/>
    <x v="2"/>
    <x v="214"/>
    <n v="37.450000000000003"/>
    <n v="1"/>
    <n v="0.15"/>
    <n v="3.88"/>
  </r>
  <r>
    <n v="275"/>
    <x v="274"/>
    <x v="142"/>
    <d v="2024-06-10T00:00:00"/>
    <x v="2"/>
    <s v="CUST-1005"/>
    <s v="Customer 149"/>
    <x v="2"/>
    <x v="0"/>
    <x v="3"/>
    <x v="3"/>
    <n v="464534"/>
    <x v="1"/>
    <x v="233"/>
    <x v="1"/>
    <x v="1"/>
    <x v="41"/>
    <n v="41.98"/>
    <n v="1"/>
    <n v="0.15"/>
    <n v="-9.75"/>
  </r>
  <r>
    <n v="276"/>
    <x v="275"/>
    <x v="222"/>
    <d v="2024-01-12T00:00:00"/>
    <x v="2"/>
    <s v="CUST-1386"/>
    <s v="Customer 275"/>
    <x v="2"/>
    <x v="0"/>
    <x v="3"/>
    <x v="3"/>
    <n v="107233"/>
    <x v="1"/>
    <x v="74"/>
    <x v="1"/>
    <x v="2"/>
    <x v="238"/>
    <n v="107.88"/>
    <n v="7"/>
    <n v="0.1"/>
    <n v="19.149999999999999"/>
  </r>
  <r>
    <n v="277"/>
    <x v="276"/>
    <x v="171"/>
    <d v="2024-08-22T00:00:00"/>
    <x v="1"/>
    <s v="CUST-1376"/>
    <s v="Customer 384"/>
    <x v="1"/>
    <x v="0"/>
    <x v="8"/>
    <x v="8"/>
    <n v="738103"/>
    <x v="3"/>
    <x v="14"/>
    <x v="1"/>
    <x v="7"/>
    <x v="239"/>
    <n v="22.88"/>
    <n v="2"/>
    <n v="0.2"/>
    <n v="-17.12"/>
  </r>
  <r>
    <n v="278"/>
    <x v="277"/>
    <x v="119"/>
    <d v="2024-04-13T00:00:00"/>
    <x v="1"/>
    <s v="CUST-1295"/>
    <s v="Customer 177"/>
    <x v="2"/>
    <x v="0"/>
    <x v="4"/>
    <x v="4"/>
    <n v="968408"/>
    <x v="3"/>
    <x v="35"/>
    <x v="1"/>
    <x v="1"/>
    <x v="240"/>
    <n v="54.66"/>
    <n v="3"/>
    <n v="0.1"/>
    <n v="-1.89"/>
  </r>
  <r>
    <n v="279"/>
    <x v="278"/>
    <x v="223"/>
    <d v="2025-10-23T00:00:00"/>
    <x v="2"/>
    <s v="CUST-1042"/>
    <s v="Customer 375"/>
    <x v="0"/>
    <x v="0"/>
    <x v="7"/>
    <x v="7"/>
    <n v="438074"/>
    <x v="4"/>
    <x v="202"/>
    <x v="2"/>
    <x v="11"/>
    <x v="133"/>
    <n v="179.67"/>
    <n v="9"/>
    <n v="0.05"/>
    <n v="25.36"/>
  </r>
  <r>
    <n v="280"/>
    <x v="279"/>
    <x v="224"/>
    <d v="2024-07-29T00:00:00"/>
    <x v="0"/>
    <s v="CUST-1050"/>
    <s v="Customer 216"/>
    <x v="1"/>
    <x v="0"/>
    <x v="4"/>
    <x v="4"/>
    <n v="599964"/>
    <x v="3"/>
    <x v="189"/>
    <x v="0"/>
    <x v="0"/>
    <x v="241"/>
    <n v="265.8"/>
    <n v="1"/>
    <n v="0.05"/>
    <n v="9.25"/>
  </r>
  <r>
    <n v="281"/>
    <x v="280"/>
    <x v="17"/>
    <d v="2024-05-14T00:00:00"/>
    <x v="0"/>
    <s v="CUST-1038"/>
    <s v="Customer 139"/>
    <x v="0"/>
    <x v="0"/>
    <x v="4"/>
    <x v="4"/>
    <n v="547628"/>
    <x v="3"/>
    <x v="234"/>
    <x v="1"/>
    <x v="8"/>
    <x v="242"/>
    <n v="60.54"/>
    <n v="1"/>
    <n v="0.2"/>
    <n v="14.63"/>
  </r>
  <r>
    <n v="282"/>
    <x v="281"/>
    <x v="225"/>
    <d v="2025-02-09T00:00:00"/>
    <x v="2"/>
    <s v="CUST-1385"/>
    <s v="Customer 230"/>
    <x v="0"/>
    <x v="0"/>
    <x v="6"/>
    <x v="6"/>
    <n v="912802"/>
    <x v="2"/>
    <x v="235"/>
    <x v="2"/>
    <x v="3"/>
    <x v="243"/>
    <n v="543.29"/>
    <n v="8"/>
    <n v="0.15"/>
    <n v="35.369999999999997"/>
  </r>
  <r>
    <n v="283"/>
    <x v="282"/>
    <x v="226"/>
    <d v="2024-06-04T00:00:00"/>
    <x v="0"/>
    <s v="CUST-1302"/>
    <s v="Customer 057"/>
    <x v="1"/>
    <x v="0"/>
    <x v="5"/>
    <x v="5"/>
    <n v="242321"/>
    <x v="0"/>
    <x v="236"/>
    <x v="1"/>
    <x v="8"/>
    <x v="244"/>
    <n v="79.72"/>
    <n v="3"/>
    <n v="0.1"/>
    <n v="-12.38"/>
  </r>
  <r>
    <n v="284"/>
    <x v="283"/>
    <x v="227"/>
    <d v="2024-02-26T00:00:00"/>
    <x v="0"/>
    <s v="CUST-1326"/>
    <s v="Customer 094"/>
    <x v="1"/>
    <x v="0"/>
    <x v="6"/>
    <x v="6"/>
    <n v="818980"/>
    <x v="2"/>
    <x v="237"/>
    <x v="2"/>
    <x v="3"/>
    <x v="4"/>
    <n v="186.83"/>
    <n v="2"/>
    <n v="0.1"/>
    <n v="6.15"/>
  </r>
  <r>
    <n v="285"/>
    <x v="284"/>
    <x v="228"/>
    <d v="2024-05-04T00:00:00"/>
    <x v="2"/>
    <s v="CUST-1323"/>
    <s v="Customer 383"/>
    <x v="1"/>
    <x v="0"/>
    <x v="5"/>
    <x v="5"/>
    <n v="185395"/>
    <x v="0"/>
    <x v="158"/>
    <x v="0"/>
    <x v="0"/>
    <x v="70"/>
    <n v="60.95"/>
    <n v="8"/>
    <n v="0.2"/>
    <n v="-18.73"/>
  </r>
  <r>
    <n v="286"/>
    <x v="285"/>
    <x v="229"/>
    <d v="2025-11-07T00:00:00"/>
    <x v="3"/>
    <s v="CUST-1207"/>
    <s v="Customer 280"/>
    <x v="2"/>
    <x v="0"/>
    <x v="9"/>
    <x v="9"/>
    <n v="217399"/>
    <x v="2"/>
    <x v="238"/>
    <x v="0"/>
    <x v="0"/>
    <x v="245"/>
    <n v="388.47"/>
    <n v="1"/>
    <n v="0"/>
    <n v="51.31"/>
  </r>
  <r>
    <n v="287"/>
    <x v="286"/>
    <x v="159"/>
    <d v="2025-09-21T00:00:00"/>
    <x v="1"/>
    <s v="CUST-1336"/>
    <s v="Customer 186"/>
    <x v="1"/>
    <x v="0"/>
    <x v="0"/>
    <x v="0"/>
    <n v="523206"/>
    <x v="0"/>
    <x v="239"/>
    <x v="1"/>
    <x v="8"/>
    <x v="246"/>
    <n v="36.68"/>
    <n v="6"/>
    <n v="0.3"/>
    <n v="18.02"/>
  </r>
  <r>
    <n v="288"/>
    <x v="287"/>
    <x v="230"/>
    <d v="2025-08-12T00:00:00"/>
    <x v="2"/>
    <s v="CUST-1025"/>
    <s v="Customer 371"/>
    <x v="2"/>
    <x v="0"/>
    <x v="5"/>
    <x v="5"/>
    <n v="362199"/>
    <x v="0"/>
    <x v="240"/>
    <x v="0"/>
    <x v="9"/>
    <x v="247"/>
    <n v="341.66"/>
    <n v="3"/>
    <n v="0.2"/>
    <n v="-26.99"/>
  </r>
  <r>
    <n v="289"/>
    <x v="288"/>
    <x v="179"/>
    <d v="2025-09-19T00:00:00"/>
    <x v="1"/>
    <s v="CUST-1128"/>
    <s v="Customer 073"/>
    <x v="2"/>
    <x v="0"/>
    <x v="8"/>
    <x v="8"/>
    <n v="768626"/>
    <x v="3"/>
    <x v="193"/>
    <x v="1"/>
    <x v="1"/>
    <x v="248"/>
    <n v="51.19"/>
    <n v="8"/>
    <n v="0.1"/>
    <n v="41.22"/>
  </r>
  <r>
    <n v="290"/>
    <x v="289"/>
    <x v="231"/>
    <d v="2025-02-25T00:00:00"/>
    <x v="3"/>
    <s v="CUST-1200"/>
    <s v="Customer 134"/>
    <x v="0"/>
    <x v="0"/>
    <x v="6"/>
    <x v="6"/>
    <n v="246479"/>
    <x v="2"/>
    <x v="241"/>
    <x v="2"/>
    <x v="4"/>
    <x v="249"/>
    <n v="53.29"/>
    <n v="4"/>
    <n v="0.05"/>
    <n v="4.93"/>
  </r>
  <r>
    <n v="291"/>
    <x v="290"/>
    <x v="232"/>
    <d v="2025-03-01T00:00:00"/>
    <x v="1"/>
    <s v="CUST-1336"/>
    <s v="Customer 192"/>
    <x v="1"/>
    <x v="0"/>
    <x v="7"/>
    <x v="7"/>
    <n v="986997"/>
    <x v="4"/>
    <x v="242"/>
    <x v="2"/>
    <x v="11"/>
    <x v="250"/>
    <n v="641.65"/>
    <n v="5"/>
    <n v="0.3"/>
    <n v="2.29"/>
  </r>
  <r>
    <n v="292"/>
    <x v="291"/>
    <x v="233"/>
    <d v="2024-04-14T00:00:00"/>
    <x v="0"/>
    <s v="CUST-1131"/>
    <s v="Customer 037"/>
    <x v="2"/>
    <x v="0"/>
    <x v="0"/>
    <x v="0"/>
    <n v="832760"/>
    <x v="0"/>
    <x v="147"/>
    <x v="1"/>
    <x v="1"/>
    <x v="118"/>
    <n v="75.790000000000006"/>
    <n v="1"/>
    <n v="0"/>
    <n v="42.38"/>
  </r>
  <r>
    <n v="293"/>
    <x v="292"/>
    <x v="218"/>
    <d v="2024-09-14T00:00:00"/>
    <x v="0"/>
    <s v="CUST-1320"/>
    <s v="Customer 042"/>
    <x v="2"/>
    <x v="0"/>
    <x v="9"/>
    <x v="9"/>
    <n v="315432"/>
    <x v="2"/>
    <x v="145"/>
    <x v="1"/>
    <x v="8"/>
    <x v="244"/>
    <n v="128.41"/>
    <n v="1"/>
    <n v="0.15"/>
    <n v="29.11"/>
  </r>
  <r>
    <n v="294"/>
    <x v="293"/>
    <x v="234"/>
    <d v="2024-08-17T00:00:00"/>
    <x v="2"/>
    <s v="CUST-1235"/>
    <s v="Customer 281"/>
    <x v="0"/>
    <x v="0"/>
    <x v="5"/>
    <x v="5"/>
    <n v="931080"/>
    <x v="0"/>
    <x v="243"/>
    <x v="2"/>
    <x v="5"/>
    <x v="251"/>
    <n v="239.96"/>
    <n v="9"/>
    <n v="0.15"/>
    <n v="27.06"/>
  </r>
  <r>
    <n v="295"/>
    <x v="294"/>
    <x v="235"/>
    <d v="2024-04-23T00:00:00"/>
    <x v="3"/>
    <s v="CUST-1168"/>
    <s v="Customer 062"/>
    <x v="2"/>
    <x v="0"/>
    <x v="9"/>
    <x v="9"/>
    <n v="511811"/>
    <x v="2"/>
    <x v="244"/>
    <x v="1"/>
    <x v="2"/>
    <x v="252"/>
    <n v="41.61"/>
    <n v="9"/>
    <n v="0.05"/>
    <n v="-18.059999999999999"/>
  </r>
  <r>
    <n v="296"/>
    <x v="295"/>
    <x v="177"/>
    <d v="2025-05-26T00:00:00"/>
    <x v="0"/>
    <s v="CUST-1100"/>
    <s v="Customer 029"/>
    <x v="0"/>
    <x v="0"/>
    <x v="7"/>
    <x v="7"/>
    <n v="195057"/>
    <x v="4"/>
    <x v="245"/>
    <x v="2"/>
    <x v="11"/>
    <x v="161"/>
    <n v="176.43"/>
    <n v="4"/>
    <n v="0.15"/>
    <n v="24.37"/>
  </r>
  <r>
    <n v="297"/>
    <x v="296"/>
    <x v="153"/>
    <d v="2025-04-21T00:00:00"/>
    <x v="0"/>
    <s v="CUST-1342"/>
    <s v="Customer 105"/>
    <x v="1"/>
    <x v="0"/>
    <x v="4"/>
    <x v="4"/>
    <n v="794651"/>
    <x v="3"/>
    <x v="246"/>
    <x v="0"/>
    <x v="0"/>
    <x v="253"/>
    <n v="329.22"/>
    <n v="1"/>
    <n v="0.1"/>
    <n v="-71.44"/>
  </r>
  <r>
    <n v="298"/>
    <x v="297"/>
    <x v="119"/>
    <d v="2024-04-10T00:00:00"/>
    <x v="1"/>
    <s v="CUST-1079"/>
    <s v="Customer 271"/>
    <x v="2"/>
    <x v="0"/>
    <x v="3"/>
    <x v="3"/>
    <n v="198843"/>
    <x v="1"/>
    <x v="247"/>
    <x v="2"/>
    <x v="4"/>
    <x v="254"/>
    <n v="113.31"/>
    <n v="2"/>
    <n v="0.05"/>
    <n v="-8.2799999999999994"/>
  </r>
  <r>
    <n v="299"/>
    <x v="298"/>
    <x v="236"/>
    <d v="2024-06-03T00:00:00"/>
    <x v="3"/>
    <s v="CUST-1316"/>
    <s v="Customer 123"/>
    <x v="0"/>
    <x v="0"/>
    <x v="7"/>
    <x v="7"/>
    <n v="737384"/>
    <x v="4"/>
    <x v="245"/>
    <x v="1"/>
    <x v="7"/>
    <x v="255"/>
    <n v="51.09"/>
    <n v="1"/>
    <n v="0.05"/>
    <n v="8.84"/>
  </r>
  <r>
    <n v="300"/>
    <x v="299"/>
    <x v="85"/>
    <d v="2024-12-08T00:00:00"/>
    <x v="1"/>
    <s v="CUST-1386"/>
    <s v="Customer 265"/>
    <x v="1"/>
    <x v="0"/>
    <x v="2"/>
    <x v="2"/>
    <n v="303990"/>
    <x v="2"/>
    <x v="248"/>
    <x v="1"/>
    <x v="1"/>
    <x v="256"/>
    <n v="39.229999999999997"/>
    <n v="2"/>
    <n v="0.1"/>
    <n v="3.21"/>
  </r>
  <r>
    <n v="301"/>
    <x v="300"/>
    <x v="237"/>
    <d v="2025-12-08T00:00:00"/>
    <x v="2"/>
    <s v="CUST-1000"/>
    <s v="Customer 245"/>
    <x v="1"/>
    <x v="0"/>
    <x v="7"/>
    <x v="7"/>
    <n v="712236"/>
    <x v="4"/>
    <x v="102"/>
    <x v="2"/>
    <x v="3"/>
    <x v="257"/>
    <n v="519.89"/>
    <n v="6"/>
    <n v="0.05"/>
    <n v="54.96"/>
  </r>
  <r>
    <n v="302"/>
    <x v="301"/>
    <x v="238"/>
    <d v="2024-06-13T00:00:00"/>
    <x v="3"/>
    <s v="CUST-1116"/>
    <s v="Customer 299"/>
    <x v="2"/>
    <x v="0"/>
    <x v="9"/>
    <x v="9"/>
    <n v="285169"/>
    <x v="2"/>
    <x v="249"/>
    <x v="1"/>
    <x v="7"/>
    <x v="49"/>
    <n v="71.09"/>
    <n v="8"/>
    <n v="0.1"/>
    <n v="23.34"/>
  </r>
  <r>
    <n v="303"/>
    <x v="302"/>
    <x v="84"/>
    <d v="2025-12-23T00:00:00"/>
    <x v="0"/>
    <s v="CUST-1195"/>
    <s v="Customer 090"/>
    <x v="0"/>
    <x v="0"/>
    <x v="8"/>
    <x v="8"/>
    <n v="503311"/>
    <x v="3"/>
    <x v="250"/>
    <x v="0"/>
    <x v="0"/>
    <x v="258"/>
    <n v="174.65"/>
    <n v="2"/>
    <n v="0.15"/>
    <n v="-27.69"/>
  </r>
  <r>
    <n v="304"/>
    <x v="303"/>
    <x v="239"/>
    <d v="2025-11-14T00:00:00"/>
    <x v="0"/>
    <s v="CUST-1055"/>
    <s v="Customer 278"/>
    <x v="2"/>
    <x v="0"/>
    <x v="6"/>
    <x v="6"/>
    <n v="112818"/>
    <x v="2"/>
    <x v="11"/>
    <x v="2"/>
    <x v="5"/>
    <x v="259"/>
    <n v="139.87"/>
    <n v="3"/>
    <n v="0.3"/>
    <n v="19.38"/>
  </r>
  <r>
    <n v="305"/>
    <x v="304"/>
    <x v="26"/>
    <d v="2024-06-11T00:00:00"/>
    <x v="1"/>
    <s v="CUST-1155"/>
    <s v="Customer 077"/>
    <x v="0"/>
    <x v="0"/>
    <x v="8"/>
    <x v="8"/>
    <n v="174408"/>
    <x v="3"/>
    <x v="251"/>
    <x v="2"/>
    <x v="3"/>
    <x v="65"/>
    <n v="532.04999999999995"/>
    <n v="9"/>
    <n v="0.1"/>
    <n v="33.450000000000003"/>
  </r>
  <r>
    <n v="306"/>
    <x v="305"/>
    <x v="240"/>
    <d v="2025-08-04T00:00:00"/>
    <x v="0"/>
    <s v="CUST-1167"/>
    <s v="Customer 378"/>
    <x v="2"/>
    <x v="0"/>
    <x v="9"/>
    <x v="9"/>
    <n v="716552"/>
    <x v="2"/>
    <x v="252"/>
    <x v="2"/>
    <x v="11"/>
    <x v="260"/>
    <n v="159.47999999999999"/>
    <n v="6"/>
    <n v="0.15"/>
    <n v="-11.73"/>
  </r>
  <r>
    <n v="307"/>
    <x v="306"/>
    <x v="127"/>
    <d v="2025-02-03T00:00:00"/>
    <x v="1"/>
    <s v="CUST-1162"/>
    <s v="Customer 331"/>
    <x v="2"/>
    <x v="0"/>
    <x v="6"/>
    <x v="6"/>
    <n v="894280"/>
    <x v="2"/>
    <x v="32"/>
    <x v="2"/>
    <x v="5"/>
    <x v="261"/>
    <n v="545.85"/>
    <n v="4"/>
    <n v="0.3"/>
    <n v="-4.0599999999999996"/>
  </r>
  <r>
    <n v="308"/>
    <x v="307"/>
    <x v="25"/>
    <d v="2024-10-07T00:00:00"/>
    <x v="0"/>
    <s v="CUST-1280"/>
    <s v="Customer 253"/>
    <x v="0"/>
    <x v="0"/>
    <x v="2"/>
    <x v="2"/>
    <n v="954727"/>
    <x v="2"/>
    <x v="253"/>
    <x v="0"/>
    <x v="10"/>
    <x v="226"/>
    <n v="114.66"/>
    <n v="2"/>
    <n v="0.05"/>
    <n v="8.39"/>
  </r>
  <r>
    <n v="309"/>
    <x v="308"/>
    <x v="241"/>
    <d v="2025-05-21T00:00:00"/>
    <x v="1"/>
    <s v="CUST-1164"/>
    <s v="Customer 139"/>
    <x v="0"/>
    <x v="0"/>
    <x v="3"/>
    <x v="3"/>
    <n v="174804"/>
    <x v="1"/>
    <x v="254"/>
    <x v="1"/>
    <x v="2"/>
    <x v="262"/>
    <n v="125.11"/>
    <n v="3"/>
    <n v="0.3"/>
    <n v="-13.45"/>
  </r>
  <r>
    <n v="310"/>
    <x v="309"/>
    <x v="103"/>
    <d v="2025-01-30T00:00:00"/>
    <x v="2"/>
    <s v="CUST-1239"/>
    <s v="Customer 347"/>
    <x v="2"/>
    <x v="0"/>
    <x v="0"/>
    <x v="0"/>
    <n v="829523"/>
    <x v="0"/>
    <x v="255"/>
    <x v="0"/>
    <x v="10"/>
    <x v="263"/>
    <n v="278.89999999999998"/>
    <n v="8"/>
    <n v="0"/>
    <n v="81.069999999999993"/>
  </r>
  <r>
    <n v="311"/>
    <x v="310"/>
    <x v="111"/>
    <d v="2024-05-19T00:00:00"/>
    <x v="0"/>
    <s v="CUST-1332"/>
    <s v="Customer 039"/>
    <x v="1"/>
    <x v="0"/>
    <x v="9"/>
    <x v="9"/>
    <n v="496562"/>
    <x v="2"/>
    <x v="256"/>
    <x v="2"/>
    <x v="5"/>
    <x v="264"/>
    <n v="134.27000000000001"/>
    <n v="9"/>
    <n v="0.2"/>
    <n v="-13.17"/>
  </r>
  <r>
    <n v="312"/>
    <x v="311"/>
    <x v="242"/>
    <d v="2024-07-16T00:00:00"/>
    <x v="0"/>
    <s v="CUST-1380"/>
    <s v="Customer 368"/>
    <x v="0"/>
    <x v="0"/>
    <x v="5"/>
    <x v="5"/>
    <n v="790527"/>
    <x v="0"/>
    <x v="257"/>
    <x v="2"/>
    <x v="4"/>
    <x v="265"/>
    <n v="855.11"/>
    <n v="5"/>
    <n v="0.1"/>
    <n v="74.12"/>
  </r>
  <r>
    <n v="313"/>
    <x v="312"/>
    <x v="191"/>
    <d v="2025-02-07T00:00:00"/>
    <x v="2"/>
    <s v="CUST-1015"/>
    <s v="Customer 334"/>
    <x v="0"/>
    <x v="0"/>
    <x v="9"/>
    <x v="9"/>
    <n v="334484"/>
    <x v="2"/>
    <x v="69"/>
    <x v="2"/>
    <x v="11"/>
    <x v="213"/>
    <n v="430.69"/>
    <n v="2"/>
    <n v="0"/>
    <n v="63.89"/>
  </r>
  <r>
    <n v="314"/>
    <x v="313"/>
    <x v="150"/>
    <d v="2025-10-04T00:00:00"/>
    <x v="3"/>
    <s v="CUST-1091"/>
    <s v="Customer 279"/>
    <x v="1"/>
    <x v="0"/>
    <x v="9"/>
    <x v="9"/>
    <n v="619904"/>
    <x v="2"/>
    <x v="258"/>
    <x v="0"/>
    <x v="0"/>
    <x v="266"/>
    <n v="46.7"/>
    <n v="1"/>
    <n v="0.4"/>
    <n v="13.49"/>
  </r>
  <r>
    <n v="315"/>
    <x v="314"/>
    <x v="113"/>
    <d v="2024-02-04T00:00:00"/>
    <x v="1"/>
    <s v="CUST-1222"/>
    <s v="Customer 190"/>
    <x v="2"/>
    <x v="0"/>
    <x v="6"/>
    <x v="6"/>
    <n v="355539"/>
    <x v="2"/>
    <x v="256"/>
    <x v="1"/>
    <x v="2"/>
    <x v="267"/>
    <n v="269.3"/>
    <n v="7"/>
    <n v="0.3"/>
    <n v="29.26"/>
  </r>
  <r>
    <n v="316"/>
    <x v="315"/>
    <x v="243"/>
    <d v="2025-11-20T00:00:00"/>
    <x v="1"/>
    <s v="CUST-1342"/>
    <s v="Customer 133"/>
    <x v="0"/>
    <x v="0"/>
    <x v="1"/>
    <x v="1"/>
    <n v="112120"/>
    <x v="1"/>
    <x v="117"/>
    <x v="2"/>
    <x v="5"/>
    <x v="268"/>
    <n v="1130.8399999999999"/>
    <n v="2"/>
    <n v="0.1"/>
    <n v="120.51"/>
  </r>
  <r>
    <n v="317"/>
    <x v="316"/>
    <x v="27"/>
    <d v="2025-04-06T00:00:00"/>
    <x v="2"/>
    <s v="CUST-1209"/>
    <s v="Customer 361"/>
    <x v="1"/>
    <x v="0"/>
    <x v="7"/>
    <x v="7"/>
    <n v="958690"/>
    <x v="4"/>
    <x v="259"/>
    <x v="1"/>
    <x v="8"/>
    <x v="269"/>
    <n v="55.58"/>
    <n v="4"/>
    <n v="0.2"/>
    <n v="31.88"/>
  </r>
  <r>
    <n v="318"/>
    <x v="317"/>
    <x v="244"/>
    <d v="2025-04-17T00:00:00"/>
    <x v="3"/>
    <s v="CUST-1110"/>
    <s v="Customer 357"/>
    <x v="0"/>
    <x v="0"/>
    <x v="1"/>
    <x v="1"/>
    <n v="243435"/>
    <x v="1"/>
    <x v="260"/>
    <x v="1"/>
    <x v="2"/>
    <x v="270"/>
    <n v="111.05"/>
    <n v="1"/>
    <n v="0.1"/>
    <n v="29.54"/>
  </r>
  <r>
    <n v="319"/>
    <x v="318"/>
    <x v="245"/>
    <d v="2025-01-10T00:00:00"/>
    <x v="1"/>
    <s v="CUST-1306"/>
    <s v="Customer 320"/>
    <x v="2"/>
    <x v="0"/>
    <x v="2"/>
    <x v="2"/>
    <n v="758981"/>
    <x v="2"/>
    <x v="112"/>
    <x v="0"/>
    <x v="9"/>
    <x v="271"/>
    <n v="602.20000000000005"/>
    <n v="3"/>
    <n v="0"/>
    <n v="86"/>
  </r>
  <r>
    <n v="320"/>
    <x v="319"/>
    <x v="29"/>
    <d v="2024-01-23T00:00:00"/>
    <x v="0"/>
    <s v="CUST-1195"/>
    <s v="Customer 152"/>
    <x v="0"/>
    <x v="0"/>
    <x v="5"/>
    <x v="5"/>
    <n v="980255"/>
    <x v="0"/>
    <x v="197"/>
    <x v="1"/>
    <x v="8"/>
    <x v="272"/>
    <n v="107.98"/>
    <n v="3"/>
    <n v="0.15"/>
    <n v="43.05"/>
  </r>
  <r>
    <n v="321"/>
    <x v="320"/>
    <x v="246"/>
    <d v="2025-11-05T00:00:00"/>
    <x v="0"/>
    <s v="CUST-1228"/>
    <s v="Customer 063"/>
    <x v="2"/>
    <x v="0"/>
    <x v="3"/>
    <x v="3"/>
    <n v="255915"/>
    <x v="1"/>
    <x v="261"/>
    <x v="0"/>
    <x v="10"/>
    <x v="273"/>
    <n v="138.49"/>
    <n v="4"/>
    <n v="0.3"/>
    <n v="45.31"/>
  </r>
  <r>
    <n v="322"/>
    <x v="321"/>
    <x v="247"/>
    <d v="2024-02-09T00:00:00"/>
    <x v="1"/>
    <s v="CUST-1327"/>
    <s v="Customer 325"/>
    <x v="2"/>
    <x v="0"/>
    <x v="4"/>
    <x v="4"/>
    <n v="911624"/>
    <x v="3"/>
    <x v="262"/>
    <x v="1"/>
    <x v="2"/>
    <x v="274"/>
    <n v="205.48"/>
    <n v="9"/>
    <n v="0"/>
    <n v="18.5"/>
  </r>
  <r>
    <n v="323"/>
    <x v="322"/>
    <x v="248"/>
    <d v="2024-08-19T00:00:00"/>
    <x v="1"/>
    <s v="CUST-1345"/>
    <s v="Customer 186"/>
    <x v="2"/>
    <x v="0"/>
    <x v="2"/>
    <x v="2"/>
    <n v="937007"/>
    <x v="2"/>
    <x v="263"/>
    <x v="0"/>
    <x v="6"/>
    <x v="275"/>
    <n v="111.5"/>
    <n v="9"/>
    <n v="0.2"/>
    <n v="-0.66"/>
  </r>
  <r>
    <n v="324"/>
    <x v="323"/>
    <x v="249"/>
    <d v="2025-01-01T00:00:00"/>
    <x v="0"/>
    <s v="CUST-1354"/>
    <s v="Customer 215"/>
    <x v="2"/>
    <x v="0"/>
    <x v="4"/>
    <x v="4"/>
    <n v="375419"/>
    <x v="3"/>
    <x v="264"/>
    <x v="0"/>
    <x v="6"/>
    <x v="276"/>
    <n v="60.47"/>
    <n v="8"/>
    <n v="0.1"/>
    <n v="-11.97"/>
  </r>
  <r>
    <n v="325"/>
    <x v="324"/>
    <x v="40"/>
    <d v="2025-07-19T00:00:00"/>
    <x v="1"/>
    <s v="CUST-1345"/>
    <s v="Customer 337"/>
    <x v="0"/>
    <x v="0"/>
    <x v="4"/>
    <x v="4"/>
    <n v="787318"/>
    <x v="3"/>
    <x v="219"/>
    <x v="2"/>
    <x v="3"/>
    <x v="277"/>
    <n v="145.71"/>
    <n v="5"/>
    <n v="0.15"/>
    <n v="11.68"/>
  </r>
  <r>
    <n v="326"/>
    <x v="325"/>
    <x v="250"/>
    <d v="2025-03-15T00:00:00"/>
    <x v="2"/>
    <s v="CUST-1072"/>
    <s v="Customer 052"/>
    <x v="2"/>
    <x v="0"/>
    <x v="3"/>
    <x v="3"/>
    <n v="742064"/>
    <x v="1"/>
    <x v="265"/>
    <x v="0"/>
    <x v="10"/>
    <x v="278"/>
    <n v="475.62"/>
    <n v="2"/>
    <n v="0.1"/>
    <n v="64.67"/>
  </r>
  <r>
    <n v="327"/>
    <x v="326"/>
    <x v="157"/>
    <d v="2024-10-11T00:00:00"/>
    <x v="2"/>
    <s v="CUST-1374"/>
    <s v="Customer 330"/>
    <x v="1"/>
    <x v="0"/>
    <x v="8"/>
    <x v="8"/>
    <n v="945075"/>
    <x v="3"/>
    <x v="266"/>
    <x v="2"/>
    <x v="3"/>
    <x v="243"/>
    <n v="456.72"/>
    <n v="5"/>
    <n v="0"/>
    <n v="66.16"/>
  </r>
  <r>
    <n v="328"/>
    <x v="327"/>
    <x v="251"/>
    <d v="2024-01-31T00:00:00"/>
    <x v="3"/>
    <s v="CUST-1066"/>
    <s v="Customer 242"/>
    <x v="0"/>
    <x v="0"/>
    <x v="1"/>
    <x v="1"/>
    <n v="595054"/>
    <x v="1"/>
    <x v="267"/>
    <x v="0"/>
    <x v="6"/>
    <x v="279"/>
    <n v="301.76"/>
    <n v="9"/>
    <n v="0.1"/>
    <n v="8.4600000000000009"/>
  </r>
  <r>
    <n v="329"/>
    <x v="328"/>
    <x v="252"/>
    <d v="2024-08-17T00:00:00"/>
    <x v="3"/>
    <s v="CUST-1108"/>
    <s v="Customer 317"/>
    <x v="1"/>
    <x v="0"/>
    <x v="9"/>
    <x v="9"/>
    <n v="392759"/>
    <x v="2"/>
    <x v="268"/>
    <x v="2"/>
    <x v="4"/>
    <x v="280"/>
    <n v="170.72"/>
    <n v="8"/>
    <n v="0"/>
    <n v="-2.83"/>
  </r>
  <r>
    <n v="330"/>
    <x v="329"/>
    <x v="25"/>
    <d v="2024-10-08T00:00:00"/>
    <x v="3"/>
    <s v="CUST-1241"/>
    <s v="Customer 090"/>
    <x v="1"/>
    <x v="0"/>
    <x v="0"/>
    <x v="0"/>
    <n v="304829"/>
    <x v="0"/>
    <x v="250"/>
    <x v="1"/>
    <x v="8"/>
    <x v="229"/>
    <n v="71.709999999999994"/>
    <n v="1"/>
    <n v="0.1"/>
    <n v="0.81"/>
  </r>
  <r>
    <n v="331"/>
    <x v="330"/>
    <x v="197"/>
    <d v="2025-09-03T00:00:00"/>
    <x v="1"/>
    <s v="CUST-1185"/>
    <s v="Customer 131"/>
    <x v="0"/>
    <x v="0"/>
    <x v="4"/>
    <x v="4"/>
    <n v="124544"/>
    <x v="3"/>
    <x v="269"/>
    <x v="1"/>
    <x v="7"/>
    <x v="281"/>
    <n v="119.1"/>
    <n v="6"/>
    <n v="0.15"/>
    <n v="21.56"/>
  </r>
  <r>
    <n v="332"/>
    <x v="331"/>
    <x v="253"/>
    <d v="2024-10-15T00:00:00"/>
    <x v="0"/>
    <s v="CUST-1364"/>
    <s v="Customer 353"/>
    <x v="0"/>
    <x v="0"/>
    <x v="5"/>
    <x v="5"/>
    <n v="957312"/>
    <x v="0"/>
    <x v="270"/>
    <x v="0"/>
    <x v="6"/>
    <x v="149"/>
    <n v="239.5"/>
    <n v="4"/>
    <n v="0.15"/>
    <n v="-5.36"/>
  </r>
  <r>
    <n v="333"/>
    <x v="332"/>
    <x v="254"/>
    <d v="2025-04-27T00:00:00"/>
    <x v="0"/>
    <s v="CUST-1243"/>
    <s v="Customer 073"/>
    <x v="2"/>
    <x v="0"/>
    <x v="2"/>
    <x v="2"/>
    <n v="112755"/>
    <x v="2"/>
    <x v="271"/>
    <x v="2"/>
    <x v="4"/>
    <x v="282"/>
    <n v="432.72"/>
    <n v="6"/>
    <n v="0.15"/>
    <n v="64.55"/>
  </r>
  <r>
    <n v="334"/>
    <x v="333"/>
    <x v="220"/>
    <d v="2025-03-29T00:00:00"/>
    <x v="2"/>
    <s v="CUST-1186"/>
    <s v="Customer 198"/>
    <x v="1"/>
    <x v="0"/>
    <x v="8"/>
    <x v="8"/>
    <n v="997883"/>
    <x v="3"/>
    <x v="202"/>
    <x v="1"/>
    <x v="8"/>
    <x v="283"/>
    <n v="205.02"/>
    <n v="2"/>
    <n v="0.2"/>
    <n v="37.82"/>
  </r>
  <r>
    <n v="335"/>
    <x v="334"/>
    <x v="223"/>
    <d v="2025-10-23T00:00:00"/>
    <x v="2"/>
    <s v="CUST-1237"/>
    <s v="Customer 376"/>
    <x v="1"/>
    <x v="0"/>
    <x v="4"/>
    <x v="4"/>
    <n v="440459"/>
    <x v="3"/>
    <x v="193"/>
    <x v="1"/>
    <x v="1"/>
    <x v="284"/>
    <n v="195.98"/>
    <n v="3"/>
    <n v="0"/>
    <n v="18.489999999999998"/>
  </r>
  <r>
    <n v="336"/>
    <x v="335"/>
    <x v="255"/>
    <d v="2025-06-01T00:00:00"/>
    <x v="3"/>
    <s v="CUST-1322"/>
    <s v="Customer 111"/>
    <x v="1"/>
    <x v="0"/>
    <x v="8"/>
    <x v="8"/>
    <n v="278168"/>
    <x v="3"/>
    <x v="272"/>
    <x v="1"/>
    <x v="1"/>
    <x v="285"/>
    <n v="196.88"/>
    <n v="4"/>
    <n v="0.2"/>
    <n v="2.6"/>
  </r>
  <r>
    <n v="337"/>
    <x v="336"/>
    <x v="122"/>
    <d v="2025-07-02T00:00:00"/>
    <x v="3"/>
    <s v="CUST-1386"/>
    <s v="Customer 196"/>
    <x v="2"/>
    <x v="0"/>
    <x v="8"/>
    <x v="8"/>
    <n v="934212"/>
    <x v="3"/>
    <x v="273"/>
    <x v="2"/>
    <x v="3"/>
    <x v="8"/>
    <n v="230.72"/>
    <n v="8"/>
    <n v="0.15"/>
    <n v="88.49"/>
  </r>
  <r>
    <n v="338"/>
    <x v="337"/>
    <x v="24"/>
    <d v="2024-07-13T00:00:00"/>
    <x v="0"/>
    <s v="CUST-1176"/>
    <s v="Customer 169"/>
    <x v="0"/>
    <x v="0"/>
    <x v="4"/>
    <x v="4"/>
    <n v="444950"/>
    <x v="3"/>
    <x v="247"/>
    <x v="0"/>
    <x v="10"/>
    <x v="286"/>
    <n v="199.7"/>
    <n v="6"/>
    <n v="0.05"/>
    <n v="29.19"/>
  </r>
  <r>
    <n v="339"/>
    <x v="338"/>
    <x v="256"/>
    <d v="2024-02-20T00:00:00"/>
    <x v="2"/>
    <s v="CUST-1005"/>
    <s v="Customer 038"/>
    <x v="2"/>
    <x v="0"/>
    <x v="6"/>
    <x v="6"/>
    <n v="458243"/>
    <x v="2"/>
    <x v="274"/>
    <x v="2"/>
    <x v="5"/>
    <x v="287"/>
    <n v="305.13"/>
    <n v="4"/>
    <n v="0.05"/>
    <n v="76.02"/>
  </r>
  <r>
    <n v="340"/>
    <x v="339"/>
    <x v="257"/>
    <d v="2025-05-29T00:00:00"/>
    <x v="0"/>
    <s v="CUST-1341"/>
    <s v="Customer 348"/>
    <x v="2"/>
    <x v="0"/>
    <x v="7"/>
    <x v="7"/>
    <n v="933608"/>
    <x v="4"/>
    <x v="275"/>
    <x v="2"/>
    <x v="4"/>
    <x v="288"/>
    <n v="466.59"/>
    <n v="9"/>
    <n v="0.15"/>
    <n v="37.299999999999997"/>
  </r>
  <r>
    <n v="341"/>
    <x v="340"/>
    <x v="258"/>
    <d v="2024-01-18T00:00:00"/>
    <x v="1"/>
    <s v="CUST-1186"/>
    <s v="Customer 031"/>
    <x v="2"/>
    <x v="0"/>
    <x v="5"/>
    <x v="5"/>
    <n v="672290"/>
    <x v="0"/>
    <x v="276"/>
    <x v="1"/>
    <x v="1"/>
    <x v="289"/>
    <n v="71.989999999999995"/>
    <n v="8"/>
    <n v="0.15"/>
    <n v="6.39"/>
  </r>
  <r>
    <n v="342"/>
    <x v="341"/>
    <x v="259"/>
    <d v="2024-06-22T00:00:00"/>
    <x v="0"/>
    <s v="CUST-1279"/>
    <s v="Customer 155"/>
    <x v="2"/>
    <x v="0"/>
    <x v="9"/>
    <x v="9"/>
    <n v="899717"/>
    <x v="2"/>
    <x v="113"/>
    <x v="1"/>
    <x v="8"/>
    <x v="290"/>
    <n v="183.86"/>
    <n v="9"/>
    <n v="0.3"/>
    <n v="-3.85"/>
  </r>
  <r>
    <n v="343"/>
    <x v="342"/>
    <x v="181"/>
    <d v="2024-08-09T00:00:00"/>
    <x v="0"/>
    <s v="CUST-1394"/>
    <s v="Customer 074"/>
    <x v="0"/>
    <x v="0"/>
    <x v="9"/>
    <x v="9"/>
    <n v="494813"/>
    <x v="2"/>
    <x v="34"/>
    <x v="0"/>
    <x v="6"/>
    <x v="291"/>
    <n v="278.32"/>
    <n v="1"/>
    <n v="0.3"/>
    <n v="-7.31"/>
  </r>
  <r>
    <n v="344"/>
    <x v="343"/>
    <x v="260"/>
    <d v="2024-06-09T00:00:00"/>
    <x v="1"/>
    <s v="CUST-1213"/>
    <s v="Customer 056"/>
    <x v="0"/>
    <x v="0"/>
    <x v="5"/>
    <x v="5"/>
    <n v="735861"/>
    <x v="0"/>
    <x v="230"/>
    <x v="1"/>
    <x v="7"/>
    <x v="292"/>
    <n v="27.84"/>
    <n v="5"/>
    <n v="0.05"/>
    <n v="-5"/>
  </r>
  <r>
    <n v="345"/>
    <x v="344"/>
    <x v="69"/>
    <d v="2025-04-23T00:00:00"/>
    <x v="2"/>
    <s v="CUST-1225"/>
    <s v="Customer 064"/>
    <x v="0"/>
    <x v="0"/>
    <x v="6"/>
    <x v="6"/>
    <n v="938569"/>
    <x v="2"/>
    <x v="199"/>
    <x v="0"/>
    <x v="6"/>
    <x v="293"/>
    <n v="60.43"/>
    <n v="2"/>
    <n v="0.3"/>
    <n v="-50.91"/>
  </r>
  <r>
    <n v="346"/>
    <x v="345"/>
    <x v="261"/>
    <d v="2024-02-18T00:00:00"/>
    <x v="0"/>
    <s v="CUST-1024"/>
    <s v="Customer 059"/>
    <x v="2"/>
    <x v="0"/>
    <x v="9"/>
    <x v="9"/>
    <n v="753668"/>
    <x v="2"/>
    <x v="277"/>
    <x v="0"/>
    <x v="0"/>
    <x v="113"/>
    <n v="151.47999999999999"/>
    <n v="1"/>
    <n v="0.2"/>
    <n v="-7.03"/>
  </r>
  <r>
    <n v="347"/>
    <x v="346"/>
    <x v="14"/>
    <d v="2025-01-11T00:00:00"/>
    <x v="1"/>
    <s v="CUST-1215"/>
    <s v="Customer 390"/>
    <x v="2"/>
    <x v="0"/>
    <x v="8"/>
    <x v="8"/>
    <n v="287840"/>
    <x v="3"/>
    <x v="278"/>
    <x v="0"/>
    <x v="0"/>
    <x v="70"/>
    <n v="69.67"/>
    <n v="9"/>
    <n v="0.4"/>
    <n v="1.5"/>
  </r>
  <r>
    <n v="348"/>
    <x v="347"/>
    <x v="262"/>
    <d v="2025-06-04T00:00:00"/>
    <x v="2"/>
    <s v="CUST-1144"/>
    <s v="Customer 366"/>
    <x v="2"/>
    <x v="0"/>
    <x v="3"/>
    <x v="3"/>
    <n v="341424"/>
    <x v="1"/>
    <x v="279"/>
    <x v="1"/>
    <x v="7"/>
    <x v="294"/>
    <n v="77.680000000000007"/>
    <n v="3"/>
    <n v="0.1"/>
    <n v="-21.12"/>
  </r>
  <r>
    <n v="349"/>
    <x v="348"/>
    <x v="119"/>
    <d v="2024-04-11T00:00:00"/>
    <x v="1"/>
    <s v="CUST-1045"/>
    <s v="Customer 170"/>
    <x v="0"/>
    <x v="0"/>
    <x v="2"/>
    <x v="2"/>
    <n v="890944"/>
    <x v="2"/>
    <x v="280"/>
    <x v="2"/>
    <x v="11"/>
    <x v="295"/>
    <n v="616.05999999999995"/>
    <n v="4"/>
    <n v="0.15"/>
    <n v="23.01"/>
  </r>
  <r>
    <n v="350"/>
    <x v="349"/>
    <x v="221"/>
    <d v="2024-02-11T00:00:00"/>
    <x v="0"/>
    <s v="CUST-1203"/>
    <s v="Customer 382"/>
    <x v="2"/>
    <x v="0"/>
    <x v="1"/>
    <x v="1"/>
    <n v="457851"/>
    <x v="1"/>
    <x v="1"/>
    <x v="1"/>
    <x v="2"/>
    <x v="296"/>
    <n v="85.77"/>
    <n v="4"/>
    <n v="0.15"/>
    <n v="0.39"/>
  </r>
  <r>
    <n v="351"/>
    <x v="350"/>
    <x v="193"/>
    <d v="2024-10-08T00:00:00"/>
    <x v="0"/>
    <s v="CUST-1031"/>
    <s v="Customer 160"/>
    <x v="2"/>
    <x v="0"/>
    <x v="9"/>
    <x v="9"/>
    <n v="755354"/>
    <x v="2"/>
    <x v="281"/>
    <x v="1"/>
    <x v="8"/>
    <x v="297"/>
    <n v="55.06"/>
    <n v="3"/>
    <n v="0.2"/>
    <n v="-11.56"/>
  </r>
  <r>
    <n v="352"/>
    <x v="351"/>
    <x v="202"/>
    <d v="2024-12-19T00:00:00"/>
    <x v="2"/>
    <s v="CUST-1309"/>
    <s v="Customer 119"/>
    <x v="0"/>
    <x v="0"/>
    <x v="5"/>
    <x v="5"/>
    <n v="202416"/>
    <x v="0"/>
    <x v="76"/>
    <x v="2"/>
    <x v="4"/>
    <x v="298"/>
    <n v="607.82000000000005"/>
    <n v="5"/>
    <n v="0.15"/>
    <n v="15.24"/>
  </r>
  <r>
    <n v="353"/>
    <x v="352"/>
    <x v="174"/>
    <d v="2025-05-16T00:00:00"/>
    <x v="1"/>
    <s v="CUST-1301"/>
    <s v="Customer 113"/>
    <x v="0"/>
    <x v="0"/>
    <x v="3"/>
    <x v="3"/>
    <n v="964899"/>
    <x v="1"/>
    <x v="282"/>
    <x v="0"/>
    <x v="0"/>
    <x v="299"/>
    <n v="76.48"/>
    <n v="3"/>
    <n v="0.2"/>
    <n v="-62.66"/>
  </r>
  <r>
    <n v="354"/>
    <x v="353"/>
    <x v="263"/>
    <d v="2024-10-31T00:00:00"/>
    <x v="1"/>
    <s v="CUST-1321"/>
    <s v="Customer 168"/>
    <x v="1"/>
    <x v="0"/>
    <x v="4"/>
    <x v="4"/>
    <n v="507124"/>
    <x v="3"/>
    <x v="283"/>
    <x v="1"/>
    <x v="1"/>
    <x v="300"/>
    <n v="102.34"/>
    <n v="9"/>
    <n v="0.15"/>
    <n v="27.36"/>
  </r>
  <r>
    <n v="355"/>
    <x v="354"/>
    <x v="264"/>
    <d v="2024-07-01T00:00:00"/>
    <x v="1"/>
    <s v="CUST-1194"/>
    <s v="Customer 158"/>
    <x v="2"/>
    <x v="0"/>
    <x v="7"/>
    <x v="7"/>
    <n v="904114"/>
    <x v="4"/>
    <x v="284"/>
    <x v="0"/>
    <x v="6"/>
    <x v="301"/>
    <n v="64.349999999999994"/>
    <n v="2"/>
    <n v="0.15"/>
    <n v="6.26"/>
  </r>
  <r>
    <n v="356"/>
    <x v="355"/>
    <x v="265"/>
    <d v="2025-08-31T00:00:00"/>
    <x v="2"/>
    <s v="CUST-1010"/>
    <s v="Customer 254"/>
    <x v="0"/>
    <x v="0"/>
    <x v="5"/>
    <x v="5"/>
    <n v="983583"/>
    <x v="0"/>
    <x v="251"/>
    <x v="1"/>
    <x v="2"/>
    <x v="302"/>
    <n v="263.55"/>
    <n v="6"/>
    <n v="0.1"/>
    <n v="47.9"/>
  </r>
  <r>
    <n v="357"/>
    <x v="356"/>
    <x v="119"/>
    <d v="2024-04-09T00:00:00"/>
    <x v="3"/>
    <s v="CUST-1267"/>
    <s v="Customer 023"/>
    <x v="1"/>
    <x v="0"/>
    <x v="8"/>
    <x v="8"/>
    <n v="229789"/>
    <x v="3"/>
    <x v="285"/>
    <x v="1"/>
    <x v="8"/>
    <x v="303"/>
    <n v="98.09"/>
    <n v="5"/>
    <n v="0.1"/>
    <n v="28.91"/>
  </r>
  <r>
    <n v="358"/>
    <x v="357"/>
    <x v="37"/>
    <d v="2025-12-02T00:00:00"/>
    <x v="1"/>
    <s v="CUST-1020"/>
    <s v="Customer 052"/>
    <x v="1"/>
    <x v="0"/>
    <x v="7"/>
    <x v="7"/>
    <n v="895818"/>
    <x v="4"/>
    <x v="286"/>
    <x v="0"/>
    <x v="10"/>
    <x v="278"/>
    <n v="85.36"/>
    <n v="3"/>
    <n v="0.15"/>
    <n v="48.99"/>
  </r>
  <r>
    <n v="359"/>
    <x v="358"/>
    <x v="266"/>
    <d v="2024-04-27T00:00:00"/>
    <x v="1"/>
    <s v="CUST-1259"/>
    <s v="Customer 079"/>
    <x v="2"/>
    <x v="0"/>
    <x v="2"/>
    <x v="2"/>
    <n v="516363"/>
    <x v="2"/>
    <x v="287"/>
    <x v="0"/>
    <x v="10"/>
    <x v="304"/>
    <n v="92.75"/>
    <n v="8"/>
    <n v="0.2"/>
    <n v="-5.98"/>
  </r>
  <r>
    <n v="360"/>
    <x v="359"/>
    <x v="267"/>
    <d v="2024-07-12T00:00:00"/>
    <x v="3"/>
    <s v="CUST-1000"/>
    <s v="Customer 131"/>
    <x v="0"/>
    <x v="0"/>
    <x v="2"/>
    <x v="2"/>
    <n v="157124"/>
    <x v="2"/>
    <x v="78"/>
    <x v="1"/>
    <x v="8"/>
    <x v="305"/>
    <n v="42.43"/>
    <n v="8"/>
    <n v="0.05"/>
    <n v="23.91"/>
  </r>
  <r>
    <n v="361"/>
    <x v="360"/>
    <x v="30"/>
    <d v="2024-09-14T00:00:00"/>
    <x v="2"/>
    <s v="CUST-1386"/>
    <s v="Customer 341"/>
    <x v="2"/>
    <x v="0"/>
    <x v="6"/>
    <x v="6"/>
    <n v="794934"/>
    <x v="2"/>
    <x v="96"/>
    <x v="1"/>
    <x v="1"/>
    <x v="139"/>
    <n v="67.180000000000007"/>
    <n v="1"/>
    <n v="0.2"/>
    <n v="42.21"/>
  </r>
  <r>
    <n v="362"/>
    <x v="361"/>
    <x v="26"/>
    <d v="2024-06-12T00:00:00"/>
    <x v="1"/>
    <s v="CUST-1246"/>
    <s v="Customer 316"/>
    <x v="0"/>
    <x v="0"/>
    <x v="0"/>
    <x v="0"/>
    <n v="808032"/>
    <x v="0"/>
    <x v="288"/>
    <x v="2"/>
    <x v="4"/>
    <x v="306"/>
    <n v="327.58"/>
    <n v="5"/>
    <n v="0.2"/>
    <n v="40.549999999999997"/>
  </r>
  <r>
    <n v="363"/>
    <x v="362"/>
    <x v="268"/>
    <d v="2024-09-15T00:00:00"/>
    <x v="0"/>
    <s v="CUST-1395"/>
    <s v="Customer 055"/>
    <x v="0"/>
    <x v="0"/>
    <x v="6"/>
    <x v="6"/>
    <n v="766469"/>
    <x v="2"/>
    <x v="289"/>
    <x v="2"/>
    <x v="3"/>
    <x v="307"/>
    <n v="259.98"/>
    <n v="3"/>
    <n v="0.3"/>
    <n v="1.46"/>
  </r>
  <r>
    <n v="364"/>
    <x v="363"/>
    <x v="269"/>
    <d v="2024-11-21T00:00:00"/>
    <x v="0"/>
    <s v="CUST-1040"/>
    <s v="Customer 077"/>
    <x v="0"/>
    <x v="0"/>
    <x v="3"/>
    <x v="3"/>
    <n v="628058"/>
    <x v="1"/>
    <x v="290"/>
    <x v="0"/>
    <x v="9"/>
    <x v="308"/>
    <n v="43.38"/>
    <n v="5"/>
    <n v="0.15"/>
    <n v="9.02"/>
  </r>
  <r>
    <n v="365"/>
    <x v="364"/>
    <x v="270"/>
    <d v="2024-05-10T00:00:00"/>
    <x v="1"/>
    <s v="CUST-1247"/>
    <s v="Customer 069"/>
    <x v="0"/>
    <x v="0"/>
    <x v="7"/>
    <x v="7"/>
    <n v="550491"/>
    <x v="4"/>
    <x v="291"/>
    <x v="1"/>
    <x v="8"/>
    <x v="309"/>
    <n v="71.349999999999994"/>
    <n v="1"/>
    <n v="0.1"/>
    <n v="-63.57"/>
  </r>
  <r>
    <n v="366"/>
    <x v="365"/>
    <x v="271"/>
    <d v="2024-01-20T00:00:00"/>
    <x v="1"/>
    <s v="CUST-1262"/>
    <s v="Customer 097"/>
    <x v="2"/>
    <x v="0"/>
    <x v="0"/>
    <x v="0"/>
    <n v="686864"/>
    <x v="0"/>
    <x v="170"/>
    <x v="1"/>
    <x v="2"/>
    <x v="310"/>
    <n v="44.74"/>
    <n v="6"/>
    <n v="0.1"/>
    <n v="18.7"/>
  </r>
  <r>
    <n v="367"/>
    <x v="366"/>
    <x v="67"/>
    <d v="2025-07-23T00:00:00"/>
    <x v="0"/>
    <s v="CUST-1281"/>
    <s v="Customer 385"/>
    <x v="0"/>
    <x v="0"/>
    <x v="4"/>
    <x v="4"/>
    <n v="262357"/>
    <x v="3"/>
    <x v="292"/>
    <x v="1"/>
    <x v="2"/>
    <x v="311"/>
    <n v="109.57"/>
    <n v="4"/>
    <n v="0.1"/>
    <n v="13.86"/>
  </r>
  <r>
    <n v="368"/>
    <x v="367"/>
    <x v="272"/>
    <d v="2025-07-29T00:00:00"/>
    <x v="0"/>
    <s v="CUST-1086"/>
    <s v="Customer 082"/>
    <x v="1"/>
    <x v="0"/>
    <x v="8"/>
    <x v="8"/>
    <n v="412094"/>
    <x v="3"/>
    <x v="293"/>
    <x v="2"/>
    <x v="4"/>
    <x v="312"/>
    <n v="243.39"/>
    <n v="1"/>
    <n v="0.15"/>
    <n v="2.94"/>
  </r>
  <r>
    <n v="369"/>
    <x v="368"/>
    <x v="269"/>
    <d v="2024-11-22T00:00:00"/>
    <x v="0"/>
    <s v="CUST-1380"/>
    <s v="Customer 387"/>
    <x v="1"/>
    <x v="0"/>
    <x v="7"/>
    <x v="7"/>
    <n v="831616"/>
    <x v="4"/>
    <x v="294"/>
    <x v="2"/>
    <x v="11"/>
    <x v="313"/>
    <n v="374.21"/>
    <n v="1"/>
    <n v="0.15"/>
    <n v="-28.85"/>
  </r>
  <r>
    <n v="370"/>
    <x v="369"/>
    <x v="273"/>
    <d v="2025-11-18T00:00:00"/>
    <x v="3"/>
    <s v="CUST-1084"/>
    <s v="Customer 167"/>
    <x v="1"/>
    <x v="0"/>
    <x v="6"/>
    <x v="6"/>
    <n v="963204"/>
    <x v="2"/>
    <x v="295"/>
    <x v="1"/>
    <x v="1"/>
    <x v="314"/>
    <n v="63.73"/>
    <n v="2"/>
    <n v="0.05"/>
    <n v="4.6500000000000004"/>
  </r>
  <r>
    <n v="371"/>
    <x v="370"/>
    <x v="274"/>
    <d v="2025-09-19T00:00:00"/>
    <x v="0"/>
    <s v="CUST-1016"/>
    <s v="Customer 380"/>
    <x v="2"/>
    <x v="0"/>
    <x v="1"/>
    <x v="1"/>
    <n v="721029"/>
    <x v="1"/>
    <x v="296"/>
    <x v="2"/>
    <x v="4"/>
    <x v="315"/>
    <n v="381.93"/>
    <n v="1"/>
    <n v="0.4"/>
    <n v="-39.119999999999997"/>
  </r>
  <r>
    <n v="372"/>
    <x v="371"/>
    <x v="275"/>
    <d v="2024-10-18T00:00:00"/>
    <x v="1"/>
    <s v="CUST-1222"/>
    <s v="Customer 121"/>
    <x v="2"/>
    <x v="0"/>
    <x v="0"/>
    <x v="0"/>
    <n v="507962"/>
    <x v="0"/>
    <x v="297"/>
    <x v="2"/>
    <x v="11"/>
    <x v="316"/>
    <n v="390.83"/>
    <n v="3"/>
    <n v="0.15"/>
    <n v="7.24"/>
  </r>
  <r>
    <n v="373"/>
    <x v="372"/>
    <x v="276"/>
    <d v="2025-10-26T00:00:00"/>
    <x v="1"/>
    <s v="CUST-1267"/>
    <s v="Customer 011"/>
    <x v="2"/>
    <x v="0"/>
    <x v="0"/>
    <x v="0"/>
    <n v="464709"/>
    <x v="0"/>
    <x v="145"/>
    <x v="2"/>
    <x v="3"/>
    <x v="145"/>
    <n v="368.41"/>
    <n v="8"/>
    <n v="0.1"/>
    <n v="31.58"/>
  </r>
  <r>
    <n v="374"/>
    <x v="373"/>
    <x v="277"/>
    <d v="2025-10-02T00:00:00"/>
    <x v="2"/>
    <s v="CUST-1189"/>
    <s v="Customer 068"/>
    <x v="0"/>
    <x v="0"/>
    <x v="8"/>
    <x v="8"/>
    <n v="800251"/>
    <x v="3"/>
    <x v="170"/>
    <x v="1"/>
    <x v="8"/>
    <x v="154"/>
    <n v="87.35"/>
    <n v="3"/>
    <n v="0.2"/>
    <n v="18.59"/>
  </r>
  <r>
    <n v="375"/>
    <x v="374"/>
    <x v="278"/>
    <d v="2024-06-06T00:00:00"/>
    <x v="3"/>
    <s v="CUST-1272"/>
    <s v="Customer 301"/>
    <x v="1"/>
    <x v="0"/>
    <x v="9"/>
    <x v="9"/>
    <n v="802076"/>
    <x v="2"/>
    <x v="176"/>
    <x v="1"/>
    <x v="7"/>
    <x v="317"/>
    <n v="48.73"/>
    <n v="4"/>
    <n v="0.2"/>
    <n v="38.07"/>
  </r>
  <r>
    <n v="376"/>
    <x v="375"/>
    <x v="108"/>
    <d v="2025-05-06T00:00:00"/>
    <x v="0"/>
    <s v="CUST-1324"/>
    <s v="Customer 183"/>
    <x v="0"/>
    <x v="0"/>
    <x v="2"/>
    <x v="2"/>
    <n v="824305"/>
    <x v="2"/>
    <x v="298"/>
    <x v="2"/>
    <x v="4"/>
    <x v="318"/>
    <n v="376.2"/>
    <n v="6"/>
    <n v="0.1"/>
    <n v="42.96"/>
  </r>
  <r>
    <n v="377"/>
    <x v="376"/>
    <x v="23"/>
    <d v="2025-01-25T00:00:00"/>
    <x v="1"/>
    <s v="CUST-1134"/>
    <s v="Customer 334"/>
    <x v="0"/>
    <x v="0"/>
    <x v="2"/>
    <x v="2"/>
    <n v="823380"/>
    <x v="2"/>
    <x v="299"/>
    <x v="0"/>
    <x v="9"/>
    <x v="104"/>
    <n v="256.22000000000003"/>
    <n v="2"/>
    <n v="0.2"/>
    <n v="5.74"/>
  </r>
  <r>
    <n v="378"/>
    <x v="377"/>
    <x v="233"/>
    <d v="2024-04-14T00:00:00"/>
    <x v="1"/>
    <s v="CUST-1063"/>
    <s v="Customer 347"/>
    <x v="2"/>
    <x v="0"/>
    <x v="1"/>
    <x v="1"/>
    <n v="258988"/>
    <x v="1"/>
    <x v="300"/>
    <x v="1"/>
    <x v="7"/>
    <x v="319"/>
    <n v="55.47"/>
    <n v="6"/>
    <n v="0.15"/>
    <n v="4.58"/>
  </r>
  <r>
    <n v="379"/>
    <x v="378"/>
    <x v="128"/>
    <d v="2025-01-30T00:00:00"/>
    <x v="1"/>
    <s v="CUST-1209"/>
    <s v="Customer 029"/>
    <x v="0"/>
    <x v="0"/>
    <x v="3"/>
    <x v="3"/>
    <n v="441603"/>
    <x v="1"/>
    <x v="297"/>
    <x v="1"/>
    <x v="1"/>
    <x v="320"/>
    <n v="45.9"/>
    <n v="9"/>
    <n v="0.2"/>
    <n v="35.33"/>
  </r>
  <r>
    <n v="380"/>
    <x v="379"/>
    <x v="279"/>
    <d v="2024-09-03T00:00:00"/>
    <x v="3"/>
    <s v="CUST-1127"/>
    <s v="Customer 229"/>
    <x v="2"/>
    <x v="0"/>
    <x v="3"/>
    <x v="3"/>
    <n v="557301"/>
    <x v="1"/>
    <x v="301"/>
    <x v="2"/>
    <x v="11"/>
    <x v="47"/>
    <n v="646.92999999999995"/>
    <n v="2"/>
    <n v="0.4"/>
    <n v="-35.4"/>
  </r>
  <r>
    <n v="381"/>
    <x v="380"/>
    <x v="280"/>
    <d v="2024-06-25T00:00:00"/>
    <x v="1"/>
    <s v="CUST-1122"/>
    <s v="Customer 342"/>
    <x v="0"/>
    <x v="0"/>
    <x v="4"/>
    <x v="4"/>
    <n v="364012"/>
    <x v="3"/>
    <x v="302"/>
    <x v="0"/>
    <x v="6"/>
    <x v="10"/>
    <n v="147.41999999999999"/>
    <n v="6"/>
    <n v="0.15"/>
    <n v="-21.54"/>
  </r>
  <r>
    <n v="382"/>
    <x v="381"/>
    <x v="281"/>
    <d v="2024-02-10T00:00:00"/>
    <x v="0"/>
    <s v="CUST-1006"/>
    <s v="Customer 216"/>
    <x v="0"/>
    <x v="0"/>
    <x v="7"/>
    <x v="7"/>
    <n v="296164"/>
    <x v="4"/>
    <x v="303"/>
    <x v="0"/>
    <x v="9"/>
    <x v="79"/>
    <n v="206.8"/>
    <n v="1"/>
    <n v="0.2"/>
    <n v="-1.89"/>
  </r>
  <r>
    <n v="383"/>
    <x v="382"/>
    <x v="69"/>
    <d v="2025-04-25T00:00:00"/>
    <x v="1"/>
    <s v="CUST-1206"/>
    <s v="Customer 333"/>
    <x v="2"/>
    <x v="0"/>
    <x v="5"/>
    <x v="5"/>
    <n v="316351"/>
    <x v="0"/>
    <x v="16"/>
    <x v="1"/>
    <x v="8"/>
    <x v="321"/>
    <n v="75.459999999999994"/>
    <n v="9"/>
    <n v="0.2"/>
    <n v="6.1"/>
  </r>
  <r>
    <n v="384"/>
    <x v="383"/>
    <x v="35"/>
    <d v="2025-11-18T00:00:00"/>
    <x v="1"/>
    <s v="CUST-1256"/>
    <s v="Customer 131"/>
    <x v="0"/>
    <x v="0"/>
    <x v="9"/>
    <x v="9"/>
    <n v="488550"/>
    <x v="2"/>
    <x v="101"/>
    <x v="0"/>
    <x v="6"/>
    <x v="322"/>
    <n v="1225.29"/>
    <n v="2"/>
    <n v="0.2"/>
    <n v="14.95"/>
  </r>
  <r>
    <n v="385"/>
    <x v="384"/>
    <x v="282"/>
    <d v="2025-06-23T00:00:00"/>
    <x v="2"/>
    <s v="CUST-1295"/>
    <s v="Customer 330"/>
    <x v="2"/>
    <x v="0"/>
    <x v="6"/>
    <x v="6"/>
    <n v="803454"/>
    <x v="2"/>
    <x v="304"/>
    <x v="2"/>
    <x v="5"/>
    <x v="323"/>
    <n v="348.77"/>
    <n v="8"/>
    <n v="0.1"/>
    <n v="79.5"/>
  </r>
  <r>
    <n v="386"/>
    <x v="385"/>
    <x v="283"/>
    <d v="2025-02-14T00:00:00"/>
    <x v="2"/>
    <s v="CUST-1076"/>
    <s v="Customer 161"/>
    <x v="2"/>
    <x v="0"/>
    <x v="5"/>
    <x v="5"/>
    <n v="348292"/>
    <x v="0"/>
    <x v="212"/>
    <x v="1"/>
    <x v="7"/>
    <x v="324"/>
    <n v="46.51"/>
    <n v="1"/>
    <n v="0.2"/>
    <n v="46.68"/>
  </r>
  <r>
    <n v="387"/>
    <x v="386"/>
    <x v="141"/>
    <d v="2025-06-12T00:00:00"/>
    <x v="1"/>
    <s v="CUST-1076"/>
    <s v="Customer 206"/>
    <x v="0"/>
    <x v="0"/>
    <x v="5"/>
    <x v="5"/>
    <n v="142299"/>
    <x v="0"/>
    <x v="305"/>
    <x v="1"/>
    <x v="2"/>
    <x v="325"/>
    <n v="218.91"/>
    <n v="8"/>
    <n v="0.15"/>
    <n v="29.35"/>
  </r>
  <r>
    <n v="388"/>
    <x v="387"/>
    <x v="151"/>
    <d v="2025-05-23T00:00:00"/>
    <x v="3"/>
    <s v="CUST-1305"/>
    <s v="Customer 124"/>
    <x v="0"/>
    <x v="0"/>
    <x v="0"/>
    <x v="0"/>
    <n v="801696"/>
    <x v="0"/>
    <x v="306"/>
    <x v="2"/>
    <x v="3"/>
    <x v="277"/>
    <n v="466.09"/>
    <n v="5"/>
    <n v="0.05"/>
    <n v="41.7"/>
  </r>
  <r>
    <n v="389"/>
    <x v="388"/>
    <x v="140"/>
    <d v="2024-02-08T00:00:00"/>
    <x v="2"/>
    <s v="CUST-1330"/>
    <s v="Customer 137"/>
    <x v="1"/>
    <x v="0"/>
    <x v="1"/>
    <x v="1"/>
    <n v="172577"/>
    <x v="1"/>
    <x v="282"/>
    <x v="1"/>
    <x v="8"/>
    <x v="326"/>
    <n v="126.37"/>
    <n v="2"/>
    <n v="0.15"/>
    <n v="9.26"/>
  </r>
  <r>
    <n v="390"/>
    <x v="389"/>
    <x v="284"/>
    <d v="2025-11-17T00:00:00"/>
    <x v="0"/>
    <s v="CUST-1222"/>
    <s v="Customer 120"/>
    <x v="0"/>
    <x v="0"/>
    <x v="2"/>
    <x v="2"/>
    <n v="151999"/>
    <x v="2"/>
    <x v="175"/>
    <x v="2"/>
    <x v="3"/>
    <x v="327"/>
    <n v="238.85"/>
    <n v="5"/>
    <n v="0.15"/>
    <n v="24.28"/>
  </r>
  <r>
    <n v="391"/>
    <x v="390"/>
    <x v="285"/>
    <d v="2024-01-23T00:00:00"/>
    <x v="0"/>
    <s v="CUST-1316"/>
    <s v="Customer 174"/>
    <x v="1"/>
    <x v="0"/>
    <x v="4"/>
    <x v="4"/>
    <n v="962552"/>
    <x v="3"/>
    <x v="307"/>
    <x v="0"/>
    <x v="0"/>
    <x v="0"/>
    <n v="517.79999999999995"/>
    <n v="9"/>
    <n v="0.3"/>
    <n v="-34.14"/>
  </r>
  <r>
    <n v="392"/>
    <x v="391"/>
    <x v="286"/>
    <d v="2024-11-19T00:00:00"/>
    <x v="2"/>
    <s v="CUST-1056"/>
    <s v="Customer 199"/>
    <x v="2"/>
    <x v="0"/>
    <x v="3"/>
    <x v="3"/>
    <n v="108625"/>
    <x v="1"/>
    <x v="308"/>
    <x v="0"/>
    <x v="0"/>
    <x v="328"/>
    <n v="297.11"/>
    <n v="2"/>
    <n v="0"/>
    <n v="1.87"/>
  </r>
  <r>
    <n v="393"/>
    <x v="392"/>
    <x v="257"/>
    <d v="2025-05-30T00:00:00"/>
    <x v="1"/>
    <s v="CUST-1284"/>
    <s v="Customer 048"/>
    <x v="2"/>
    <x v="0"/>
    <x v="1"/>
    <x v="1"/>
    <n v="400706"/>
    <x v="1"/>
    <x v="309"/>
    <x v="1"/>
    <x v="2"/>
    <x v="329"/>
    <n v="97.35"/>
    <n v="3"/>
    <n v="0.15"/>
    <n v="-4.1900000000000004"/>
  </r>
  <r>
    <n v="394"/>
    <x v="393"/>
    <x v="287"/>
    <d v="2025-02-06T00:00:00"/>
    <x v="2"/>
    <s v="CUST-1227"/>
    <s v="Customer 281"/>
    <x v="0"/>
    <x v="0"/>
    <x v="0"/>
    <x v="0"/>
    <n v="830151"/>
    <x v="0"/>
    <x v="310"/>
    <x v="0"/>
    <x v="6"/>
    <x v="330"/>
    <n v="224.11"/>
    <n v="5"/>
    <n v="0.15"/>
    <n v="6.71"/>
  </r>
  <r>
    <n v="395"/>
    <x v="394"/>
    <x v="288"/>
    <d v="2025-10-18T00:00:00"/>
    <x v="1"/>
    <s v="CUST-1032"/>
    <s v="Customer 260"/>
    <x v="1"/>
    <x v="0"/>
    <x v="6"/>
    <x v="6"/>
    <n v="806050"/>
    <x v="2"/>
    <x v="311"/>
    <x v="1"/>
    <x v="2"/>
    <x v="331"/>
    <n v="80.05"/>
    <n v="3"/>
    <n v="0.2"/>
    <n v="35.17"/>
  </r>
  <r>
    <n v="396"/>
    <x v="395"/>
    <x v="289"/>
    <d v="2025-04-19T00:00:00"/>
    <x v="1"/>
    <s v="CUST-1233"/>
    <s v="Customer 333"/>
    <x v="0"/>
    <x v="0"/>
    <x v="4"/>
    <x v="4"/>
    <n v="386539"/>
    <x v="3"/>
    <x v="312"/>
    <x v="1"/>
    <x v="1"/>
    <x v="332"/>
    <n v="42.18"/>
    <n v="3"/>
    <n v="0.1"/>
    <n v="19.48"/>
  </r>
  <r>
    <n v="397"/>
    <x v="396"/>
    <x v="290"/>
    <d v="2024-05-25T00:00:00"/>
    <x v="2"/>
    <s v="CUST-1385"/>
    <s v="Customer 353"/>
    <x v="0"/>
    <x v="0"/>
    <x v="0"/>
    <x v="0"/>
    <n v="882780"/>
    <x v="0"/>
    <x v="285"/>
    <x v="1"/>
    <x v="7"/>
    <x v="239"/>
    <n v="72.17"/>
    <n v="2"/>
    <n v="0.1"/>
    <n v="-13.93"/>
  </r>
  <r>
    <n v="398"/>
    <x v="397"/>
    <x v="56"/>
    <d v="2024-04-04T00:00:00"/>
    <x v="0"/>
    <s v="CUST-1075"/>
    <s v="Customer 035"/>
    <x v="0"/>
    <x v="0"/>
    <x v="2"/>
    <x v="2"/>
    <n v="137180"/>
    <x v="2"/>
    <x v="313"/>
    <x v="1"/>
    <x v="7"/>
    <x v="333"/>
    <n v="34.04"/>
    <n v="2"/>
    <n v="0.2"/>
    <n v="-41.93"/>
  </r>
  <r>
    <n v="399"/>
    <x v="398"/>
    <x v="291"/>
    <d v="2024-12-21T00:00:00"/>
    <x v="1"/>
    <s v="CUST-1386"/>
    <s v="Customer 229"/>
    <x v="1"/>
    <x v="0"/>
    <x v="2"/>
    <x v="2"/>
    <n v="831455"/>
    <x v="2"/>
    <x v="314"/>
    <x v="1"/>
    <x v="1"/>
    <x v="334"/>
    <n v="33.409999999999997"/>
    <n v="4"/>
    <n v="0.3"/>
    <n v="-9.39"/>
  </r>
  <r>
    <n v="400"/>
    <x v="399"/>
    <x v="79"/>
    <d v="2025-12-31T00:00:00"/>
    <x v="2"/>
    <s v="CUST-1255"/>
    <s v="Customer 307"/>
    <x v="1"/>
    <x v="0"/>
    <x v="2"/>
    <x v="2"/>
    <n v="594735"/>
    <x v="2"/>
    <x v="315"/>
    <x v="2"/>
    <x v="4"/>
    <x v="249"/>
    <n v="218.18"/>
    <n v="3"/>
    <n v="0.15"/>
    <n v="14.37"/>
  </r>
  <r>
    <n v="401"/>
    <x v="400"/>
    <x v="292"/>
    <d v="2024-02-24T00:00:00"/>
    <x v="3"/>
    <s v="CUST-1234"/>
    <s v="Customer 165"/>
    <x v="1"/>
    <x v="0"/>
    <x v="1"/>
    <x v="1"/>
    <n v="919433"/>
    <x v="1"/>
    <x v="132"/>
    <x v="0"/>
    <x v="9"/>
    <x v="335"/>
    <n v="271"/>
    <n v="4"/>
    <n v="0.1"/>
    <n v="-6.09"/>
  </r>
  <r>
    <n v="402"/>
    <x v="401"/>
    <x v="293"/>
    <d v="2025-10-28T00:00:00"/>
    <x v="1"/>
    <s v="CUST-1183"/>
    <s v="Customer 185"/>
    <x v="1"/>
    <x v="0"/>
    <x v="1"/>
    <x v="1"/>
    <n v="690555"/>
    <x v="1"/>
    <x v="316"/>
    <x v="1"/>
    <x v="1"/>
    <x v="256"/>
    <n v="65.88"/>
    <n v="8"/>
    <n v="0"/>
    <n v="2.9"/>
  </r>
  <r>
    <n v="403"/>
    <x v="402"/>
    <x v="294"/>
    <d v="2025-11-30T00:00:00"/>
    <x v="1"/>
    <s v="CUST-1193"/>
    <s v="Customer 110"/>
    <x v="2"/>
    <x v="0"/>
    <x v="3"/>
    <x v="3"/>
    <n v="905231"/>
    <x v="1"/>
    <x v="317"/>
    <x v="2"/>
    <x v="3"/>
    <x v="336"/>
    <n v="853.49"/>
    <n v="2"/>
    <n v="0.2"/>
    <n v="55.04"/>
  </r>
  <r>
    <n v="404"/>
    <x v="403"/>
    <x v="133"/>
    <d v="2025-07-30T00:00:00"/>
    <x v="0"/>
    <s v="CUST-1399"/>
    <s v="Customer 207"/>
    <x v="0"/>
    <x v="0"/>
    <x v="3"/>
    <x v="3"/>
    <n v="713521"/>
    <x v="1"/>
    <x v="318"/>
    <x v="1"/>
    <x v="7"/>
    <x v="337"/>
    <n v="325.66000000000003"/>
    <n v="9"/>
    <n v="0.3"/>
    <n v="-41.65"/>
  </r>
  <r>
    <n v="405"/>
    <x v="404"/>
    <x v="38"/>
    <d v="2024-07-11T00:00:00"/>
    <x v="2"/>
    <s v="CUST-1358"/>
    <s v="Customer 381"/>
    <x v="1"/>
    <x v="0"/>
    <x v="6"/>
    <x v="6"/>
    <n v="888427"/>
    <x v="2"/>
    <x v="319"/>
    <x v="1"/>
    <x v="7"/>
    <x v="338"/>
    <n v="201.55"/>
    <n v="1"/>
    <n v="0.15"/>
    <n v="20.07"/>
  </r>
  <r>
    <n v="406"/>
    <x v="405"/>
    <x v="295"/>
    <d v="2024-05-05T00:00:00"/>
    <x v="3"/>
    <s v="CUST-1348"/>
    <s v="Customer 088"/>
    <x v="2"/>
    <x v="0"/>
    <x v="4"/>
    <x v="4"/>
    <n v="323734"/>
    <x v="3"/>
    <x v="320"/>
    <x v="2"/>
    <x v="5"/>
    <x v="339"/>
    <n v="218.51"/>
    <n v="1"/>
    <n v="0.2"/>
    <n v="-10.96"/>
  </r>
  <r>
    <n v="407"/>
    <x v="406"/>
    <x v="296"/>
    <d v="2024-05-30T00:00:00"/>
    <x v="2"/>
    <s v="CUST-1200"/>
    <s v="Customer 026"/>
    <x v="0"/>
    <x v="0"/>
    <x v="8"/>
    <x v="8"/>
    <n v="827468"/>
    <x v="3"/>
    <x v="285"/>
    <x v="1"/>
    <x v="2"/>
    <x v="340"/>
    <n v="155.22999999999999"/>
    <n v="8"/>
    <n v="0"/>
    <n v="-31.28"/>
  </r>
  <r>
    <n v="408"/>
    <x v="407"/>
    <x v="28"/>
    <d v="2024-11-10T00:00:00"/>
    <x v="3"/>
    <s v="CUST-1080"/>
    <s v="Customer 036"/>
    <x v="0"/>
    <x v="0"/>
    <x v="8"/>
    <x v="8"/>
    <n v="422176"/>
    <x v="3"/>
    <x v="290"/>
    <x v="0"/>
    <x v="10"/>
    <x v="341"/>
    <n v="523.11"/>
    <n v="6"/>
    <n v="0.05"/>
    <n v="66.38"/>
  </r>
  <r>
    <n v="409"/>
    <x v="408"/>
    <x v="272"/>
    <d v="2025-07-26T00:00:00"/>
    <x v="2"/>
    <s v="CUST-1078"/>
    <s v="Customer 390"/>
    <x v="2"/>
    <x v="0"/>
    <x v="0"/>
    <x v="0"/>
    <n v="370774"/>
    <x v="0"/>
    <x v="223"/>
    <x v="0"/>
    <x v="9"/>
    <x v="342"/>
    <n v="284.05"/>
    <n v="8"/>
    <n v="0.2"/>
    <n v="-10.11"/>
  </r>
  <r>
    <n v="410"/>
    <x v="409"/>
    <x v="297"/>
    <d v="2024-12-09T00:00:00"/>
    <x v="2"/>
    <s v="CUST-1235"/>
    <s v="Customer 173"/>
    <x v="1"/>
    <x v="0"/>
    <x v="2"/>
    <x v="2"/>
    <n v="931659"/>
    <x v="2"/>
    <x v="321"/>
    <x v="2"/>
    <x v="4"/>
    <x v="343"/>
    <n v="1250.07"/>
    <n v="6"/>
    <n v="0.05"/>
    <n v="186.59"/>
  </r>
  <r>
    <n v="411"/>
    <x v="410"/>
    <x v="298"/>
    <d v="2024-11-05T00:00:00"/>
    <x v="3"/>
    <s v="CUST-1207"/>
    <s v="Customer 095"/>
    <x v="0"/>
    <x v="0"/>
    <x v="4"/>
    <x v="4"/>
    <n v="804989"/>
    <x v="3"/>
    <x v="322"/>
    <x v="2"/>
    <x v="5"/>
    <x v="344"/>
    <n v="386.1"/>
    <n v="3"/>
    <n v="0"/>
    <n v="45.77"/>
  </r>
  <r>
    <n v="412"/>
    <x v="411"/>
    <x v="172"/>
    <d v="2025-11-25T00:00:00"/>
    <x v="1"/>
    <s v="CUST-1054"/>
    <s v="Customer 158"/>
    <x v="2"/>
    <x v="0"/>
    <x v="5"/>
    <x v="5"/>
    <n v="827449"/>
    <x v="0"/>
    <x v="323"/>
    <x v="1"/>
    <x v="2"/>
    <x v="345"/>
    <n v="48.36"/>
    <n v="4"/>
    <n v="0.15"/>
    <n v="-4.9400000000000004"/>
  </r>
  <r>
    <n v="413"/>
    <x v="412"/>
    <x v="35"/>
    <d v="2025-11-14T00:00:00"/>
    <x v="0"/>
    <s v="CUST-1126"/>
    <s v="Customer 197"/>
    <x v="2"/>
    <x v="0"/>
    <x v="1"/>
    <x v="1"/>
    <n v="608898"/>
    <x v="1"/>
    <x v="0"/>
    <x v="1"/>
    <x v="1"/>
    <x v="6"/>
    <n v="40.06"/>
    <n v="3"/>
    <n v="0"/>
    <n v="-36.93"/>
  </r>
  <r>
    <n v="414"/>
    <x v="413"/>
    <x v="227"/>
    <d v="2024-02-25T00:00:00"/>
    <x v="2"/>
    <s v="CUST-1284"/>
    <s v="Customer 095"/>
    <x v="2"/>
    <x v="0"/>
    <x v="7"/>
    <x v="7"/>
    <n v="524861"/>
    <x v="4"/>
    <x v="324"/>
    <x v="1"/>
    <x v="7"/>
    <x v="116"/>
    <n v="21.46"/>
    <n v="4"/>
    <n v="0.2"/>
    <n v="-3.41"/>
  </r>
  <r>
    <n v="415"/>
    <x v="414"/>
    <x v="299"/>
    <d v="2025-03-21T00:00:00"/>
    <x v="3"/>
    <s v="CUST-1248"/>
    <s v="Customer 212"/>
    <x v="2"/>
    <x v="0"/>
    <x v="9"/>
    <x v="9"/>
    <n v="327997"/>
    <x v="2"/>
    <x v="210"/>
    <x v="0"/>
    <x v="10"/>
    <x v="112"/>
    <n v="311.37"/>
    <n v="2"/>
    <n v="0.15"/>
    <n v="10.3"/>
  </r>
  <r>
    <n v="416"/>
    <x v="415"/>
    <x v="123"/>
    <d v="2025-09-08T00:00:00"/>
    <x v="1"/>
    <s v="CUST-1001"/>
    <s v="Customer 088"/>
    <x v="0"/>
    <x v="0"/>
    <x v="6"/>
    <x v="6"/>
    <n v="789050"/>
    <x v="2"/>
    <x v="325"/>
    <x v="2"/>
    <x v="4"/>
    <x v="346"/>
    <n v="379.89"/>
    <n v="1"/>
    <n v="0.1"/>
    <n v="59.34"/>
  </r>
  <r>
    <n v="417"/>
    <x v="416"/>
    <x v="300"/>
    <d v="2024-09-24T00:00:00"/>
    <x v="0"/>
    <s v="CUST-1389"/>
    <s v="Customer 031"/>
    <x v="1"/>
    <x v="0"/>
    <x v="2"/>
    <x v="2"/>
    <n v="216361"/>
    <x v="2"/>
    <x v="326"/>
    <x v="1"/>
    <x v="7"/>
    <x v="116"/>
    <n v="35.74"/>
    <n v="1"/>
    <n v="0.2"/>
    <n v="17.7"/>
  </r>
  <r>
    <n v="418"/>
    <x v="417"/>
    <x v="86"/>
    <d v="2024-02-24T00:00:00"/>
    <x v="0"/>
    <s v="CUST-1161"/>
    <s v="Customer 357"/>
    <x v="2"/>
    <x v="0"/>
    <x v="2"/>
    <x v="2"/>
    <n v="917276"/>
    <x v="2"/>
    <x v="327"/>
    <x v="2"/>
    <x v="3"/>
    <x v="347"/>
    <n v="454.8"/>
    <n v="7"/>
    <n v="0.1"/>
    <n v="59.18"/>
  </r>
  <r>
    <n v="419"/>
    <x v="418"/>
    <x v="216"/>
    <d v="2025-07-29T00:00:00"/>
    <x v="3"/>
    <s v="CUST-1081"/>
    <s v="Customer 344"/>
    <x v="0"/>
    <x v="0"/>
    <x v="2"/>
    <x v="2"/>
    <n v="624261"/>
    <x v="2"/>
    <x v="245"/>
    <x v="1"/>
    <x v="8"/>
    <x v="348"/>
    <n v="179.39"/>
    <n v="2"/>
    <n v="0.3"/>
    <n v="-10.18"/>
  </r>
  <r>
    <n v="420"/>
    <x v="419"/>
    <x v="149"/>
    <d v="2025-09-12T00:00:00"/>
    <x v="2"/>
    <s v="CUST-1075"/>
    <s v="Customer 379"/>
    <x v="1"/>
    <x v="0"/>
    <x v="1"/>
    <x v="1"/>
    <n v="592280"/>
    <x v="1"/>
    <x v="328"/>
    <x v="1"/>
    <x v="7"/>
    <x v="349"/>
    <n v="43.82"/>
    <n v="7"/>
    <n v="0.2"/>
    <n v="0.23"/>
  </r>
  <r>
    <n v="421"/>
    <x v="420"/>
    <x v="125"/>
    <d v="2024-01-07T00:00:00"/>
    <x v="3"/>
    <s v="CUST-1278"/>
    <s v="Customer 324"/>
    <x v="1"/>
    <x v="0"/>
    <x v="1"/>
    <x v="1"/>
    <n v="446874"/>
    <x v="1"/>
    <x v="329"/>
    <x v="1"/>
    <x v="1"/>
    <x v="350"/>
    <n v="39.049999999999997"/>
    <n v="1"/>
    <n v="0.2"/>
    <n v="-9.6"/>
  </r>
  <r>
    <n v="422"/>
    <x v="421"/>
    <x v="0"/>
    <d v="2024-04-15T00:00:00"/>
    <x v="0"/>
    <s v="CUST-1074"/>
    <s v="Customer 290"/>
    <x v="2"/>
    <x v="0"/>
    <x v="9"/>
    <x v="9"/>
    <n v="346553"/>
    <x v="2"/>
    <x v="330"/>
    <x v="1"/>
    <x v="1"/>
    <x v="351"/>
    <n v="20.74"/>
    <n v="2"/>
    <n v="0.15"/>
    <n v="-3.86"/>
  </r>
  <r>
    <n v="423"/>
    <x v="422"/>
    <x v="301"/>
    <d v="2024-07-17T00:00:00"/>
    <x v="1"/>
    <s v="CUST-1184"/>
    <s v="Customer 215"/>
    <x v="0"/>
    <x v="0"/>
    <x v="5"/>
    <x v="5"/>
    <n v="497243"/>
    <x v="0"/>
    <x v="331"/>
    <x v="2"/>
    <x v="5"/>
    <x v="352"/>
    <n v="525.16999999999996"/>
    <n v="9"/>
    <n v="0.15"/>
    <n v="5.07"/>
  </r>
  <r>
    <n v="424"/>
    <x v="423"/>
    <x v="302"/>
    <d v="2024-12-16T00:00:00"/>
    <x v="2"/>
    <s v="CUST-1245"/>
    <s v="Customer 077"/>
    <x v="1"/>
    <x v="0"/>
    <x v="4"/>
    <x v="4"/>
    <n v="117669"/>
    <x v="3"/>
    <x v="332"/>
    <x v="1"/>
    <x v="1"/>
    <x v="353"/>
    <n v="103.47"/>
    <n v="4"/>
    <n v="0.2"/>
    <n v="10.77"/>
  </r>
  <r>
    <n v="425"/>
    <x v="424"/>
    <x v="303"/>
    <d v="2024-02-22T00:00:00"/>
    <x v="0"/>
    <s v="CUST-1344"/>
    <s v="Customer 072"/>
    <x v="0"/>
    <x v="0"/>
    <x v="2"/>
    <x v="2"/>
    <n v="727523"/>
    <x v="2"/>
    <x v="333"/>
    <x v="0"/>
    <x v="10"/>
    <x v="286"/>
    <n v="838.16"/>
    <n v="3"/>
    <n v="0.2"/>
    <n v="-35.96"/>
  </r>
  <r>
    <n v="426"/>
    <x v="425"/>
    <x v="304"/>
    <d v="2025-10-21T00:00:00"/>
    <x v="0"/>
    <s v="CUST-1015"/>
    <s v="Customer 042"/>
    <x v="2"/>
    <x v="0"/>
    <x v="8"/>
    <x v="8"/>
    <n v="367885"/>
    <x v="3"/>
    <x v="46"/>
    <x v="1"/>
    <x v="8"/>
    <x v="354"/>
    <n v="33.47"/>
    <n v="3"/>
    <n v="0.15"/>
    <n v="-4.72"/>
  </r>
  <r>
    <n v="427"/>
    <x v="426"/>
    <x v="305"/>
    <d v="2024-09-28T00:00:00"/>
    <x v="0"/>
    <s v="CUST-1372"/>
    <s v="Customer 085"/>
    <x v="0"/>
    <x v="0"/>
    <x v="3"/>
    <x v="3"/>
    <n v="473798"/>
    <x v="1"/>
    <x v="334"/>
    <x v="2"/>
    <x v="5"/>
    <x v="355"/>
    <n v="194.63"/>
    <n v="2"/>
    <n v="0.05"/>
    <n v="46.02"/>
  </r>
  <r>
    <n v="428"/>
    <x v="427"/>
    <x v="306"/>
    <d v="2025-01-07T00:00:00"/>
    <x v="1"/>
    <s v="CUST-1196"/>
    <s v="Customer 180"/>
    <x v="1"/>
    <x v="0"/>
    <x v="8"/>
    <x v="8"/>
    <n v="354084"/>
    <x v="3"/>
    <x v="335"/>
    <x v="1"/>
    <x v="1"/>
    <x v="134"/>
    <n v="63.08"/>
    <n v="9"/>
    <n v="0.2"/>
    <n v="17.02"/>
  </r>
  <r>
    <n v="429"/>
    <x v="428"/>
    <x v="307"/>
    <d v="2025-09-30T00:00:00"/>
    <x v="1"/>
    <s v="CUST-1306"/>
    <s v="Customer 266"/>
    <x v="1"/>
    <x v="0"/>
    <x v="0"/>
    <x v="0"/>
    <n v="597981"/>
    <x v="0"/>
    <x v="336"/>
    <x v="1"/>
    <x v="1"/>
    <x v="7"/>
    <n v="46.72"/>
    <n v="9"/>
    <n v="0.3"/>
    <n v="41.9"/>
  </r>
  <r>
    <n v="430"/>
    <x v="429"/>
    <x v="68"/>
    <d v="2024-04-17T00:00:00"/>
    <x v="3"/>
    <s v="CUST-1131"/>
    <s v="Customer 360"/>
    <x v="0"/>
    <x v="0"/>
    <x v="8"/>
    <x v="8"/>
    <n v="742607"/>
    <x v="3"/>
    <x v="316"/>
    <x v="2"/>
    <x v="3"/>
    <x v="356"/>
    <n v="481.72"/>
    <n v="6"/>
    <n v="0.1"/>
    <n v="44.85"/>
  </r>
  <r>
    <n v="431"/>
    <x v="430"/>
    <x v="246"/>
    <d v="2025-11-04T00:00:00"/>
    <x v="1"/>
    <s v="CUST-1018"/>
    <s v="Customer 226"/>
    <x v="2"/>
    <x v="0"/>
    <x v="0"/>
    <x v="0"/>
    <n v="328208"/>
    <x v="0"/>
    <x v="337"/>
    <x v="0"/>
    <x v="10"/>
    <x v="28"/>
    <n v="129.58000000000001"/>
    <n v="3"/>
    <n v="0.1"/>
    <n v="44.65"/>
  </r>
  <r>
    <n v="432"/>
    <x v="431"/>
    <x v="223"/>
    <d v="2025-10-22T00:00:00"/>
    <x v="3"/>
    <s v="CUST-1379"/>
    <s v="Customer 134"/>
    <x v="2"/>
    <x v="0"/>
    <x v="7"/>
    <x v="7"/>
    <n v="821927"/>
    <x v="4"/>
    <x v="338"/>
    <x v="1"/>
    <x v="2"/>
    <x v="162"/>
    <n v="216.69"/>
    <n v="7"/>
    <n v="0.05"/>
    <n v="63.36"/>
  </r>
  <r>
    <n v="433"/>
    <x v="432"/>
    <x v="308"/>
    <d v="2025-10-20T00:00:00"/>
    <x v="0"/>
    <s v="CUST-1311"/>
    <s v="Customer 268"/>
    <x v="2"/>
    <x v="0"/>
    <x v="3"/>
    <x v="3"/>
    <n v="547095"/>
    <x v="1"/>
    <x v="339"/>
    <x v="0"/>
    <x v="10"/>
    <x v="357"/>
    <n v="169.41"/>
    <n v="9"/>
    <n v="0"/>
    <n v="36.67"/>
  </r>
  <r>
    <n v="434"/>
    <x v="433"/>
    <x v="228"/>
    <d v="2024-05-02T00:00:00"/>
    <x v="2"/>
    <s v="CUST-1199"/>
    <s v="Customer 216"/>
    <x v="2"/>
    <x v="0"/>
    <x v="8"/>
    <x v="8"/>
    <n v="237116"/>
    <x v="3"/>
    <x v="340"/>
    <x v="2"/>
    <x v="4"/>
    <x v="166"/>
    <n v="120.95"/>
    <n v="6"/>
    <n v="0.05"/>
    <n v="-9.98"/>
  </r>
  <r>
    <n v="435"/>
    <x v="434"/>
    <x v="309"/>
    <d v="2025-08-29T00:00:00"/>
    <x v="1"/>
    <s v="CUST-1318"/>
    <s v="Customer 217"/>
    <x v="1"/>
    <x v="0"/>
    <x v="7"/>
    <x v="7"/>
    <n v="888326"/>
    <x v="4"/>
    <x v="109"/>
    <x v="2"/>
    <x v="11"/>
    <x v="358"/>
    <n v="303.16000000000003"/>
    <n v="6"/>
    <n v="0.2"/>
    <n v="-7.78"/>
  </r>
  <r>
    <n v="436"/>
    <x v="435"/>
    <x v="310"/>
    <d v="2024-03-02T00:00:00"/>
    <x v="3"/>
    <s v="CUST-1267"/>
    <s v="Customer 298"/>
    <x v="2"/>
    <x v="0"/>
    <x v="6"/>
    <x v="6"/>
    <n v="887001"/>
    <x v="2"/>
    <x v="341"/>
    <x v="2"/>
    <x v="5"/>
    <x v="138"/>
    <n v="209.62"/>
    <n v="8"/>
    <n v="0.05"/>
    <n v="62.11"/>
  </r>
  <r>
    <n v="437"/>
    <x v="436"/>
    <x v="53"/>
    <d v="2024-12-14T00:00:00"/>
    <x v="3"/>
    <s v="CUST-1250"/>
    <s v="Customer 335"/>
    <x v="1"/>
    <x v="0"/>
    <x v="4"/>
    <x v="4"/>
    <n v="301466"/>
    <x v="3"/>
    <x v="342"/>
    <x v="1"/>
    <x v="8"/>
    <x v="359"/>
    <n v="48.46"/>
    <n v="7"/>
    <n v="0.05"/>
    <n v="-23.19"/>
  </r>
  <r>
    <n v="438"/>
    <x v="437"/>
    <x v="311"/>
    <d v="2025-04-20T00:00:00"/>
    <x v="2"/>
    <s v="CUST-1308"/>
    <s v="Customer 059"/>
    <x v="1"/>
    <x v="0"/>
    <x v="7"/>
    <x v="7"/>
    <n v="924765"/>
    <x v="4"/>
    <x v="343"/>
    <x v="0"/>
    <x v="6"/>
    <x v="360"/>
    <n v="549.13"/>
    <n v="8"/>
    <n v="0.15"/>
    <n v="9.4"/>
  </r>
  <r>
    <n v="439"/>
    <x v="438"/>
    <x v="312"/>
    <d v="2024-04-29T00:00:00"/>
    <x v="0"/>
    <s v="CUST-1398"/>
    <s v="Customer 197"/>
    <x v="0"/>
    <x v="0"/>
    <x v="4"/>
    <x v="4"/>
    <n v="406468"/>
    <x v="3"/>
    <x v="344"/>
    <x v="2"/>
    <x v="3"/>
    <x v="361"/>
    <n v="669.25"/>
    <n v="3"/>
    <n v="0"/>
    <n v="136.63"/>
  </r>
  <r>
    <n v="440"/>
    <x v="439"/>
    <x v="313"/>
    <d v="2024-05-08T00:00:00"/>
    <x v="2"/>
    <s v="CUST-1134"/>
    <s v="Customer 313"/>
    <x v="2"/>
    <x v="0"/>
    <x v="8"/>
    <x v="8"/>
    <n v="745687"/>
    <x v="3"/>
    <x v="241"/>
    <x v="0"/>
    <x v="6"/>
    <x v="362"/>
    <n v="96.45"/>
    <n v="3"/>
    <n v="0.3"/>
    <n v="39.36"/>
  </r>
  <r>
    <n v="441"/>
    <x v="440"/>
    <x v="128"/>
    <d v="2025-01-30T00:00:00"/>
    <x v="0"/>
    <s v="CUST-1202"/>
    <s v="Customer 029"/>
    <x v="1"/>
    <x v="0"/>
    <x v="5"/>
    <x v="5"/>
    <n v="975612"/>
    <x v="0"/>
    <x v="24"/>
    <x v="0"/>
    <x v="6"/>
    <x v="363"/>
    <n v="513.96"/>
    <n v="3"/>
    <n v="0.2"/>
    <n v="-39.49"/>
  </r>
  <r>
    <n v="442"/>
    <x v="441"/>
    <x v="209"/>
    <d v="2025-10-03T00:00:00"/>
    <x v="3"/>
    <s v="CUST-1230"/>
    <s v="Customer 134"/>
    <x v="1"/>
    <x v="0"/>
    <x v="7"/>
    <x v="7"/>
    <n v="653098"/>
    <x v="4"/>
    <x v="170"/>
    <x v="2"/>
    <x v="3"/>
    <x v="364"/>
    <n v="162.31"/>
    <n v="3"/>
    <n v="0.1"/>
    <n v="27.07"/>
  </r>
  <r>
    <n v="443"/>
    <x v="442"/>
    <x v="310"/>
    <d v="2024-03-01T00:00:00"/>
    <x v="0"/>
    <s v="CUST-1177"/>
    <s v="Customer 297"/>
    <x v="2"/>
    <x v="0"/>
    <x v="3"/>
    <x v="3"/>
    <n v="912902"/>
    <x v="1"/>
    <x v="345"/>
    <x v="0"/>
    <x v="9"/>
    <x v="365"/>
    <n v="320.52"/>
    <n v="5"/>
    <n v="0.15"/>
    <n v="20.32"/>
  </r>
  <r>
    <n v="444"/>
    <x v="443"/>
    <x v="314"/>
    <d v="2025-09-28T00:00:00"/>
    <x v="3"/>
    <s v="CUST-1342"/>
    <s v="Customer 170"/>
    <x v="0"/>
    <x v="0"/>
    <x v="8"/>
    <x v="8"/>
    <n v="816369"/>
    <x v="3"/>
    <x v="59"/>
    <x v="0"/>
    <x v="0"/>
    <x v="366"/>
    <n v="156"/>
    <n v="6"/>
    <n v="0.1"/>
    <n v="-3.72"/>
  </r>
  <r>
    <n v="445"/>
    <x v="444"/>
    <x v="315"/>
    <d v="2025-05-28T00:00:00"/>
    <x v="2"/>
    <s v="CUST-1381"/>
    <s v="Customer 280"/>
    <x v="2"/>
    <x v="0"/>
    <x v="2"/>
    <x v="2"/>
    <n v="390157"/>
    <x v="2"/>
    <x v="346"/>
    <x v="0"/>
    <x v="0"/>
    <x v="367"/>
    <n v="139.37"/>
    <n v="2"/>
    <n v="0.05"/>
    <n v="6.56"/>
  </r>
  <r>
    <n v="446"/>
    <x v="445"/>
    <x v="136"/>
    <d v="2024-04-09T00:00:00"/>
    <x v="1"/>
    <s v="CUST-1169"/>
    <s v="Customer 178"/>
    <x v="2"/>
    <x v="0"/>
    <x v="1"/>
    <x v="1"/>
    <n v="333982"/>
    <x v="1"/>
    <x v="347"/>
    <x v="1"/>
    <x v="1"/>
    <x v="368"/>
    <n v="235.73"/>
    <n v="8"/>
    <n v="0.15"/>
    <n v="16.96"/>
  </r>
  <r>
    <n v="447"/>
    <x v="446"/>
    <x v="183"/>
    <d v="2025-10-02T00:00:00"/>
    <x v="3"/>
    <s v="CUST-1246"/>
    <s v="Customer 218"/>
    <x v="2"/>
    <x v="0"/>
    <x v="7"/>
    <x v="7"/>
    <n v="837696"/>
    <x v="4"/>
    <x v="166"/>
    <x v="2"/>
    <x v="11"/>
    <x v="369"/>
    <n v="913.02"/>
    <n v="1"/>
    <n v="0.2"/>
    <n v="40.82"/>
  </r>
  <r>
    <n v="448"/>
    <x v="447"/>
    <x v="316"/>
    <d v="2024-04-28T00:00:00"/>
    <x v="1"/>
    <s v="CUST-1073"/>
    <s v="Customer 256"/>
    <x v="2"/>
    <x v="0"/>
    <x v="3"/>
    <x v="3"/>
    <n v="307627"/>
    <x v="1"/>
    <x v="33"/>
    <x v="1"/>
    <x v="8"/>
    <x v="71"/>
    <n v="322.14"/>
    <n v="8"/>
    <n v="0.2"/>
    <n v="10.81"/>
  </r>
  <r>
    <n v="449"/>
    <x v="448"/>
    <x v="317"/>
    <d v="2025-07-17T00:00:00"/>
    <x v="1"/>
    <s v="CUST-1399"/>
    <s v="Customer 080"/>
    <x v="1"/>
    <x v="0"/>
    <x v="6"/>
    <x v="6"/>
    <n v="948292"/>
    <x v="2"/>
    <x v="348"/>
    <x v="0"/>
    <x v="6"/>
    <x v="370"/>
    <n v="144.01"/>
    <n v="9"/>
    <n v="0.05"/>
    <n v="13"/>
  </r>
  <r>
    <n v="450"/>
    <x v="449"/>
    <x v="49"/>
    <d v="2025-08-27T00:00:00"/>
    <x v="1"/>
    <s v="CUST-1206"/>
    <s v="Customer 099"/>
    <x v="1"/>
    <x v="0"/>
    <x v="2"/>
    <x v="2"/>
    <n v="931645"/>
    <x v="2"/>
    <x v="130"/>
    <x v="0"/>
    <x v="0"/>
    <x v="141"/>
    <n v="138.72999999999999"/>
    <n v="6"/>
    <n v="0.15"/>
    <n v="1.74"/>
  </r>
  <r>
    <n v="451"/>
    <x v="450"/>
    <x v="318"/>
    <d v="2025-05-04T00:00:00"/>
    <x v="3"/>
    <s v="CUST-1342"/>
    <s v="Customer 140"/>
    <x v="2"/>
    <x v="0"/>
    <x v="6"/>
    <x v="6"/>
    <n v="645501"/>
    <x v="2"/>
    <x v="349"/>
    <x v="1"/>
    <x v="2"/>
    <x v="371"/>
    <n v="25.39"/>
    <n v="8"/>
    <n v="0.15"/>
    <n v="46"/>
  </r>
  <r>
    <n v="452"/>
    <x v="451"/>
    <x v="319"/>
    <d v="2024-08-30T00:00:00"/>
    <x v="3"/>
    <s v="CUST-1227"/>
    <s v="Customer 371"/>
    <x v="2"/>
    <x v="0"/>
    <x v="8"/>
    <x v="8"/>
    <n v="455439"/>
    <x v="3"/>
    <x v="54"/>
    <x v="0"/>
    <x v="10"/>
    <x v="372"/>
    <n v="324.3"/>
    <n v="9"/>
    <n v="0.2"/>
    <n v="-0.97"/>
  </r>
  <r>
    <n v="453"/>
    <x v="452"/>
    <x v="320"/>
    <d v="2024-10-01T00:00:00"/>
    <x v="0"/>
    <s v="CUST-1374"/>
    <s v="Customer 045"/>
    <x v="2"/>
    <x v="0"/>
    <x v="1"/>
    <x v="1"/>
    <n v="332409"/>
    <x v="1"/>
    <x v="350"/>
    <x v="1"/>
    <x v="8"/>
    <x v="305"/>
    <n v="166.36"/>
    <n v="8"/>
    <n v="0.4"/>
    <n v="-10.59"/>
  </r>
  <r>
    <n v="454"/>
    <x v="453"/>
    <x v="321"/>
    <d v="2024-07-13T00:00:00"/>
    <x v="3"/>
    <s v="CUST-1034"/>
    <s v="Customer 215"/>
    <x v="0"/>
    <x v="0"/>
    <x v="7"/>
    <x v="7"/>
    <n v="807161"/>
    <x v="4"/>
    <x v="351"/>
    <x v="1"/>
    <x v="7"/>
    <x v="255"/>
    <n v="17.05"/>
    <n v="6"/>
    <n v="0.15"/>
    <n v="6.48"/>
  </r>
  <r>
    <n v="455"/>
    <x v="454"/>
    <x v="322"/>
    <d v="2025-12-06T00:00:00"/>
    <x v="3"/>
    <s v="CUST-1122"/>
    <s v="Customer 186"/>
    <x v="0"/>
    <x v="0"/>
    <x v="7"/>
    <x v="7"/>
    <n v="179876"/>
    <x v="4"/>
    <x v="352"/>
    <x v="0"/>
    <x v="10"/>
    <x v="373"/>
    <n v="255.95"/>
    <n v="9"/>
    <n v="0.1"/>
    <n v="-14.3"/>
  </r>
  <r>
    <n v="456"/>
    <x v="455"/>
    <x v="323"/>
    <d v="2025-03-25T00:00:00"/>
    <x v="3"/>
    <s v="CUST-1211"/>
    <s v="Customer 239"/>
    <x v="0"/>
    <x v="0"/>
    <x v="5"/>
    <x v="5"/>
    <n v="267229"/>
    <x v="0"/>
    <x v="274"/>
    <x v="1"/>
    <x v="7"/>
    <x v="178"/>
    <n v="13.79"/>
    <n v="1"/>
    <n v="0.05"/>
    <n v="-0.26"/>
  </r>
  <r>
    <n v="457"/>
    <x v="456"/>
    <x v="324"/>
    <d v="2025-08-09T00:00:00"/>
    <x v="2"/>
    <s v="CUST-1141"/>
    <s v="Customer 080"/>
    <x v="1"/>
    <x v="0"/>
    <x v="5"/>
    <x v="5"/>
    <n v="859942"/>
    <x v="0"/>
    <x v="353"/>
    <x v="1"/>
    <x v="1"/>
    <x v="118"/>
    <n v="115.32"/>
    <n v="9"/>
    <n v="0.1"/>
    <n v="-24.07"/>
  </r>
  <r>
    <n v="458"/>
    <x v="457"/>
    <x v="186"/>
    <d v="2024-09-06T00:00:00"/>
    <x v="3"/>
    <s v="CUST-1087"/>
    <s v="Customer 097"/>
    <x v="2"/>
    <x v="0"/>
    <x v="8"/>
    <x v="8"/>
    <n v="218998"/>
    <x v="3"/>
    <x v="354"/>
    <x v="2"/>
    <x v="4"/>
    <x v="318"/>
    <n v="534.61"/>
    <n v="3"/>
    <n v="0.05"/>
    <n v="68.7"/>
  </r>
  <r>
    <n v="459"/>
    <x v="458"/>
    <x v="325"/>
    <d v="2024-03-18T00:00:00"/>
    <x v="3"/>
    <s v="CUST-1154"/>
    <s v="Customer 175"/>
    <x v="0"/>
    <x v="0"/>
    <x v="8"/>
    <x v="8"/>
    <n v="650277"/>
    <x v="3"/>
    <x v="201"/>
    <x v="2"/>
    <x v="11"/>
    <x v="374"/>
    <n v="1444.5"/>
    <n v="1"/>
    <n v="0.4"/>
    <n v="-73.819999999999993"/>
  </r>
  <r>
    <n v="460"/>
    <x v="459"/>
    <x v="326"/>
    <d v="2024-06-05T00:00:00"/>
    <x v="0"/>
    <s v="CUST-1302"/>
    <s v="Customer 029"/>
    <x v="1"/>
    <x v="0"/>
    <x v="1"/>
    <x v="1"/>
    <n v="160204"/>
    <x v="1"/>
    <x v="355"/>
    <x v="2"/>
    <x v="11"/>
    <x v="375"/>
    <n v="414.66"/>
    <n v="2"/>
    <n v="0.2"/>
    <n v="32.75"/>
  </r>
  <r>
    <n v="461"/>
    <x v="460"/>
    <x v="304"/>
    <d v="2025-10-20T00:00:00"/>
    <x v="0"/>
    <s v="CUST-1377"/>
    <s v="Customer 076"/>
    <x v="2"/>
    <x v="0"/>
    <x v="5"/>
    <x v="5"/>
    <n v="221831"/>
    <x v="0"/>
    <x v="356"/>
    <x v="1"/>
    <x v="7"/>
    <x v="376"/>
    <n v="147"/>
    <n v="4"/>
    <n v="0"/>
    <n v="45.88"/>
  </r>
  <r>
    <n v="462"/>
    <x v="461"/>
    <x v="327"/>
    <d v="2025-03-13T00:00:00"/>
    <x v="3"/>
    <s v="CUST-1094"/>
    <s v="Customer 246"/>
    <x v="2"/>
    <x v="0"/>
    <x v="3"/>
    <x v="3"/>
    <n v="871706"/>
    <x v="1"/>
    <x v="357"/>
    <x v="1"/>
    <x v="8"/>
    <x v="377"/>
    <n v="35.49"/>
    <n v="1"/>
    <n v="0.1"/>
    <n v="9.7100000000000009"/>
  </r>
  <r>
    <n v="463"/>
    <x v="462"/>
    <x v="145"/>
    <d v="2024-03-28T00:00:00"/>
    <x v="0"/>
    <s v="CUST-1138"/>
    <s v="Customer 327"/>
    <x v="1"/>
    <x v="0"/>
    <x v="3"/>
    <x v="3"/>
    <n v="340678"/>
    <x v="1"/>
    <x v="303"/>
    <x v="1"/>
    <x v="1"/>
    <x v="378"/>
    <n v="132.36000000000001"/>
    <n v="1"/>
    <n v="0.1"/>
    <n v="21.02"/>
  </r>
  <r>
    <n v="464"/>
    <x v="463"/>
    <x v="328"/>
    <d v="2025-11-29T00:00:00"/>
    <x v="2"/>
    <s v="CUST-1061"/>
    <s v="Customer 119"/>
    <x v="2"/>
    <x v="0"/>
    <x v="1"/>
    <x v="1"/>
    <n v="686373"/>
    <x v="1"/>
    <x v="174"/>
    <x v="1"/>
    <x v="1"/>
    <x v="41"/>
    <n v="26.1"/>
    <n v="9"/>
    <n v="0.1"/>
    <n v="0.24"/>
  </r>
  <r>
    <n v="465"/>
    <x v="464"/>
    <x v="329"/>
    <d v="2024-10-14T00:00:00"/>
    <x v="3"/>
    <s v="CUST-1142"/>
    <s v="Customer 245"/>
    <x v="0"/>
    <x v="0"/>
    <x v="3"/>
    <x v="3"/>
    <n v="799312"/>
    <x v="1"/>
    <x v="358"/>
    <x v="0"/>
    <x v="0"/>
    <x v="113"/>
    <n v="569.12"/>
    <n v="8"/>
    <n v="0.2"/>
    <n v="-7.26"/>
  </r>
  <r>
    <n v="466"/>
    <x v="465"/>
    <x v="181"/>
    <d v="2024-08-12T00:00:00"/>
    <x v="0"/>
    <s v="CUST-1075"/>
    <s v="Customer 353"/>
    <x v="2"/>
    <x v="0"/>
    <x v="0"/>
    <x v="0"/>
    <n v="680069"/>
    <x v="0"/>
    <x v="359"/>
    <x v="2"/>
    <x v="4"/>
    <x v="166"/>
    <n v="286.32"/>
    <n v="9"/>
    <n v="0.1"/>
    <n v="21.76"/>
  </r>
  <r>
    <n v="467"/>
    <x v="466"/>
    <x v="330"/>
    <d v="2024-03-12T00:00:00"/>
    <x v="2"/>
    <s v="CUST-1220"/>
    <s v="Customer 240"/>
    <x v="0"/>
    <x v="0"/>
    <x v="4"/>
    <x v="4"/>
    <n v="759292"/>
    <x v="3"/>
    <x v="360"/>
    <x v="1"/>
    <x v="2"/>
    <x v="132"/>
    <n v="99.36"/>
    <n v="8"/>
    <n v="0.2"/>
    <n v="-55.37"/>
  </r>
  <r>
    <n v="468"/>
    <x v="467"/>
    <x v="303"/>
    <d v="2024-02-21T00:00:00"/>
    <x v="1"/>
    <s v="CUST-1056"/>
    <s v="Customer 120"/>
    <x v="0"/>
    <x v="0"/>
    <x v="1"/>
    <x v="1"/>
    <n v="172746"/>
    <x v="1"/>
    <x v="361"/>
    <x v="0"/>
    <x v="9"/>
    <x v="379"/>
    <n v="328.11"/>
    <n v="4"/>
    <n v="0.05"/>
    <n v="39.81"/>
  </r>
  <r>
    <n v="469"/>
    <x v="468"/>
    <x v="331"/>
    <d v="2024-04-06T00:00:00"/>
    <x v="0"/>
    <s v="CUST-1387"/>
    <s v="Customer 255"/>
    <x v="1"/>
    <x v="0"/>
    <x v="1"/>
    <x v="1"/>
    <n v="925325"/>
    <x v="1"/>
    <x v="232"/>
    <x v="1"/>
    <x v="7"/>
    <x v="116"/>
    <n v="41.48"/>
    <n v="5"/>
    <n v="0.4"/>
    <n v="-17.38"/>
  </r>
  <r>
    <n v="470"/>
    <x v="469"/>
    <x v="220"/>
    <d v="2025-03-30T00:00:00"/>
    <x v="3"/>
    <s v="CUST-1130"/>
    <s v="Customer 329"/>
    <x v="0"/>
    <x v="0"/>
    <x v="9"/>
    <x v="9"/>
    <n v="825552"/>
    <x v="2"/>
    <x v="362"/>
    <x v="2"/>
    <x v="3"/>
    <x v="188"/>
    <n v="254.97"/>
    <n v="5"/>
    <n v="0"/>
    <n v="15.16"/>
  </r>
  <r>
    <n v="471"/>
    <x v="470"/>
    <x v="332"/>
    <d v="2024-07-26T00:00:00"/>
    <x v="3"/>
    <s v="CUST-1101"/>
    <s v="Customer 260"/>
    <x v="0"/>
    <x v="0"/>
    <x v="2"/>
    <x v="2"/>
    <n v="873164"/>
    <x v="2"/>
    <x v="258"/>
    <x v="0"/>
    <x v="6"/>
    <x v="380"/>
    <n v="231.69"/>
    <n v="2"/>
    <n v="0.2"/>
    <n v="40.01"/>
  </r>
  <r>
    <n v="472"/>
    <x v="471"/>
    <x v="126"/>
    <d v="2024-08-08T00:00:00"/>
    <x v="3"/>
    <s v="CUST-1281"/>
    <s v="Customer 279"/>
    <x v="1"/>
    <x v="0"/>
    <x v="2"/>
    <x v="2"/>
    <n v="717737"/>
    <x v="2"/>
    <x v="363"/>
    <x v="1"/>
    <x v="1"/>
    <x v="220"/>
    <n v="96.61"/>
    <n v="1"/>
    <n v="0.2"/>
    <n v="-47.07"/>
  </r>
  <r>
    <n v="473"/>
    <x v="472"/>
    <x v="311"/>
    <d v="2025-04-23T00:00:00"/>
    <x v="3"/>
    <s v="CUST-1086"/>
    <s v="Customer 309"/>
    <x v="2"/>
    <x v="0"/>
    <x v="0"/>
    <x v="0"/>
    <n v="544161"/>
    <x v="0"/>
    <x v="364"/>
    <x v="1"/>
    <x v="7"/>
    <x v="381"/>
    <n v="39.21"/>
    <n v="6"/>
    <n v="0.2"/>
    <n v="23.3"/>
  </r>
  <r>
    <n v="474"/>
    <x v="473"/>
    <x v="333"/>
    <d v="2025-03-11T00:00:00"/>
    <x v="2"/>
    <s v="CUST-1258"/>
    <s v="Customer 371"/>
    <x v="1"/>
    <x v="0"/>
    <x v="5"/>
    <x v="5"/>
    <n v="692435"/>
    <x v="0"/>
    <x v="75"/>
    <x v="0"/>
    <x v="0"/>
    <x v="48"/>
    <n v="932.16"/>
    <n v="8"/>
    <n v="0.05"/>
    <n v="81.33"/>
  </r>
  <r>
    <n v="475"/>
    <x v="474"/>
    <x v="334"/>
    <d v="2024-12-09T00:00:00"/>
    <x v="0"/>
    <s v="CUST-1165"/>
    <s v="Customer 128"/>
    <x v="2"/>
    <x v="0"/>
    <x v="8"/>
    <x v="8"/>
    <n v="661133"/>
    <x v="3"/>
    <x v="365"/>
    <x v="1"/>
    <x v="7"/>
    <x v="382"/>
    <n v="60.8"/>
    <n v="9"/>
    <n v="0.2"/>
    <n v="21.92"/>
  </r>
  <r>
    <n v="476"/>
    <x v="475"/>
    <x v="208"/>
    <d v="2025-07-07T00:00:00"/>
    <x v="0"/>
    <s v="CUST-1119"/>
    <s v="Customer 293"/>
    <x v="0"/>
    <x v="0"/>
    <x v="8"/>
    <x v="8"/>
    <n v="989856"/>
    <x v="3"/>
    <x v="75"/>
    <x v="2"/>
    <x v="5"/>
    <x v="57"/>
    <n v="120.52"/>
    <n v="8"/>
    <n v="0.1"/>
    <n v="-1.04"/>
  </r>
  <r>
    <n v="477"/>
    <x v="476"/>
    <x v="335"/>
    <d v="2025-09-06T00:00:00"/>
    <x v="2"/>
    <s v="CUST-1371"/>
    <s v="Customer 375"/>
    <x v="1"/>
    <x v="0"/>
    <x v="6"/>
    <x v="6"/>
    <n v="955817"/>
    <x v="2"/>
    <x v="366"/>
    <x v="1"/>
    <x v="1"/>
    <x v="151"/>
    <n v="79.97"/>
    <n v="3"/>
    <n v="0.05"/>
    <n v="26.5"/>
  </r>
  <r>
    <n v="478"/>
    <x v="477"/>
    <x v="106"/>
    <d v="2024-10-18T00:00:00"/>
    <x v="0"/>
    <s v="CUST-1165"/>
    <s v="Customer 029"/>
    <x v="0"/>
    <x v="0"/>
    <x v="0"/>
    <x v="0"/>
    <n v="959222"/>
    <x v="0"/>
    <x v="264"/>
    <x v="1"/>
    <x v="2"/>
    <x v="214"/>
    <n v="59.09"/>
    <n v="3"/>
    <n v="0.15"/>
    <n v="3.55"/>
  </r>
  <r>
    <n v="479"/>
    <x v="478"/>
    <x v="218"/>
    <d v="2024-09-12T00:00:00"/>
    <x v="0"/>
    <s v="CUST-1018"/>
    <s v="Customer 156"/>
    <x v="2"/>
    <x v="0"/>
    <x v="1"/>
    <x v="1"/>
    <n v="246075"/>
    <x v="1"/>
    <x v="304"/>
    <x v="1"/>
    <x v="8"/>
    <x v="383"/>
    <n v="30.26"/>
    <n v="3"/>
    <n v="0"/>
    <n v="5.14"/>
  </r>
  <r>
    <n v="480"/>
    <x v="479"/>
    <x v="336"/>
    <d v="2024-12-24T00:00:00"/>
    <x v="1"/>
    <s v="CUST-1038"/>
    <s v="Customer 290"/>
    <x v="2"/>
    <x v="0"/>
    <x v="0"/>
    <x v="0"/>
    <n v="275403"/>
    <x v="0"/>
    <x v="367"/>
    <x v="1"/>
    <x v="7"/>
    <x v="384"/>
    <n v="146.25"/>
    <n v="1"/>
    <n v="0.1"/>
    <n v="-25.98"/>
  </r>
  <r>
    <n v="481"/>
    <x v="480"/>
    <x v="337"/>
    <d v="2024-01-29T00:00:00"/>
    <x v="2"/>
    <s v="CUST-1199"/>
    <s v="Customer 332"/>
    <x v="0"/>
    <x v="0"/>
    <x v="0"/>
    <x v="0"/>
    <n v="199280"/>
    <x v="0"/>
    <x v="154"/>
    <x v="0"/>
    <x v="9"/>
    <x v="385"/>
    <n v="221.71"/>
    <n v="2"/>
    <n v="0.15"/>
    <n v="-1.59"/>
  </r>
  <r>
    <n v="482"/>
    <x v="481"/>
    <x v="338"/>
    <d v="2025-06-09T00:00:00"/>
    <x v="3"/>
    <s v="CUST-1085"/>
    <s v="Customer 222"/>
    <x v="0"/>
    <x v="0"/>
    <x v="0"/>
    <x v="0"/>
    <n v="924743"/>
    <x v="0"/>
    <x v="368"/>
    <x v="2"/>
    <x v="3"/>
    <x v="386"/>
    <n v="209.77"/>
    <n v="6"/>
    <n v="0.15"/>
    <n v="-5.54"/>
  </r>
  <r>
    <n v="483"/>
    <x v="482"/>
    <x v="15"/>
    <d v="2024-04-13T00:00:00"/>
    <x v="1"/>
    <s v="CUST-1043"/>
    <s v="Customer 165"/>
    <x v="2"/>
    <x v="0"/>
    <x v="2"/>
    <x v="2"/>
    <n v="842691"/>
    <x v="2"/>
    <x v="177"/>
    <x v="1"/>
    <x v="7"/>
    <x v="387"/>
    <n v="46.77"/>
    <n v="2"/>
    <n v="0.3"/>
    <n v="46.86"/>
  </r>
  <r>
    <n v="484"/>
    <x v="483"/>
    <x v="339"/>
    <d v="2024-07-02T00:00:00"/>
    <x v="1"/>
    <s v="CUST-1243"/>
    <s v="Customer 152"/>
    <x v="1"/>
    <x v="0"/>
    <x v="0"/>
    <x v="0"/>
    <n v="824155"/>
    <x v="0"/>
    <x v="155"/>
    <x v="0"/>
    <x v="9"/>
    <x v="388"/>
    <n v="156.24"/>
    <n v="2"/>
    <n v="0.3"/>
    <n v="-41.65"/>
  </r>
  <r>
    <n v="485"/>
    <x v="484"/>
    <x v="340"/>
    <d v="2024-08-13T00:00:00"/>
    <x v="1"/>
    <s v="CUST-1042"/>
    <s v="Customer 008"/>
    <x v="2"/>
    <x v="0"/>
    <x v="4"/>
    <x v="4"/>
    <n v="862580"/>
    <x v="3"/>
    <x v="369"/>
    <x v="1"/>
    <x v="7"/>
    <x v="389"/>
    <n v="19.170000000000002"/>
    <n v="8"/>
    <n v="0.4"/>
    <n v="-22.83"/>
  </r>
  <r>
    <n v="486"/>
    <x v="485"/>
    <x v="223"/>
    <d v="2025-10-21T00:00:00"/>
    <x v="1"/>
    <s v="CUST-1307"/>
    <s v="Customer 325"/>
    <x v="0"/>
    <x v="0"/>
    <x v="8"/>
    <x v="8"/>
    <n v="823704"/>
    <x v="3"/>
    <x v="21"/>
    <x v="2"/>
    <x v="5"/>
    <x v="264"/>
    <n v="189.26"/>
    <n v="7"/>
    <n v="0.2"/>
    <n v="-9.85"/>
  </r>
  <r>
    <n v="487"/>
    <x v="486"/>
    <x v="175"/>
    <d v="2025-03-20T00:00:00"/>
    <x v="3"/>
    <s v="CUST-1101"/>
    <s v="Customer 120"/>
    <x v="0"/>
    <x v="0"/>
    <x v="6"/>
    <x v="6"/>
    <n v="856120"/>
    <x v="2"/>
    <x v="370"/>
    <x v="1"/>
    <x v="8"/>
    <x v="390"/>
    <n v="118.05"/>
    <n v="5"/>
    <n v="0.2"/>
    <n v="-8.09"/>
  </r>
  <r>
    <n v="488"/>
    <x v="487"/>
    <x v="170"/>
    <d v="2025-09-02T00:00:00"/>
    <x v="1"/>
    <s v="CUST-1256"/>
    <s v="Customer 165"/>
    <x v="2"/>
    <x v="0"/>
    <x v="4"/>
    <x v="4"/>
    <n v="281844"/>
    <x v="3"/>
    <x v="188"/>
    <x v="1"/>
    <x v="2"/>
    <x v="391"/>
    <n v="53.62"/>
    <n v="5"/>
    <n v="0.1"/>
    <n v="25.79"/>
  </r>
  <r>
    <n v="489"/>
    <x v="488"/>
    <x v="341"/>
    <d v="2024-11-23T00:00:00"/>
    <x v="0"/>
    <s v="CUST-1308"/>
    <s v="Customer 144"/>
    <x v="1"/>
    <x v="0"/>
    <x v="6"/>
    <x v="6"/>
    <n v="829672"/>
    <x v="2"/>
    <x v="371"/>
    <x v="1"/>
    <x v="1"/>
    <x v="392"/>
    <n v="78.28"/>
    <n v="5"/>
    <n v="0"/>
    <n v="44.35"/>
  </r>
  <r>
    <n v="490"/>
    <x v="489"/>
    <x v="255"/>
    <d v="2025-06-02T00:00:00"/>
    <x v="3"/>
    <s v="CUST-1116"/>
    <s v="Customer 106"/>
    <x v="0"/>
    <x v="0"/>
    <x v="9"/>
    <x v="9"/>
    <n v="579198"/>
    <x v="2"/>
    <x v="63"/>
    <x v="0"/>
    <x v="10"/>
    <x v="393"/>
    <n v="121.35"/>
    <n v="4"/>
    <n v="0.15"/>
    <n v="-8.94"/>
  </r>
  <r>
    <n v="491"/>
    <x v="490"/>
    <x v="342"/>
    <d v="2024-01-19T00:00:00"/>
    <x v="2"/>
    <s v="CUST-1111"/>
    <s v="Customer 120"/>
    <x v="1"/>
    <x v="0"/>
    <x v="6"/>
    <x v="6"/>
    <n v="484467"/>
    <x v="2"/>
    <x v="369"/>
    <x v="1"/>
    <x v="7"/>
    <x v="175"/>
    <n v="80.56"/>
    <n v="5"/>
    <n v="0.15"/>
    <n v="21.38"/>
  </r>
  <r>
    <n v="492"/>
    <x v="491"/>
    <x v="343"/>
    <d v="2024-12-04T00:00:00"/>
    <x v="2"/>
    <s v="CUST-1087"/>
    <s v="Customer 020"/>
    <x v="1"/>
    <x v="0"/>
    <x v="8"/>
    <x v="8"/>
    <n v="290477"/>
    <x v="3"/>
    <x v="225"/>
    <x v="0"/>
    <x v="9"/>
    <x v="128"/>
    <n v="55.25"/>
    <n v="3"/>
    <n v="0.05"/>
    <n v="2.14"/>
  </r>
  <r>
    <n v="493"/>
    <x v="492"/>
    <x v="344"/>
    <d v="2024-09-18T00:00:00"/>
    <x v="0"/>
    <s v="CUST-1171"/>
    <s v="Customer 289"/>
    <x v="2"/>
    <x v="0"/>
    <x v="8"/>
    <x v="8"/>
    <n v="468427"/>
    <x v="3"/>
    <x v="372"/>
    <x v="2"/>
    <x v="11"/>
    <x v="394"/>
    <n v="297.45999999999998"/>
    <n v="2"/>
    <n v="0.1"/>
    <n v="23.29"/>
  </r>
  <r>
    <n v="494"/>
    <x v="493"/>
    <x v="174"/>
    <d v="2025-05-17T00:00:00"/>
    <x v="3"/>
    <s v="CUST-1053"/>
    <s v="Customer 294"/>
    <x v="1"/>
    <x v="0"/>
    <x v="0"/>
    <x v="0"/>
    <n v="920047"/>
    <x v="0"/>
    <x v="373"/>
    <x v="1"/>
    <x v="2"/>
    <x v="395"/>
    <n v="121.11"/>
    <n v="3"/>
    <n v="0.1"/>
    <n v="-17.829999999999998"/>
  </r>
  <r>
    <n v="495"/>
    <x v="494"/>
    <x v="142"/>
    <d v="2024-06-11T00:00:00"/>
    <x v="0"/>
    <s v="CUST-1317"/>
    <s v="Customer 274"/>
    <x v="0"/>
    <x v="0"/>
    <x v="7"/>
    <x v="7"/>
    <n v="667660"/>
    <x v="4"/>
    <x v="146"/>
    <x v="1"/>
    <x v="1"/>
    <x v="1"/>
    <n v="96.02"/>
    <n v="6"/>
    <n v="0"/>
    <n v="46.07"/>
  </r>
  <r>
    <n v="496"/>
    <x v="495"/>
    <x v="32"/>
    <d v="2025-04-21T00:00:00"/>
    <x v="2"/>
    <s v="CUST-1124"/>
    <s v="Customer 025"/>
    <x v="1"/>
    <x v="0"/>
    <x v="9"/>
    <x v="9"/>
    <n v="101919"/>
    <x v="2"/>
    <x v="112"/>
    <x v="1"/>
    <x v="2"/>
    <x v="396"/>
    <n v="118.8"/>
    <n v="5"/>
    <n v="0.1"/>
    <n v="30.86"/>
  </r>
  <r>
    <n v="497"/>
    <x v="496"/>
    <x v="16"/>
    <d v="2025-10-26T00:00:00"/>
    <x v="1"/>
    <s v="CUST-1341"/>
    <s v="Customer 013"/>
    <x v="0"/>
    <x v="0"/>
    <x v="1"/>
    <x v="1"/>
    <n v="636208"/>
    <x v="1"/>
    <x v="331"/>
    <x v="0"/>
    <x v="9"/>
    <x v="397"/>
    <n v="258.42"/>
    <n v="3"/>
    <n v="0.2"/>
    <n v="0.15"/>
  </r>
  <r>
    <n v="498"/>
    <x v="497"/>
    <x v="345"/>
    <d v="2025-11-24T00:00:00"/>
    <x v="2"/>
    <s v="CUST-1045"/>
    <s v="Customer 374"/>
    <x v="1"/>
    <x v="0"/>
    <x v="3"/>
    <x v="3"/>
    <n v="792749"/>
    <x v="1"/>
    <x v="374"/>
    <x v="2"/>
    <x v="11"/>
    <x v="213"/>
    <n v="1212.8599999999999"/>
    <n v="8"/>
    <n v="0.15"/>
    <n v="123.1"/>
  </r>
  <r>
    <n v="499"/>
    <x v="498"/>
    <x v="104"/>
    <d v="2025-11-09T00:00:00"/>
    <x v="2"/>
    <s v="CUST-1174"/>
    <s v="Customer 114"/>
    <x v="2"/>
    <x v="0"/>
    <x v="6"/>
    <x v="6"/>
    <n v="351366"/>
    <x v="2"/>
    <x v="121"/>
    <x v="2"/>
    <x v="11"/>
    <x v="398"/>
    <n v="1179.23"/>
    <n v="3"/>
    <n v="0.15"/>
    <n v="79.709999999999994"/>
  </r>
  <r>
    <n v="500"/>
    <x v="499"/>
    <x v="89"/>
    <d v="2025-01-15T00:00:00"/>
    <x v="0"/>
    <s v="CUST-1107"/>
    <s v="Customer 217"/>
    <x v="0"/>
    <x v="0"/>
    <x v="7"/>
    <x v="7"/>
    <n v="770979"/>
    <x v="4"/>
    <x v="375"/>
    <x v="0"/>
    <x v="6"/>
    <x v="399"/>
    <n v="234.02"/>
    <n v="1"/>
    <n v="0.1"/>
    <n v="34.08"/>
  </r>
  <r>
    <n v="501"/>
    <x v="500"/>
    <x v="346"/>
    <d v="2025-07-01T00:00:00"/>
    <x v="3"/>
    <s v="CUST-1360"/>
    <s v="Customer 200"/>
    <x v="1"/>
    <x v="0"/>
    <x v="0"/>
    <x v="0"/>
    <n v="508224"/>
    <x v="0"/>
    <x v="376"/>
    <x v="0"/>
    <x v="10"/>
    <x v="400"/>
    <n v="270.43"/>
    <n v="2"/>
    <n v="0.1"/>
    <n v="7.47"/>
  </r>
  <r>
    <n v="502"/>
    <x v="501"/>
    <x v="132"/>
    <d v="2025-11-24T00:00:00"/>
    <x v="2"/>
    <s v="CUST-1378"/>
    <s v="Customer 078"/>
    <x v="1"/>
    <x v="0"/>
    <x v="2"/>
    <x v="2"/>
    <n v="609212"/>
    <x v="2"/>
    <x v="302"/>
    <x v="1"/>
    <x v="2"/>
    <x v="401"/>
    <n v="59.65"/>
    <n v="9"/>
    <n v="0"/>
    <n v="-13.16"/>
  </r>
  <r>
    <n v="503"/>
    <x v="502"/>
    <x v="347"/>
    <d v="2025-03-04T00:00:00"/>
    <x v="3"/>
    <s v="CUST-1336"/>
    <s v="Customer 217"/>
    <x v="2"/>
    <x v="0"/>
    <x v="1"/>
    <x v="1"/>
    <n v="444543"/>
    <x v="1"/>
    <x v="218"/>
    <x v="0"/>
    <x v="9"/>
    <x v="402"/>
    <n v="292.43"/>
    <n v="6"/>
    <n v="0.05"/>
    <n v="32.26"/>
  </r>
  <r>
    <n v="504"/>
    <x v="503"/>
    <x v="123"/>
    <d v="2025-09-06T00:00:00"/>
    <x v="1"/>
    <s v="CUST-1249"/>
    <s v="Customer 087"/>
    <x v="1"/>
    <x v="0"/>
    <x v="5"/>
    <x v="5"/>
    <n v="625957"/>
    <x v="0"/>
    <x v="186"/>
    <x v="1"/>
    <x v="2"/>
    <x v="403"/>
    <n v="85.79"/>
    <n v="9"/>
    <n v="0.2"/>
    <n v="-4.7699999999999996"/>
  </r>
  <r>
    <n v="505"/>
    <x v="504"/>
    <x v="176"/>
    <d v="2024-09-26T00:00:00"/>
    <x v="2"/>
    <s v="CUST-1039"/>
    <s v="Customer 264"/>
    <x v="2"/>
    <x v="0"/>
    <x v="7"/>
    <x v="7"/>
    <n v="370855"/>
    <x v="4"/>
    <x v="377"/>
    <x v="1"/>
    <x v="2"/>
    <x v="89"/>
    <n v="56.32"/>
    <n v="4"/>
    <n v="0.05"/>
    <n v="16.399999999999999"/>
  </r>
  <r>
    <n v="506"/>
    <x v="505"/>
    <x v="348"/>
    <d v="2025-08-01T00:00:00"/>
    <x v="3"/>
    <s v="CUST-1178"/>
    <s v="Customer 086"/>
    <x v="2"/>
    <x v="0"/>
    <x v="2"/>
    <x v="2"/>
    <n v="716798"/>
    <x v="2"/>
    <x v="378"/>
    <x v="1"/>
    <x v="8"/>
    <x v="246"/>
    <n v="153.61000000000001"/>
    <n v="4"/>
    <n v="0.3"/>
    <n v="-5.28"/>
  </r>
  <r>
    <n v="507"/>
    <x v="506"/>
    <x v="349"/>
    <d v="2025-02-24T00:00:00"/>
    <x v="0"/>
    <s v="CUST-1292"/>
    <s v="Customer 068"/>
    <x v="1"/>
    <x v="0"/>
    <x v="9"/>
    <x v="9"/>
    <n v="662345"/>
    <x v="2"/>
    <x v="379"/>
    <x v="1"/>
    <x v="8"/>
    <x v="158"/>
    <n v="50.62"/>
    <n v="4"/>
    <n v="0.05"/>
    <n v="-30.8"/>
  </r>
  <r>
    <n v="508"/>
    <x v="507"/>
    <x v="350"/>
    <d v="2024-06-19T00:00:00"/>
    <x v="3"/>
    <s v="CUST-1249"/>
    <s v="Customer 089"/>
    <x v="2"/>
    <x v="0"/>
    <x v="0"/>
    <x v="0"/>
    <n v="823056"/>
    <x v="0"/>
    <x v="215"/>
    <x v="1"/>
    <x v="7"/>
    <x v="404"/>
    <n v="167.9"/>
    <n v="2"/>
    <n v="0.05"/>
    <n v="9.68"/>
  </r>
  <r>
    <n v="509"/>
    <x v="508"/>
    <x v="351"/>
    <d v="2024-02-13T00:00:00"/>
    <x v="2"/>
    <s v="CUST-1288"/>
    <s v="Customer 100"/>
    <x v="1"/>
    <x v="0"/>
    <x v="1"/>
    <x v="1"/>
    <n v="600812"/>
    <x v="1"/>
    <x v="361"/>
    <x v="0"/>
    <x v="0"/>
    <x v="405"/>
    <n v="256.51"/>
    <n v="7"/>
    <n v="0.1"/>
    <n v="-9.3699999999999992"/>
  </r>
  <r>
    <n v="510"/>
    <x v="509"/>
    <x v="73"/>
    <d v="2025-07-10T00:00:00"/>
    <x v="2"/>
    <s v="CUST-1077"/>
    <s v="Customer 172"/>
    <x v="1"/>
    <x v="0"/>
    <x v="1"/>
    <x v="1"/>
    <n v="664596"/>
    <x v="1"/>
    <x v="79"/>
    <x v="2"/>
    <x v="11"/>
    <x v="406"/>
    <n v="809.88"/>
    <n v="9"/>
    <n v="0.15"/>
    <n v="97.67"/>
  </r>
  <r>
    <n v="511"/>
    <x v="510"/>
    <x v="329"/>
    <d v="2024-10-13T00:00:00"/>
    <x v="1"/>
    <s v="CUST-1340"/>
    <s v="Customer 109"/>
    <x v="2"/>
    <x v="0"/>
    <x v="1"/>
    <x v="1"/>
    <n v="738119"/>
    <x v="1"/>
    <x v="380"/>
    <x v="0"/>
    <x v="9"/>
    <x v="308"/>
    <n v="327.52"/>
    <n v="3"/>
    <n v="0.15"/>
    <n v="55.87"/>
  </r>
  <r>
    <n v="512"/>
    <x v="511"/>
    <x v="352"/>
    <d v="2025-02-03T00:00:00"/>
    <x v="1"/>
    <s v="CUST-1019"/>
    <s v="Customer 315"/>
    <x v="2"/>
    <x v="0"/>
    <x v="9"/>
    <x v="9"/>
    <n v="918902"/>
    <x v="2"/>
    <x v="381"/>
    <x v="0"/>
    <x v="0"/>
    <x v="36"/>
    <n v="377.77"/>
    <n v="5"/>
    <n v="0.15"/>
    <n v="21.59"/>
  </r>
  <r>
    <n v="513"/>
    <x v="512"/>
    <x v="353"/>
    <d v="2024-01-16T00:00:00"/>
    <x v="0"/>
    <s v="CUST-1352"/>
    <s v="Customer 350"/>
    <x v="1"/>
    <x v="0"/>
    <x v="6"/>
    <x v="6"/>
    <n v="357506"/>
    <x v="2"/>
    <x v="382"/>
    <x v="1"/>
    <x v="1"/>
    <x v="407"/>
    <n v="121.5"/>
    <n v="9"/>
    <n v="0"/>
    <n v="28.05"/>
  </r>
  <r>
    <n v="514"/>
    <x v="513"/>
    <x v="265"/>
    <d v="2025-09-01T00:00:00"/>
    <x v="1"/>
    <s v="CUST-1225"/>
    <s v="Customer 196"/>
    <x v="1"/>
    <x v="0"/>
    <x v="5"/>
    <x v="5"/>
    <n v="811741"/>
    <x v="0"/>
    <x v="383"/>
    <x v="0"/>
    <x v="6"/>
    <x v="408"/>
    <n v="213.81"/>
    <n v="3"/>
    <n v="0.1"/>
    <n v="38.950000000000003"/>
  </r>
  <r>
    <n v="515"/>
    <x v="514"/>
    <x v="263"/>
    <d v="2024-10-31T00:00:00"/>
    <x v="1"/>
    <s v="CUST-1305"/>
    <s v="Customer 246"/>
    <x v="2"/>
    <x v="0"/>
    <x v="9"/>
    <x v="9"/>
    <n v="207157"/>
    <x v="2"/>
    <x v="209"/>
    <x v="1"/>
    <x v="8"/>
    <x v="272"/>
    <n v="44.46"/>
    <n v="4"/>
    <n v="0.2"/>
    <n v="38.01"/>
  </r>
  <r>
    <n v="516"/>
    <x v="515"/>
    <x v="30"/>
    <d v="2024-09-12T00:00:00"/>
    <x v="0"/>
    <s v="CUST-1025"/>
    <s v="Customer 350"/>
    <x v="1"/>
    <x v="0"/>
    <x v="3"/>
    <x v="3"/>
    <n v="677569"/>
    <x v="1"/>
    <x v="384"/>
    <x v="1"/>
    <x v="1"/>
    <x v="407"/>
    <n v="24.24"/>
    <n v="8"/>
    <n v="0.1"/>
    <n v="-39.9"/>
  </r>
  <r>
    <n v="517"/>
    <x v="516"/>
    <x v="101"/>
    <d v="2025-05-15T00:00:00"/>
    <x v="3"/>
    <s v="CUST-1294"/>
    <s v="Customer 399"/>
    <x v="2"/>
    <x v="0"/>
    <x v="5"/>
    <x v="5"/>
    <n v="295543"/>
    <x v="0"/>
    <x v="385"/>
    <x v="2"/>
    <x v="11"/>
    <x v="213"/>
    <n v="490.96"/>
    <n v="7"/>
    <n v="0.2"/>
    <n v="20.36"/>
  </r>
  <r>
    <n v="518"/>
    <x v="517"/>
    <x v="61"/>
    <d v="2024-02-05T00:00:00"/>
    <x v="1"/>
    <s v="CUST-1289"/>
    <s v="Customer 209"/>
    <x v="0"/>
    <x v="0"/>
    <x v="8"/>
    <x v="8"/>
    <n v="626748"/>
    <x v="3"/>
    <x v="386"/>
    <x v="1"/>
    <x v="7"/>
    <x v="170"/>
    <n v="27.34"/>
    <n v="8"/>
    <n v="0.15"/>
    <n v="-3.31"/>
  </r>
  <r>
    <n v="519"/>
    <x v="518"/>
    <x v="79"/>
    <d v="2025-12-31T00:00:00"/>
    <x v="3"/>
    <s v="CUST-1352"/>
    <s v="Customer 377"/>
    <x v="2"/>
    <x v="0"/>
    <x v="0"/>
    <x v="0"/>
    <n v="440822"/>
    <x v="0"/>
    <x v="387"/>
    <x v="0"/>
    <x v="0"/>
    <x v="409"/>
    <n v="534.74"/>
    <n v="3"/>
    <n v="0.2"/>
    <n v="-18.440000000000001"/>
  </r>
  <r>
    <n v="520"/>
    <x v="519"/>
    <x v="354"/>
    <d v="2024-04-02T00:00:00"/>
    <x v="0"/>
    <s v="CUST-1004"/>
    <s v="Customer 352"/>
    <x v="0"/>
    <x v="0"/>
    <x v="9"/>
    <x v="9"/>
    <n v="521396"/>
    <x v="2"/>
    <x v="194"/>
    <x v="0"/>
    <x v="9"/>
    <x v="410"/>
    <n v="171.86"/>
    <n v="2"/>
    <n v="0.2"/>
    <n v="39.96"/>
  </r>
  <r>
    <n v="521"/>
    <x v="520"/>
    <x v="355"/>
    <d v="2025-08-30T00:00:00"/>
    <x v="1"/>
    <s v="CUST-1250"/>
    <s v="Customer 384"/>
    <x v="0"/>
    <x v="0"/>
    <x v="2"/>
    <x v="2"/>
    <n v="686901"/>
    <x v="2"/>
    <x v="96"/>
    <x v="1"/>
    <x v="1"/>
    <x v="411"/>
    <n v="150.81"/>
    <n v="6"/>
    <n v="0.05"/>
    <n v="29.61"/>
  </r>
  <r>
    <n v="522"/>
    <x v="521"/>
    <x v="356"/>
    <d v="2025-08-26T00:00:00"/>
    <x v="0"/>
    <s v="CUST-1151"/>
    <s v="Customer 365"/>
    <x v="2"/>
    <x v="0"/>
    <x v="5"/>
    <x v="5"/>
    <n v="891877"/>
    <x v="0"/>
    <x v="180"/>
    <x v="2"/>
    <x v="11"/>
    <x v="412"/>
    <n v="231.13"/>
    <n v="6"/>
    <n v="0.2"/>
    <n v="38.08"/>
  </r>
  <r>
    <n v="523"/>
    <x v="522"/>
    <x v="357"/>
    <d v="2025-02-23T00:00:00"/>
    <x v="2"/>
    <s v="CUST-1343"/>
    <s v="Customer 062"/>
    <x v="0"/>
    <x v="0"/>
    <x v="3"/>
    <x v="3"/>
    <n v="508506"/>
    <x v="1"/>
    <x v="302"/>
    <x v="1"/>
    <x v="2"/>
    <x v="413"/>
    <n v="408.26"/>
    <n v="2"/>
    <n v="0.15"/>
    <n v="83.3"/>
  </r>
  <r>
    <n v="524"/>
    <x v="523"/>
    <x v="358"/>
    <d v="2024-04-30T00:00:00"/>
    <x v="0"/>
    <s v="CUST-1204"/>
    <s v="Customer 267"/>
    <x v="1"/>
    <x v="0"/>
    <x v="8"/>
    <x v="8"/>
    <n v="236559"/>
    <x v="3"/>
    <x v="335"/>
    <x v="0"/>
    <x v="10"/>
    <x v="414"/>
    <n v="91.24"/>
    <n v="2"/>
    <n v="0.3"/>
    <n v="-53.18"/>
  </r>
  <r>
    <n v="525"/>
    <x v="524"/>
    <x v="359"/>
    <d v="2025-09-12T00:00:00"/>
    <x v="1"/>
    <s v="CUST-1170"/>
    <s v="Customer 154"/>
    <x v="0"/>
    <x v="0"/>
    <x v="6"/>
    <x v="6"/>
    <n v="732049"/>
    <x v="2"/>
    <x v="370"/>
    <x v="0"/>
    <x v="10"/>
    <x v="415"/>
    <n v="241.2"/>
    <n v="7"/>
    <n v="0.1"/>
    <n v="55.1"/>
  </r>
  <r>
    <n v="526"/>
    <x v="525"/>
    <x v="301"/>
    <d v="2024-07-15T00:00:00"/>
    <x v="1"/>
    <s v="CUST-1151"/>
    <s v="Customer 102"/>
    <x v="0"/>
    <x v="0"/>
    <x v="2"/>
    <x v="2"/>
    <n v="927367"/>
    <x v="2"/>
    <x v="27"/>
    <x v="1"/>
    <x v="2"/>
    <x v="225"/>
    <n v="82.92"/>
    <n v="2"/>
    <n v="0.15"/>
    <n v="25.9"/>
  </r>
  <r>
    <n v="527"/>
    <x v="526"/>
    <x v="360"/>
    <d v="2025-05-18T00:00:00"/>
    <x v="0"/>
    <s v="CUST-1275"/>
    <s v="Customer 353"/>
    <x v="2"/>
    <x v="0"/>
    <x v="5"/>
    <x v="5"/>
    <n v="509579"/>
    <x v="0"/>
    <x v="121"/>
    <x v="0"/>
    <x v="9"/>
    <x v="379"/>
    <n v="451.69"/>
    <n v="5"/>
    <n v="0.15"/>
    <n v="-44.44"/>
  </r>
  <r>
    <n v="528"/>
    <x v="527"/>
    <x v="274"/>
    <d v="2025-09-19T00:00:00"/>
    <x v="0"/>
    <s v="CUST-1274"/>
    <s v="Customer 206"/>
    <x v="2"/>
    <x v="0"/>
    <x v="0"/>
    <x v="0"/>
    <n v="318811"/>
    <x v="0"/>
    <x v="388"/>
    <x v="2"/>
    <x v="5"/>
    <x v="12"/>
    <n v="170.57"/>
    <n v="5"/>
    <n v="0.15"/>
    <n v="-6.11"/>
  </r>
  <r>
    <n v="529"/>
    <x v="528"/>
    <x v="90"/>
    <d v="2025-05-09T00:00:00"/>
    <x v="0"/>
    <s v="CUST-1388"/>
    <s v="Customer 024"/>
    <x v="1"/>
    <x v="0"/>
    <x v="2"/>
    <x v="2"/>
    <n v="839818"/>
    <x v="2"/>
    <x v="79"/>
    <x v="0"/>
    <x v="0"/>
    <x v="416"/>
    <n v="55.95"/>
    <n v="1"/>
    <n v="0.05"/>
    <n v="16.75"/>
  </r>
  <r>
    <n v="530"/>
    <x v="529"/>
    <x v="361"/>
    <d v="2024-03-16T00:00:00"/>
    <x v="1"/>
    <s v="CUST-1072"/>
    <s v="Customer 361"/>
    <x v="1"/>
    <x v="0"/>
    <x v="8"/>
    <x v="8"/>
    <n v="280889"/>
    <x v="3"/>
    <x v="171"/>
    <x v="1"/>
    <x v="2"/>
    <x v="417"/>
    <n v="126.01"/>
    <n v="5"/>
    <n v="0.15"/>
    <n v="-3.44"/>
  </r>
  <r>
    <n v="531"/>
    <x v="530"/>
    <x v="362"/>
    <d v="2025-02-21T00:00:00"/>
    <x v="1"/>
    <s v="CUST-1046"/>
    <s v="Customer 260"/>
    <x v="0"/>
    <x v="0"/>
    <x v="2"/>
    <x v="2"/>
    <n v="189779"/>
    <x v="2"/>
    <x v="245"/>
    <x v="2"/>
    <x v="3"/>
    <x v="418"/>
    <n v="656.63"/>
    <n v="9"/>
    <n v="0"/>
    <n v="128.46"/>
  </r>
  <r>
    <n v="532"/>
    <x v="531"/>
    <x v="363"/>
    <d v="2025-01-13T00:00:00"/>
    <x v="1"/>
    <s v="CUST-1073"/>
    <s v="Customer 351"/>
    <x v="0"/>
    <x v="0"/>
    <x v="4"/>
    <x v="4"/>
    <n v="383590"/>
    <x v="3"/>
    <x v="139"/>
    <x v="2"/>
    <x v="4"/>
    <x v="419"/>
    <n v="410.35"/>
    <n v="6"/>
    <n v="0.4"/>
    <n v="-35.04"/>
  </r>
  <r>
    <n v="533"/>
    <x v="532"/>
    <x v="231"/>
    <d v="2025-02-28T00:00:00"/>
    <x v="3"/>
    <s v="CUST-1324"/>
    <s v="Customer 010"/>
    <x v="2"/>
    <x v="0"/>
    <x v="7"/>
    <x v="7"/>
    <n v="286272"/>
    <x v="4"/>
    <x v="380"/>
    <x v="2"/>
    <x v="11"/>
    <x v="420"/>
    <n v="166.46"/>
    <n v="3"/>
    <n v="0.2"/>
    <n v="0.24"/>
  </r>
  <r>
    <n v="534"/>
    <x v="533"/>
    <x v="364"/>
    <d v="2025-12-31T00:00:00"/>
    <x v="0"/>
    <s v="CUST-1354"/>
    <s v="Customer 196"/>
    <x v="2"/>
    <x v="0"/>
    <x v="6"/>
    <x v="6"/>
    <n v="635244"/>
    <x v="2"/>
    <x v="375"/>
    <x v="2"/>
    <x v="5"/>
    <x v="352"/>
    <n v="617.71"/>
    <n v="6"/>
    <n v="0.3"/>
    <n v="-1.1299999999999999"/>
  </r>
  <r>
    <n v="535"/>
    <x v="534"/>
    <x v="25"/>
    <d v="2024-10-05T00:00:00"/>
    <x v="1"/>
    <s v="CUST-1361"/>
    <s v="Customer 259"/>
    <x v="0"/>
    <x v="0"/>
    <x v="8"/>
    <x v="8"/>
    <n v="694003"/>
    <x v="3"/>
    <x v="389"/>
    <x v="1"/>
    <x v="8"/>
    <x v="229"/>
    <n v="806.88"/>
    <n v="3"/>
    <n v="0.15"/>
    <n v="84.85"/>
  </r>
  <r>
    <n v="536"/>
    <x v="535"/>
    <x v="365"/>
    <d v="2025-11-08T00:00:00"/>
    <x v="2"/>
    <s v="CUST-1154"/>
    <s v="Customer 277"/>
    <x v="1"/>
    <x v="0"/>
    <x v="2"/>
    <x v="2"/>
    <n v="855724"/>
    <x v="2"/>
    <x v="390"/>
    <x v="1"/>
    <x v="7"/>
    <x v="86"/>
    <n v="48.34"/>
    <n v="3"/>
    <n v="0"/>
    <n v="42.9"/>
  </r>
  <r>
    <n v="537"/>
    <x v="536"/>
    <x v="366"/>
    <d v="2025-01-30T00:00:00"/>
    <x v="1"/>
    <s v="CUST-1276"/>
    <s v="Customer 014"/>
    <x v="2"/>
    <x v="0"/>
    <x v="7"/>
    <x v="7"/>
    <n v="484346"/>
    <x v="4"/>
    <x v="391"/>
    <x v="0"/>
    <x v="6"/>
    <x v="100"/>
    <n v="170.05"/>
    <n v="6"/>
    <n v="0.15"/>
    <n v="-8.91"/>
  </r>
  <r>
    <n v="538"/>
    <x v="537"/>
    <x v="367"/>
    <d v="2025-04-03T00:00:00"/>
    <x v="2"/>
    <s v="CUST-1037"/>
    <s v="Customer 083"/>
    <x v="0"/>
    <x v="0"/>
    <x v="7"/>
    <x v="7"/>
    <n v="959864"/>
    <x v="4"/>
    <x v="2"/>
    <x v="1"/>
    <x v="7"/>
    <x v="68"/>
    <n v="46.81"/>
    <n v="7"/>
    <n v="0.2"/>
    <n v="-23.19"/>
  </r>
  <r>
    <n v="539"/>
    <x v="538"/>
    <x v="24"/>
    <d v="2024-07-14T00:00:00"/>
    <x v="2"/>
    <s v="CUST-1132"/>
    <s v="Customer 325"/>
    <x v="1"/>
    <x v="0"/>
    <x v="2"/>
    <x v="2"/>
    <n v="597165"/>
    <x v="2"/>
    <x v="392"/>
    <x v="0"/>
    <x v="9"/>
    <x v="421"/>
    <n v="114.8"/>
    <n v="3"/>
    <n v="0.2"/>
    <n v="-13.17"/>
  </r>
  <r>
    <n v="540"/>
    <x v="539"/>
    <x v="368"/>
    <d v="2025-11-23T00:00:00"/>
    <x v="2"/>
    <s v="CUST-1047"/>
    <s v="Customer 248"/>
    <x v="2"/>
    <x v="0"/>
    <x v="0"/>
    <x v="0"/>
    <n v="249102"/>
    <x v="0"/>
    <x v="393"/>
    <x v="1"/>
    <x v="7"/>
    <x v="31"/>
    <n v="48.4"/>
    <n v="5"/>
    <n v="0"/>
    <n v="26.87"/>
  </r>
  <r>
    <n v="541"/>
    <x v="540"/>
    <x v="119"/>
    <d v="2024-04-12T00:00:00"/>
    <x v="2"/>
    <s v="CUST-1003"/>
    <s v="Customer 044"/>
    <x v="1"/>
    <x v="0"/>
    <x v="4"/>
    <x v="4"/>
    <n v="189342"/>
    <x v="3"/>
    <x v="101"/>
    <x v="1"/>
    <x v="1"/>
    <x v="219"/>
    <n v="84.69"/>
    <n v="4"/>
    <n v="0"/>
    <n v="19.63"/>
  </r>
  <r>
    <n v="542"/>
    <x v="541"/>
    <x v="369"/>
    <d v="2025-07-04T00:00:00"/>
    <x v="0"/>
    <s v="CUST-1229"/>
    <s v="Customer 067"/>
    <x v="2"/>
    <x v="0"/>
    <x v="9"/>
    <x v="9"/>
    <n v="879680"/>
    <x v="2"/>
    <x v="11"/>
    <x v="0"/>
    <x v="0"/>
    <x v="102"/>
    <n v="79.790000000000006"/>
    <n v="2"/>
    <n v="0.2"/>
    <n v="52.05"/>
  </r>
  <r>
    <n v="543"/>
    <x v="542"/>
    <x v="136"/>
    <d v="2024-04-08T00:00:00"/>
    <x v="2"/>
    <s v="CUST-1127"/>
    <s v="Customer 293"/>
    <x v="1"/>
    <x v="0"/>
    <x v="4"/>
    <x v="4"/>
    <n v="638207"/>
    <x v="3"/>
    <x v="237"/>
    <x v="1"/>
    <x v="2"/>
    <x v="422"/>
    <n v="78.010000000000005"/>
    <n v="8"/>
    <n v="0.3"/>
    <n v="40.92"/>
  </r>
  <r>
    <n v="544"/>
    <x v="543"/>
    <x v="16"/>
    <d v="2025-10-30T00:00:00"/>
    <x v="1"/>
    <s v="CUST-1026"/>
    <s v="Customer 308"/>
    <x v="1"/>
    <x v="0"/>
    <x v="2"/>
    <x v="2"/>
    <n v="127738"/>
    <x v="2"/>
    <x v="118"/>
    <x v="1"/>
    <x v="1"/>
    <x v="163"/>
    <n v="71.55"/>
    <n v="4"/>
    <n v="0.2"/>
    <n v="67.819999999999993"/>
  </r>
  <r>
    <n v="545"/>
    <x v="544"/>
    <x v="276"/>
    <d v="2025-10-28T00:00:00"/>
    <x v="3"/>
    <s v="CUST-1305"/>
    <s v="Customer 142"/>
    <x v="1"/>
    <x v="0"/>
    <x v="6"/>
    <x v="6"/>
    <n v="546439"/>
    <x v="2"/>
    <x v="263"/>
    <x v="0"/>
    <x v="0"/>
    <x v="423"/>
    <n v="95.85"/>
    <n v="5"/>
    <n v="0.4"/>
    <n v="-17.71"/>
  </r>
  <r>
    <n v="546"/>
    <x v="545"/>
    <x v="38"/>
    <d v="2024-07-10T00:00:00"/>
    <x v="2"/>
    <s v="CUST-1116"/>
    <s v="Customer 070"/>
    <x v="1"/>
    <x v="0"/>
    <x v="9"/>
    <x v="9"/>
    <n v="983781"/>
    <x v="2"/>
    <x v="394"/>
    <x v="2"/>
    <x v="11"/>
    <x v="424"/>
    <n v="1076.1099999999999"/>
    <n v="1"/>
    <n v="0.1"/>
    <n v="101.26"/>
  </r>
  <r>
    <n v="547"/>
    <x v="546"/>
    <x v="221"/>
    <d v="2024-02-07T00:00:00"/>
    <x v="3"/>
    <s v="CUST-1099"/>
    <s v="Customer 129"/>
    <x v="2"/>
    <x v="0"/>
    <x v="8"/>
    <x v="8"/>
    <n v="420692"/>
    <x v="3"/>
    <x v="189"/>
    <x v="0"/>
    <x v="10"/>
    <x v="425"/>
    <n v="481.52"/>
    <n v="8"/>
    <n v="0.2"/>
    <n v="3.64"/>
  </r>
  <r>
    <n v="548"/>
    <x v="547"/>
    <x v="370"/>
    <d v="2025-01-07T00:00:00"/>
    <x v="2"/>
    <s v="CUST-1186"/>
    <s v="Customer 364"/>
    <x v="1"/>
    <x v="0"/>
    <x v="4"/>
    <x v="4"/>
    <n v="520615"/>
    <x v="3"/>
    <x v="395"/>
    <x v="1"/>
    <x v="2"/>
    <x v="132"/>
    <n v="68.05"/>
    <n v="8"/>
    <n v="0"/>
    <n v="20.100000000000001"/>
  </r>
  <r>
    <n v="549"/>
    <x v="548"/>
    <x v="371"/>
    <d v="2025-11-27T00:00:00"/>
    <x v="3"/>
    <s v="CUST-1366"/>
    <s v="Customer 066"/>
    <x v="1"/>
    <x v="0"/>
    <x v="2"/>
    <x v="2"/>
    <n v="905428"/>
    <x v="2"/>
    <x v="396"/>
    <x v="1"/>
    <x v="8"/>
    <x v="227"/>
    <n v="66.040000000000006"/>
    <n v="7"/>
    <n v="0.05"/>
    <n v="40.24"/>
  </r>
  <r>
    <n v="550"/>
    <x v="549"/>
    <x v="141"/>
    <d v="2025-06-13T00:00:00"/>
    <x v="2"/>
    <s v="CUST-1318"/>
    <s v="Customer 049"/>
    <x v="0"/>
    <x v="0"/>
    <x v="4"/>
    <x v="4"/>
    <n v="609082"/>
    <x v="3"/>
    <x v="283"/>
    <x v="1"/>
    <x v="7"/>
    <x v="426"/>
    <n v="135.99"/>
    <n v="7"/>
    <n v="0.1"/>
    <n v="-9.4700000000000006"/>
  </r>
  <r>
    <n v="551"/>
    <x v="550"/>
    <x v="372"/>
    <d v="2024-10-07T00:00:00"/>
    <x v="0"/>
    <s v="CUST-1241"/>
    <s v="Customer 213"/>
    <x v="2"/>
    <x v="0"/>
    <x v="9"/>
    <x v="9"/>
    <n v="978333"/>
    <x v="2"/>
    <x v="368"/>
    <x v="1"/>
    <x v="1"/>
    <x v="427"/>
    <n v="158.53"/>
    <n v="7"/>
    <n v="0.3"/>
    <n v="4.8099999999999996"/>
  </r>
  <r>
    <n v="552"/>
    <x v="551"/>
    <x v="87"/>
    <d v="2024-08-05T00:00:00"/>
    <x v="1"/>
    <s v="CUST-1003"/>
    <s v="Customer 088"/>
    <x v="0"/>
    <x v="0"/>
    <x v="3"/>
    <x v="3"/>
    <n v="567119"/>
    <x v="1"/>
    <x v="397"/>
    <x v="1"/>
    <x v="2"/>
    <x v="428"/>
    <n v="48.47"/>
    <n v="9"/>
    <n v="0"/>
    <n v="44.58"/>
  </r>
  <r>
    <n v="553"/>
    <x v="552"/>
    <x v="373"/>
    <d v="2024-10-02T00:00:00"/>
    <x v="0"/>
    <s v="CUST-1368"/>
    <s v="Customer 356"/>
    <x v="2"/>
    <x v="0"/>
    <x v="5"/>
    <x v="5"/>
    <n v="937462"/>
    <x v="0"/>
    <x v="398"/>
    <x v="1"/>
    <x v="2"/>
    <x v="211"/>
    <n v="24.92"/>
    <n v="3"/>
    <n v="0.05"/>
    <n v="17.29"/>
  </r>
  <r>
    <n v="554"/>
    <x v="553"/>
    <x v="374"/>
    <d v="2024-03-05T00:00:00"/>
    <x v="1"/>
    <s v="CUST-1268"/>
    <s v="Customer 003"/>
    <x v="1"/>
    <x v="0"/>
    <x v="4"/>
    <x v="4"/>
    <n v="100015"/>
    <x v="3"/>
    <x v="192"/>
    <x v="1"/>
    <x v="1"/>
    <x v="87"/>
    <n v="170.26"/>
    <n v="6"/>
    <n v="0.05"/>
    <n v="45.52"/>
  </r>
  <r>
    <n v="555"/>
    <x v="554"/>
    <x v="375"/>
    <d v="2025-08-21T00:00:00"/>
    <x v="0"/>
    <s v="CUST-1024"/>
    <s v="Customer 316"/>
    <x v="0"/>
    <x v="0"/>
    <x v="8"/>
    <x v="8"/>
    <n v="498036"/>
    <x v="3"/>
    <x v="333"/>
    <x v="0"/>
    <x v="9"/>
    <x v="429"/>
    <n v="233.43"/>
    <n v="7"/>
    <n v="0.15"/>
    <n v="26.12"/>
  </r>
  <r>
    <n v="556"/>
    <x v="555"/>
    <x v="364"/>
    <d v="2026-01-01T00:00:00"/>
    <x v="0"/>
    <s v="CUST-1208"/>
    <s v="Customer 368"/>
    <x v="2"/>
    <x v="0"/>
    <x v="8"/>
    <x v="8"/>
    <n v="757749"/>
    <x v="3"/>
    <x v="230"/>
    <x v="0"/>
    <x v="10"/>
    <x v="430"/>
    <n v="275.08999999999997"/>
    <n v="2"/>
    <n v="0.1"/>
    <n v="10.54"/>
  </r>
  <r>
    <n v="557"/>
    <x v="556"/>
    <x v="297"/>
    <d v="2024-12-11T00:00:00"/>
    <x v="2"/>
    <s v="CUST-1278"/>
    <s v="Customer 382"/>
    <x v="2"/>
    <x v="0"/>
    <x v="1"/>
    <x v="1"/>
    <n v="686030"/>
    <x v="1"/>
    <x v="8"/>
    <x v="1"/>
    <x v="7"/>
    <x v="431"/>
    <n v="72.8"/>
    <n v="6"/>
    <n v="0.1"/>
    <n v="-20.05"/>
  </r>
  <r>
    <n v="558"/>
    <x v="557"/>
    <x v="352"/>
    <d v="2025-02-03T00:00:00"/>
    <x v="0"/>
    <s v="CUST-1015"/>
    <s v="Customer 091"/>
    <x v="2"/>
    <x v="0"/>
    <x v="4"/>
    <x v="4"/>
    <n v="750299"/>
    <x v="3"/>
    <x v="109"/>
    <x v="2"/>
    <x v="3"/>
    <x v="198"/>
    <n v="162.44"/>
    <n v="2"/>
    <n v="0.15"/>
    <n v="-16.2"/>
  </r>
  <r>
    <n v="559"/>
    <x v="558"/>
    <x v="143"/>
    <d v="2025-12-02T00:00:00"/>
    <x v="0"/>
    <s v="CUST-1131"/>
    <s v="Customer 009"/>
    <x v="1"/>
    <x v="0"/>
    <x v="5"/>
    <x v="5"/>
    <n v="131346"/>
    <x v="0"/>
    <x v="399"/>
    <x v="1"/>
    <x v="2"/>
    <x v="432"/>
    <n v="92.39"/>
    <n v="5"/>
    <n v="0.15"/>
    <n v="-5.51"/>
  </r>
  <r>
    <n v="560"/>
    <x v="559"/>
    <x v="376"/>
    <d v="2024-01-21T00:00:00"/>
    <x v="2"/>
    <s v="CUST-1229"/>
    <s v="Customer 107"/>
    <x v="2"/>
    <x v="0"/>
    <x v="0"/>
    <x v="0"/>
    <n v="513391"/>
    <x v="0"/>
    <x v="383"/>
    <x v="2"/>
    <x v="4"/>
    <x v="433"/>
    <n v="736.35"/>
    <n v="7"/>
    <n v="0.05"/>
    <n v="74.290000000000006"/>
  </r>
  <r>
    <n v="561"/>
    <x v="560"/>
    <x v="377"/>
    <d v="2024-06-27T00:00:00"/>
    <x v="1"/>
    <s v="CUST-1303"/>
    <s v="Customer 163"/>
    <x v="1"/>
    <x v="0"/>
    <x v="7"/>
    <x v="7"/>
    <n v="416782"/>
    <x v="4"/>
    <x v="400"/>
    <x v="0"/>
    <x v="9"/>
    <x v="234"/>
    <n v="574.30999999999995"/>
    <n v="9"/>
    <n v="0.2"/>
    <n v="-24.71"/>
  </r>
  <r>
    <n v="562"/>
    <x v="561"/>
    <x v="335"/>
    <d v="2025-09-06T00:00:00"/>
    <x v="0"/>
    <s v="CUST-1219"/>
    <s v="Customer 254"/>
    <x v="2"/>
    <x v="0"/>
    <x v="5"/>
    <x v="5"/>
    <n v="742480"/>
    <x v="0"/>
    <x v="401"/>
    <x v="1"/>
    <x v="7"/>
    <x v="23"/>
    <n v="81.180000000000007"/>
    <n v="5"/>
    <n v="0"/>
    <n v="-42.33"/>
  </r>
  <r>
    <n v="563"/>
    <x v="562"/>
    <x v="378"/>
    <d v="2025-02-04T00:00:00"/>
    <x v="0"/>
    <s v="CUST-1011"/>
    <s v="Customer 209"/>
    <x v="2"/>
    <x v="0"/>
    <x v="7"/>
    <x v="7"/>
    <n v="606733"/>
    <x v="4"/>
    <x v="402"/>
    <x v="2"/>
    <x v="5"/>
    <x v="434"/>
    <n v="1540.03"/>
    <n v="7"/>
    <n v="0"/>
    <n v="229.02"/>
  </r>
  <r>
    <n v="564"/>
    <x v="563"/>
    <x v="379"/>
    <d v="2025-03-25T00:00:00"/>
    <x v="2"/>
    <s v="CUST-1254"/>
    <s v="Customer 082"/>
    <x v="0"/>
    <x v="0"/>
    <x v="7"/>
    <x v="7"/>
    <n v="134512"/>
    <x v="4"/>
    <x v="171"/>
    <x v="2"/>
    <x v="5"/>
    <x v="435"/>
    <n v="372.22"/>
    <n v="2"/>
    <n v="0"/>
    <n v="47.09"/>
  </r>
  <r>
    <n v="565"/>
    <x v="564"/>
    <x v="171"/>
    <d v="2024-08-23T00:00:00"/>
    <x v="0"/>
    <s v="CUST-1268"/>
    <s v="Customer 047"/>
    <x v="0"/>
    <x v="0"/>
    <x v="3"/>
    <x v="3"/>
    <n v="987743"/>
    <x v="1"/>
    <x v="0"/>
    <x v="0"/>
    <x v="6"/>
    <x v="436"/>
    <n v="701.01"/>
    <n v="4"/>
    <n v="0.15"/>
    <n v="13.09"/>
  </r>
  <r>
    <n v="566"/>
    <x v="565"/>
    <x v="325"/>
    <d v="2024-03-19T00:00:00"/>
    <x v="1"/>
    <s v="CUST-1077"/>
    <s v="Customer 255"/>
    <x v="2"/>
    <x v="0"/>
    <x v="1"/>
    <x v="1"/>
    <n v="519814"/>
    <x v="1"/>
    <x v="370"/>
    <x v="1"/>
    <x v="8"/>
    <x v="92"/>
    <n v="154.84"/>
    <n v="2"/>
    <n v="0.1"/>
    <n v="9.27"/>
  </r>
  <r>
    <n v="567"/>
    <x v="566"/>
    <x v="380"/>
    <d v="2024-09-23T00:00:00"/>
    <x v="2"/>
    <s v="CUST-1190"/>
    <s v="Customer 389"/>
    <x v="0"/>
    <x v="0"/>
    <x v="5"/>
    <x v="5"/>
    <n v="668694"/>
    <x v="0"/>
    <x v="207"/>
    <x v="2"/>
    <x v="4"/>
    <x v="5"/>
    <n v="225.08"/>
    <n v="3"/>
    <n v="0.2"/>
    <n v="-12.2"/>
  </r>
  <r>
    <n v="568"/>
    <x v="567"/>
    <x v="58"/>
    <d v="2025-04-01T00:00:00"/>
    <x v="0"/>
    <s v="CUST-1065"/>
    <s v="Customer 005"/>
    <x v="2"/>
    <x v="0"/>
    <x v="5"/>
    <x v="5"/>
    <n v="949760"/>
    <x v="0"/>
    <x v="141"/>
    <x v="1"/>
    <x v="8"/>
    <x v="437"/>
    <n v="96.68"/>
    <n v="8"/>
    <n v="0.1"/>
    <n v="-2.27"/>
  </r>
  <r>
    <n v="569"/>
    <x v="568"/>
    <x v="381"/>
    <d v="2025-12-21T00:00:00"/>
    <x v="2"/>
    <s v="CUST-1148"/>
    <s v="Customer 350"/>
    <x v="1"/>
    <x v="0"/>
    <x v="3"/>
    <x v="3"/>
    <n v="908538"/>
    <x v="1"/>
    <x v="403"/>
    <x v="2"/>
    <x v="3"/>
    <x v="438"/>
    <n v="438.27"/>
    <n v="5"/>
    <n v="0.2"/>
    <n v="28.4"/>
  </r>
  <r>
    <n v="570"/>
    <x v="569"/>
    <x v="382"/>
    <d v="2025-01-20T00:00:00"/>
    <x v="0"/>
    <s v="CUST-1064"/>
    <s v="Customer 172"/>
    <x v="1"/>
    <x v="0"/>
    <x v="4"/>
    <x v="4"/>
    <n v="441653"/>
    <x v="3"/>
    <x v="404"/>
    <x v="1"/>
    <x v="1"/>
    <x v="439"/>
    <n v="187.91"/>
    <n v="4"/>
    <n v="0.1"/>
    <n v="23.1"/>
  </r>
  <r>
    <n v="571"/>
    <x v="570"/>
    <x v="135"/>
    <d v="2025-07-20T00:00:00"/>
    <x v="3"/>
    <s v="CUST-1296"/>
    <s v="Customer 171"/>
    <x v="2"/>
    <x v="0"/>
    <x v="4"/>
    <x v="4"/>
    <n v="517740"/>
    <x v="3"/>
    <x v="405"/>
    <x v="1"/>
    <x v="2"/>
    <x v="440"/>
    <n v="52.04"/>
    <n v="1"/>
    <n v="0.4"/>
    <n v="-14.01"/>
  </r>
  <r>
    <n v="572"/>
    <x v="571"/>
    <x v="151"/>
    <d v="2025-05-23T00:00:00"/>
    <x v="0"/>
    <s v="CUST-1167"/>
    <s v="Customer 262"/>
    <x v="1"/>
    <x v="0"/>
    <x v="4"/>
    <x v="4"/>
    <n v="784880"/>
    <x v="3"/>
    <x v="406"/>
    <x v="0"/>
    <x v="0"/>
    <x v="441"/>
    <n v="31.27"/>
    <n v="8"/>
    <n v="0.2"/>
    <n v="17.91"/>
  </r>
  <r>
    <n v="573"/>
    <x v="572"/>
    <x v="57"/>
    <d v="2025-01-02T00:00:00"/>
    <x v="3"/>
    <s v="CUST-1279"/>
    <s v="Customer 381"/>
    <x v="1"/>
    <x v="0"/>
    <x v="6"/>
    <x v="6"/>
    <n v="973761"/>
    <x v="2"/>
    <x v="407"/>
    <x v="0"/>
    <x v="0"/>
    <x v="113"/>
    <n v="99.98"/>
    <n v="5"/>
    <n v="0.1"/>
    <n v="-12.94"/>
  </r>
  <r>
    <n v="574"/>
    <x v="573"/>
    <x v="196"/>
    <d v="2024-05-26T00:00:00"/>
    <x v="3"/>
    <s v="CUST-1106"/>
    <s v="Customer 027"/>
    <x v="2"/>
    <x v="0"/>
    <x v="7"/>
    <x v="7"/>
    <n v="828993"/>
    <x v="4"/>
    <x v="177"/>
    <x v="0"/>
    <x v="9"/>
    <x v="442"/>
    <n v="224.91"/>
    <n v="2"/>
    <n v="0.15"/>
    <n v="5.36"/>
  </r>
  <r>
    <n v="575"/>
    <x v="574"/>
    <x v="330"/>
    <d v="2024-03-14T00:00:00"/>
    <x v="1"/>
    <s v="CUST-1386"/>
    <s v="Customer 163"/>
    <x v="0"/>
    <x v="0"/>
    <x v="6"/>
    <x v="6"/>
    <n v="705069"/>
    <x v="2"/>
    <x v="408"/>
    <x v="1"/>
    <x v="8"/>
    <x v="443"/>
    <n v="27.46"/>
    <n v="6"/>
    <n v="0.15"/>
    <n v="-11.62"/>
  </r>
  <r>
    <n v="576"/>
    <x v="575"/>
    <x v="119"/>
    <d v="2024-04-10T00:00:00"/>
    <x v="3"/>
    <s v="CUST-1044"/>
    <s v="Customer 087"/>
    <x v="1"/>
    <x v="0"/>
    <x v="1"/>
    <x v="1"/>
    <n v="900322"/>
    <x v="1"/>
    <x v="160"/>
    <x v="2"/>
    <x v="4"/>
    <x v="444"/>
    <n v="172.91"/>
    <n v="4"/>
    <n v="0.2"/>
    <n v="-0.44"/>
  </r>
  <r>
    <n v="577"/>
    <x v="576"/>
    <x v="378"/>
    <d v="2025-02-02T00:00:00"/>
    <x v="0"/>
    <s v="CUST-1171"/>
    <s v="Customer 262"/>
    <x v="1"/>
    <x v="0"/>
    <x v="3"/>
    <x v="3"/>
    <n v="717620"/>
    <x v="1"/>
    <x v="409"/>
    <x v="2"/>
    <x v="3"/>
    <x v="445"/>
    <n v="509.15"/>
    <n v="3"/>
    <n v="0.05"/>
    <n v="82.44"/>
  </r>
  <r>
    <n v="578"/>
    <x v="577"/>
    <x v="383"/>
    <d v="2024-01-30T00:00:00"/>
    <x v="2"/>
    <s v="CUST-1009"/>
    <s v="Customer 117"/>
    <x v="1"/>
    <x v="0"/>
    <x v="5"/>
    <x v="5"/>
    <n v="475982"/>
    <x v="0"/>
    <x v="275"/>
    <x v="2"/>
    <x v="4"/>
    <x v="446"/>
    <n v="437.97"/>
    <n v="7"/>
    <n v="0.15"/>
    <n v="-15.19"/>
  </r>
  <r>
    <n v="579"/>
    <x v="578"/>
    <x v="384"/>
    <d v="2025-04-15T00:00:00"/>
    <x v="3"/>
    <s v="CUST-1386"/>
    <s v="Customer 233"/>
    <x v="1"/>
    <x v="0"/>
    <x v="7"/>
    <x v="7"/>
    <n v="678032"/>
    <x v="4"/>
    <x v="410"/>
    <x v="0"/>
    <x v="10"/>
    <x v="447"/>
    <n v="450.23"/>
    <n v="7"/>
    <n v="0.15"/>
    <n v="24.68"/>
  </r>
  <r>
    <n v="580"/>
    <x v="579"/>
    <x v="385"/>
    <d v="2025-05-02T00:00:00"/>
    <x v="1"/>
    <s v="CUST-1281"/>
    <s v="Customer 021"/>
    <x v="1"/>
    <x v="0"/>
    <x v="6"/>
    <x v="6"/>
    <n v="337230"/>
    <x v="2"/>
    <x v="411"/>
    <x v="2"/>
    <x v="4"/>
    <x v="448"/>
    <n v="655.5"/>
    <n v="1"/>
    <n v="0.15"/>
    <n v="68.41"/>
  </r>
  <r>
    <n v="581"/>
    <x v="580"/>
    <x v="54"/>
    <d v="2025-07-19T00:00:00"/>
    <x v="0"/>
    <s v="CUST-1275"/>
    <s v="Customer 380"/>
    <x v="2"/>
    <x v="0"/>
    <x v="6"/>
    <x v="6"/>
    <n v="924322"/>
    <x v="2"/>
    <x v="412"/>
    <x v="1"/>
    <x v="2"/>
    <x v="449"/>
    <n v="21.44"/>
    <n v="7"/>
    <n v="0.2"/>
    <n v="-5.33"/>
  </r>
  <r>
    <n v="582"/>
    <x v="581"/>
    <x v="210"/>
    <d v="2024-06-03T00:00:00"/>
    <x v="0"/>
    <s v="CUST-1002"/>
    <s v="Customer 179"/>
    <x v="0"/>
    <x v="0"/>
    <x v="2"/>
    <x v="2"/>
    <n v="125322"/>
    <x v="2"/>
    <x v="413"/>
    <x v="1"/>
    <x v="2"/>
    <x v="450"/>
    <n v="97.98"/>
    <n v="3"/>
    <n v="0.1"/>
    <n v="-6.81"/>
  </r>
  <r>
    <n v="583"/>
    <x v="582"/>
    <x v="196"/>
    <d v="2024-05-26T00:00:00"/>
    <x v="2"/>
    <s v="CUST-1045"/>
    <s v="Customer 332"/>
    <x v="2"/>
    <x v="0"/>
    <x v="6"/>
    <x v="6"/>
    <n v="410509"/>
    <x v="2"/>
    <x v="259"/>
    <x v="0"/>
    <x v="6"/>
    <x v="451"/>
    <n v="841.84"/>
    <n v="5"/>
    <n v="0.3"/>
    <n v="-44.39"/>
  </r>
  <r>
    <n v="584"/>
    <x v="583"/>
    <x v="386"/>
    <d v="2025-07-24T00:00:00"/>
    <x v="0"/>
    <s v="CUST-1356"/>
    <s v="Customer 006"/>
    <x v="2"/>
    <x v="0"/>
    <x v="0"/>
    <x v="0"/>
    <n v="137170"/>
    <x v="0"/>
    <x v="414"/>
    <x v="0"/>
    <x v="9"/>
    <x v="234"/>
    <n v="329.85"/>
    <n v="2"/>
    <n v="0.15"/>
    <n v="-20.69"/>
  </r>
  <r>
    <n v="585"/>
    <x v="584"/>
    <x v="281"/>
    <d v="2024-02-12T00:00:00"/>
    <x v="1"/>
    <s v="CUST-1109"/>
    <s v="Customer 197"/>
    <x v="1"/>
    <x v="0"/>
    <x v="5"/>
    <x v="5"/>
    <n v="740763"/>
    <x v="0"/>
    <x v="415"/>
    <x v="0"/>
    <x v="10"/>
    <x v="148"/>
    <n v="404.88"/>
    <n v="9"/>
    <n v="0.15"/>
    <n v="30.11"/>
  </r>
  <r>
    <n v="586"/>
    <x v="585"/>
    <x v="387"/>
    <d v="2024-04-22T00:00:00"/>
    <x v="2"/>
    <s v="CUST-1228"/>
    <s v="Customer 390"/>
    <x v="0"/>
    <x v="0"/>
    <x v="0"/>
    <x v="0"/>
    <n v="617649"/>
    <x v="0"/>
    <x v="416"/>
    <x v="1"/>
    <x v="8"/>
    <x v="383"/>
    <n v="73.78"/>
    <n v="6"/>
    <n v="0.1"/>
    <n v="-17.84"/>
  </r>
  <r>
    <n v="587"/>
    <x v="586"/>
    <x v="388"/>
    <d v="2025-11-26T00:00:00"/>
    <x v="2"/>
    <s v="CUST-1171"/>
    <s v="Customer 223"/>
    <x v="2"/>
    <x v="0"/>
    <x v="5"/>
    <x v="5"/>
    <n v="258964"/>
    <x v="0"/>
    <x v="282"/>
    <x v="1"/>
    <x v="2"/>
    <x v="452"/>
    <n v="32.46"/>
    <n v="5"/>
    <n v="0.2"/>
    <n v="42.7"/>
  </r>
  <r>
    <n v="588"/>
    <x v="587"/>
    <x v="389"/>
    <d v="2024-02-15T00:00:00"/>
    <x v="0"/>
    <s v="CUST-1387"/>
    <s v="Customer 130"/>
    <x v="0"/>
    <x v="0"/>
    <x v="3"/>
    <x v="3"/>
    <n v="252185"/>
    <x v="1"/>
    <x v="8"/>
    <x v="1"/>
    <x v="8"/>
    <x v="92"/>
    <n v="169.6"/>
    <n v="6"/>
    <n v="0.3"/>
    <n v="37.1"/>
  </r>
  <r>
    <n v="589"/>
    <x v="588"/>
    <x v="390"/>
    <d v="2024-07-06T00:00:00"/>
    <x v="1"/>
    <s v="CUST-1200"/>
    <s v="Customer 059"/>
    <x v="0"/>
    <x v="0"/>
    <x v="5"/>
    <x v="5"/>
    <n v="895016"/>
    <x v="0"/>
    <x v="417"/>
    <x v="1"/>
    <x v="7"/>
    <x v="59"/>
    <n v="44.4"/>
    <n v="6"/>
    <n v="0.4"/>
    <n v="-22.06"/>
  </r>
  <r>
    <n v="590"/>
    <x v="589"/>
    <x v="127"/>
    <d v="2025-02-05T00:00:00"/>
    <x v="3"/>
    <s v="CUST-1354"/>
    <s v="Customer 072"/>
    <x v="1"/>
    <x v="0"/>
    <x v="0"/>
    <x v="0"/>
    <n v="643344"/>
    <x v="0"/>
    <x v="418"/>
    <x v="2"/>
    <x v="5"/>
    <x v="251"/>
    <n v="707.04"/>
    <n v="2"/>
    <n v="0"/>
    <n v="100.93"/>
  </r>
  <r>
    <n v="591"/>
    <x v="590"/>
    <x v="340"/>
    <d v="2024-08-13T00:00:00"/>
    <x v="3"/>
    <s v="CUST-1123"/>
    <s v="Customer 245"/>
    <x v="0"/>
    <x v="0"/>
    <x v="5"/>
    <x v="5"/>
    <n v="590339"/>
    <x v="0"/>
    <x v="171"/>
    <x v="1"/>
    <x v="1"/>
    <x v="453"/>
    <n v="193.91"/>
    <n v="5"/>
    <n v="0.15"/>
    <n v="9.7899999999999991"/>
  </r>
  <r>
    <n v="592"/>
    <x v="591"/>
    <x v="314"/>
    <d v="2025-09-29T00:00:00"/>
    <x v="2"/>
    <s v="CUST-1372"/>
    <s v="Customer 027"/>
    <x v="2"/>
    <x v="0"/>
    <x v="3"/>
    <x v="3"/>
    <n v="979608"/>
    <x v="1"/>
    <x v="283"/>
    <x v="1"/>
    <x v="7"/>
    <x v="454"/>
    <n v="101.93"/>
    <n v="9"/>
    <n v="0.15"/>
    <n v="14.1"/>
  </r>
  <r>
    <n v="593"/>
    <x v="592"/>
    <x v="391"/>
    <d v="2024-05-17T00:00:00"/>
    <x v="2"/>
    <s v="CUST-1248"/>
    <s v="Customer 261"/>
    <x v="0"/>
    <x v="0"/>
    <x v="3"/>
    <x v="3"/>
    <n v="487554"/>
    <x v="1"/>
    <x v="163"/>
    <x v="2"/>
    <x v="4"/>
    <x v="455"/>
    <n v="346.72"/>
    <n v="2"/>
    <n v="0.2"/>
    <n v="3.29"/>
  </r>
  <r>
    <n v="594"/>
    <x v="593"/>
    <x v="238"/>
    <d v="2024-06-14T00:00:00"/>
    <x v="0"/>
    <s v="CUST-1134"/>
    <s v="Customer 234"/>
    <x v="2"/>
    <x v="0"/>
    <x v="1"/>
    <x v="1"/>
    <n v="332131"/>
    <x v="1"/>
    <x v="419"/>
    <x v="1"/>
    <x v="8"/>
    <x v="154"/>
    <n v="63.86"/>
    <n v="9"/>
    <n v="0.2"/>
    <n v="-2.57"/>
  </r>
  <r>
    <n v="595"/>
    <x v="594"/>
    <x v="10"/>
    <d v="2024-08-04T00:00:00"/>
    <x v="1"/>
    <s v="CUST-1214"/>
    <s v="Customer 071"/>
    <x v="2"/>
    <x v="0"/>
    <x v="5"/>
    <x v="5"/>
    <n v="877794"/>
    <x v="0"/>
    <x v="420"/>
    <x v="2"/>
    <x v="4"/>
    <x v="288"/>
    <n v="309.37"/>
    <n v="4"/>
    <n v="0"/>
    <n v="51.14"/>
  </r>
  <r>
    <n v="596"/>
    <x v="595"/>
    <x v="392"/>
    <d v="2024-08-25T00:00:00"/>
    <x v="3"/>
    <s v="CUST-1156"/>
    <s v="Customer 116"/>
    <x v="0"/>
    <x v="0"/>
    <x v="2"/>
    <x v="2"/>
    <n v="607409"/>
    <x v="2"/>
    <x v="421"/>
    <x v="1"/>
    <x v="8"/>
    <x v="456"/>
    <n v="188.22"/>
    <n v="4"/>
    <n v="0.3"/>
    <n v="24.9"/>
  </r>
  <r>
    <n v="597"/>
    <x v="596"/>
    <x v="393"/>
    <d v="2025-10-21T00:00:00"/>
    <x v="0"/>
    <s v="CUST-1277"/>
    <s v="Customer 373"/>
    <x v="1"/>
    <x v="0"/>
    <x v="4"/>
    <x v="4"/>
    <n v="113580"/>
    <x v="3"/>
    <x v="123"/>
    <x v="2"/>
    <x v="4"/>
    <x v="457"/>
    <n v="185.44"/>
    <n v="1"/>
    <n v="0.3"/>
    <n v="42.53"/>
  </r>
  <r>
    <n v="598"/>
    <x v="597"/>
    <x v="394"/>
    <d v="2025-08-16T00:00:00"/>
    <x v="2"/>
    <s v="CUST-1105"/>
    <s v="Customer 063"/>
    <x v="2"/>
    <x v="0"/>
    <x v="8"/>
    <x v="8"/>
    <n v="189460"/>
    <x v="3"/>
    <x v="143"/>
    <x v="0"/>
    <x v="6"/>
    <x v="458"/>
    <n v="373.85"/>
    <n v="9"/>
    <n v="0.3"/>
    <n v="-5.5"/>
  </r>
  <r>
    <n v="599"/>
    <x v="598"/>
    <x v="222"/>
    <d v="2024-01-10T00:00:00"/>
    <x v="3"/>
    <s v="CUST-1045"/>
    <s v="Customer 047"/>
    <x v="0"/>
    <x v="0"/>
    <x v="3"/>
    <x v="3"/>
    <n v="879685"/>
    <x v="1"/>
    <x v="422"/>
    <x v="1"/>
    <x v="2"/>
    <x v="459"/>
    <n v="338.29"/>
    <n v="9"/>
    <n v="0.4"/>
    <n v="-12.1"/>
  </r>
  <r>
    <n v="600"/>
    <x v="599"/>
    <x v="395"/>
    <d v="2024-03-17T00:00:00"/>
    <x v="2"/>
    <s v="CUST-1261"/>
    <s v="Customer 244"/>
    <x v="1"/>
    <x v="0"/>
    <x v="9"/>
    <x v="9"/>
    <n v="532509"/>
    <x v="2"/>
    <x v="146"/>
    <x v="0"/>
    <x v="0"/>
    <x v="25"/>
    <n v="119.79"/>
    <n v="8"/>
    <n v="0.1"/>
    <n v="-4.51"/>
  </r>
  <r>
    <n v="601"/>
    <x v="600"/>
    <x v="21"/>
    <d v="2025-05-08T00:00:00"/>
    <x v="2"/>
    <s v="CUST-1193"/>
    <s v="Customer 215"/>
    <x v="2"/>
    <x v="0"/>
    <x v="4"/>
    <x v="4"/>
    <n v="795003"/>
    <x v="3"/>
    <x v="423"/>
    <x v="0"/>
    <x v="0"/>
    <x v="119"/>
    <n v="153.94999999999999"/>
    <n v="5"/>
    <n v="0.15"/>
    <n v="-16.649999999999999"/>
  </r>
  <r>
    <n v="602"/>
    <x v="601"/>
    <x v="30"/>
    <d v="2024-09-15T00:00:00"/>
    <x v="2"/>
    <s v="CUST-1295"/>
    <s v="Customer 179"/>
    <x v="2"/>
    <x v="0"/>
    <x v="7"/>
    <x v="7"/>
    <n v="827513"/>
    <x v="4"/>
    <x v="166"/>
    <x v="0"/>
    <x v="10"/>
    <x v="460"/>
    <n v="496.55"/>
    <n v="2"/>
    <n v="0.15"/>
    <n v="20.9"/>
  </r>
  <r>
    <n v="603"/>
    <x v="602"/>
    <x v="248"/>
    <d v="2024-08-21T00:00:00"/>
    <x v="0"/>
    <s v="CUST-1079"/>
    <s v="Customer 180"/>
    <x v="2"/>
    <x v="0"/>
    <x v="5"/>
    <x v="5"/>
    <n v="248188"/>
    <x v="0"/>
    <x v="424"/>
    <x v="1"/>
    <x v="2"/>
    <x v="461"/>
    <n v="53.01"/>
    <n v="7"/>
    <n v="0.4"/>
    <n v="-17.149999999999999"/>
  </r>
  <r>
    <n v="604"/>
    <x v="603"/>
    <x v="396"/>
    <d v="2025-06-07T00:00:00"/>
    <x v="2"/>
    <s v="CUST-1249"/>
    <s v="Customer 057"/>
    <x v="1"/>
    <x v="0"/>
    <x v="0"/>
    <x v="0"/>
    <n v="744467"/>
    <x v="0"/>
    <x v="425"/>
    <x v="2"/>
    <x v="4"/>
    <x v="462"/>
    <n v="211.8"/>
    <n v="4"/>
    <n v="0.1"/>
    <n v="-40.39"/>
  </r>
  <r>
    <n v="605"/>
    <x v="604"/>
    <x v="397"/>
    <d v="2024-06-24T00:00:00"/>
    <x v="2"/>
    <s v="CUST-1272"/>
    <s v="Customer 252"/>
    <x v="0"/>
    <x v="0"/>
    <x v="8"/>
    <x v="8"/>
    <n v="518161"/>
    <x v="3"/>
    <x v="370"/>
    <x v="0"/>
    <x v="10"/>
    <x v="373"/>
    <n v="195.44"/>
    <n v="8"/>
    <n v="0.05"/>
    <n v="56.8"/>
  </r>
  <r>
    <n v="606"/>
    <x v="605"/>
    <x v="398"/>
    <d v="2025-10-16T00:00:00"/>
    <x v="2"/>
    <s v="CUST-1155"/>
    <s v="Customer 354"/>
    <x v="0"/>
    <x v="0"/>
    <x v="9"/>
    <x v="9"/>
    <n v="608928"/>
    <x v="2"/>
    <x v="426"/>
    <x v="1"/>
    <x v="1"/>
    <x v="378"/>
    <n v="80.959999999999994"/>
    <n v="5"/>
    <n v="0.15"/>
    <n v="-2.19"/>
  </r>
  <r>
    <n v="607"/>
    <x v="606"/>
    <x v="350"/>
    <d v="2024-06-19T00:00:00"/>
    <x v="3"/>
    <s v="CUST-1239"/>
    <s v="Customer 045"/>
    <x v="1"/>
    <x v="0"/>
    <x v="4"/>
    <x v="4"/>
    <n v="568304"/>
    <x v="3"/>
    <x v="131"/>
    <x v="1"/>
    <x v="2"/>
    <x v="395"/>
    <n v="52.41"/>
    <n v="4"/>
    <n v="0.15"/>
    <n v="-3.06"/>
  </r>
  <r>
    <n v="608"/>
    <x v="607"/>
    <x v="399"/>
    <d v="2024-06-21T00:00:00"/>
    <x v="0"/>
    <s v="CUST-1033"/>
    <s v="Customer 284"/>
    <x v="1"/>
    <x v="0"/>
    <x v="5"/>
    <x v="5"/>
    <n v="989217"/>
    <x v="0"/>
    <x v="427"/>
    <x v="0"/>
    <x v="10"/>
    <x v="463"/>
    <n v="96.75"/>
    <n v="8"/>
    <n v="0.1"/>
    <n v="29.52"/>
  </r>
  <r>
    <n v="609"/>
    <x v="608"/>
    <x v="128"/>
    <d v="2025-01-30T00:00:00"/>
    <x v="0"/>
    <s v="CUST-1201"/>
    <s v="Customer 297"/>
    <x v="0"/>
    <x v="0"/>
    <x v="1"/>
    <x v="1"/>
    <n v="940172"/>
    <x v="1"/>
    <x v="428"/>
    <x v="1"/>
    <x v="8"/>
    <x v="269"/>
    <n v="31.86"/>
    <n v="3"/>
    <n v="0.05"/>
    <n v="-11.21"/>
  </r>
  <r>
    <n v="610"/>
    <x v="609"/>
    <x v="314"/>
    <d v="2025-09-27T00:00:00"/>
    <x v="0"/>
    <s v="CUST-1324"/>
    <s v="Customer 114"/>
    <x v="0"/>
    <x v="0"/>
    <x v="7"/>
    <x v="7"/>
    <n v="963945"/>
    <x v="4"/>
    <x v="429"/>
    <x v="1"/>
    <x v="2"/>
    <x v="76"/>
    <n v="191.15"/>
    <n v="6"/>
    <n v="0.15"/>
    <n v="-0.76"/>
  </r>
  <r>
    <n v="611"/>
    <x v="610"/>
    <x v="400"/>
    <d v="2024-07-15T00:00:00"/>
    <x v="0"/>
    <s v="CUST-1286"/>
    <s v="Customer 383"/>
    <x v="0"/>
    <x v="0"/>
    <x v="8"/>
    <x v="8"/>
    <n v="726627"/>
    <x v="3"/>
    <x v="228"/>
    <x v="1"/>
    <x v="2"/>
    <x v="464"/>
    <n v="122.38"/>
    <n v="7"/>
    <n v="0.15"/>
    <n v="23.86"/>
  </r>
  <r>
    <n v="612"/>
    <x v="611"/>
    <x v="401"/>
    <d v="2025-06-01T00:00:00"/>
    <x v="0"/>
    <s v="CUST-1102"/>
    <s v="Customer 121"/>
    <x v="0"/>
    <x v="0"/>
    <x v="2"/>
    <x v="2"/>
    <n v="880637"/>
    <x v="2"/>
    <x v="430"/>
    <x v="0"/>
    <x v="6"/>
    <x v="465"/>
    <n v="64.22"/>
    <n v="6"/>
    <n v="0.1"/>
    <n v="19.27"/>
  </r>
  <r>
    <n v="613"/>
    <x v="612"/>
    <x v="402"/>
    <d v="2024-02-01T00:00:00"/>
    <x v="1"/>
    <s v="CUST-1013"/>
    <s v="Customer 123"/>
    <x v="0"/>
    <x v="0"/>
    <x v="1"/>
    <x v="1"/>
    <n v="867469"/>
    <x v="1"/>
    <x v="431"/>
    <x v="2"/>
    <x v="5"/>
    <x v="466"/>
    <n v="146.47"/>
    <n v="6"/>
    <n v="0.1"/>
    <n v="3.24"/>
  </r>
  <r>
    <n v="614"/>
    <x v="613"/>
    <x v="403"/>
    <d v="2024-06-18T00:00:00"/>
    <x v="3"/>
    <s v="CUST-1266"/>
    <s v="Customer 287"/>
    <x v="0"/>
    <x v="0"/>
    <x v="9"/>
    <x v="9"/>
    <n v="471831"/>
    <x v="2"/>
    <x v="189"/>
    <x v="2"/>
    <x v="5"/>
    <x v="467"/>
    <n v="467.71"/>
    <n v="4"/>
    <n v="0.2"/>
    <n v="30.88"/>
  </r>
  <r>
    <n v="615"/>
    <x v="614"/>
    <x v="232"/>
    <d v="2025-02-26T00:00:00"/>
    <x v="2"/>
    <s v="CUST-1327"/>
    <s v="Customer 375"/>
    <x v="1"/>
    <x v="0"/>
    <x v="8"/>
    <x v="8"/>
    <n v="581018"/>
    <x v="3"/>
    <x v="432"/>
    <x v="2"/>
    <x v="3"/>
    <x v="468"/>
    <n v="292.77999999999997"/>
    <n v="5"/>
    <n v="0.05"/>
    <n v="27.36"/>
  </r>
  <r>
    <n v="616"/>
    <x v="615"/>
    <x v="404"/>
    <d v="2024-12-07T00:00:00"/>
    <x v="3"/>
    <s v="CUST-1319"/>
    <s v="Customer 258"/>
    <x v="2"/>
    <x v="0"/>
    <x v="1"/>
    <x v="1"/>
    <n v="585119"/>
    <x v="1"/>
    <x v="424"/>
    <x v="0"/>
    <x v="9"/>
    <x v="469"/>
    <n v="91.8"/>
    <n v="7"/>
    <n v="0.1"/>
    <n v="14.01"/>
  </r>
  <r>
    <n v="617"/>
    <x v="616"/>
    <x v="97"/>
    <d v="2025-10-14T00:00:00"/>
    <x v="2"/>
    <s v="CUST-1320"/>
    <s v="Customer 067"/>
    <x v="1"/>
    <x v="0"/>
    <x v="7"/>
    <x v="7"/>
    <n v="223225"/>
    <x v="4"/>
    <x v="433"/>
    <x v="2"/>
    <x v="5"/>
    <x v="470"/>
    <n v="492.45"/>
    <n v="5"/>
    <n v="0"/>
    <n v="35.130000000000003"/>
  </r>
  <r>
    <n v="618"/>
    <x v="617"/>
    <x v="405"/>
    <d v="2025-05-15T00:00:00"/>
    <x v="1"/>
    <s v="CUST-1178"/>
    <s v="Customer 133"/>
    <x v="0"/>
    <x v="0"/>
    <x v="2"/>
    <x v="2"/>
    <n v="871812"/>
    <x v="2"/>
    <x v="434"/>
    <x v="1"/>
    <x v="2"/>
    <x v="471"/>
    <n v="68.67"/>
    <n v="8"/>
    <n v="0.2"/>
    <n v="3.17"/>
  </r>
  <r>
    <n v="619"/>
    <x v="618"/>
    <x v="249"/>
    <d v="2025-01-04T00:00:00"/>
    <x v="1"/>
    <s v="CUST-1344"/>
    <s v="Customer 146"/>
    <x v="0"/>
    <x v="0"/>
    <x v="1"/>
    <x v="1"/>
    <n v="904660"/>
    <x v="1"/>
    <x v="435"/>
    <x v="0"/>
    <x v="10"/>
    <x v="472"/>
    <n v="110.27"/>
    <n v="2"/>
    <n v="0.2"/>
    <n v="-13.53"/>
  </r>
  <r>
    <n v="620"/>
    <x v="619"/>
    <x v="297"/>
    <d v="2024-12-11T00:00:00"/>
    <x v="1"/>
    <s v="CUST-1164"/>
    <s v="Customer 378"/>
    <x v="1"/>
    <x v="0"/>
    <x v="6"/>
    <x v="6"/>
    <n v="434341"/>
    <x v="2"/>
    <x v="350"/>
    <x v="2"/>
    <x v="5"/>
    <x v="473"/>
    <n v="441.07"/>
    <n v="6"/>
    <n v="0.3"/>
    <n v="11.61"/>
  </r>
  <r>
    <n v="621"/>
    <x v="620"/>
    <x v="406"/>
    <d v="2025-05-15T00:00:00"/>
    <x v="1"/>
    <s v="CUST-1257"/>
    <s v="Customer 234"/>
    <x v="2"/>
    <x v="0"/>
    <x v="2"/>
    <x v="2"/>
    <n v="585179"/>
    <x v="2"/>
    <x v="84"/>
    <x v="1"/>
    <x v="8"/>
    <x v="244"/>
    <n v="45.73"/>
    <n v="3"/>
    <n v="0.15"/>
    <n v="-11.88"/>
  </r>
  <r>
    <n v="622"/>
    <x v="621"/>
    <x v="308"/>
    <d v="2025-10-22T00:00:00"/>
    <x v="1"/>
    <s v="CUST-1207"/>
    <s v="Customer 296"/>
    <x v="0"/>
    <x v="0"/>
    <x v="9"/>
    <x v="9"/>
    <n v="271955"/>
    <x v="2"/>
    <x v="308"/>
    <x v="0"/>
    <x v="6"/>
    <x v="474"/>
    <n v="585.13"/>
    <n v="6"/>
    <n v="0.1"/>
    <n v="51.73"/>
  </r>
  <r>
    <n v="623"/>
    <x v="622"/>
    <x v="34"/>
    <d v="2025-05-27T00:00:00"/>
    <x v="1"/>
    <s v="CUST-1209"/>
    <s v="Customer 116"/>
    <x v="0"/>
    <x v="0"/>
    <x v="7"/>
    <x v="7"/>
    <n v="639745"/>
    <x v="4"/>
    <x v="363"/>
    <x v="2"/>
    <x v="5"/>
    <x v="475"/>
    <n v="835.59"/>
    <n v="4"/>
    <n v="0.2"/>
    <n v="-2.23"/>
  </r>
  <r>
    <n v="624"/>
    <x v="623"/>
    <x v="407"/>
    <d v="2024-11-25T00:00:00"/>
    <x v="3"/>
    <s v="CUST-1066"/>
    <s v="Customer 290"/>
    <x v="2"/>
    <x v="0"/>
    <x v="5"/>
    <x v="5"/>
    <n v="477389"/>
    <x v="0"/>
    <x v="436"/>
    <x v="1"/>
    <x v="2"/>
    <x v="58"/>
    <n v="75.48"/>
    <n v="9"/>
    <n v="0.1"/>
    <n v="-27.49"/>
  </r>
  <r>
    <n v="625"/>
    <x v="624"/>
    <x v="87"/>
    <d v="2024-08-07T00:00:00"/>
    <x v="2"/>
    <s v="CUST-1276"/>
    <s v="Customer 027"/>
    <x v="1"/>
    <x v="0"/>
    <x v="0"/>
    <x v="0"/>
    <n v="564736"/>
    <x v="0"/>
    <x v="82"/>
    <x v="2"/>
    <x v="5"/>
    <x v="476"/>
    <n v="365.08"/>
    <n v="7"/>
    <n v="0.1"/>
    <n v="32.159999999999997"/>
  </r>
  <r>
    <n v="626"/>
    <x v="625"/>
    <x v="408"/>
    <d v="2024-10-30T00:00:00"/>
    <x v="2"/>
    <s v="CUST-1070"/>
    <s v="Customer 210"/>
    <x v="2"/>
    <x v="0"/>
    <x v="0"/>
    <x v="0"/>
    <n v="900118"/>
    <x v="0"/>
    <x v="437"/>
    <x v="1"/>
    <x v="8"/>
    <x v="242"/>
    <n v="91.24"/>
    <n v="8"/>
    <n v="0"/>
    <n v="11.11"/>
  </r>
  <r>
    <n v="627"/>
    <x v="626"/>
    <x v="409"/>
    <d v="2024-05-12T00:00:00"/>
    <x v="3"/>
    <s v="CUST-1332"/>
    <s v="Customer 136"/>
    <x v="0"/>
    <x v="0"/>
    <x v="0"/>
    <x v="0"/>
    <n v="556388"/>
    <x v="0"/>
    <x v="438"/>
    <x v="1"/>
    <x v="7"/>
    <x v="477"/>
    <n v="164.96"/>
    <n v="4"/>
    <n v="0.2"/>
    <n v="22.19"/>
  </r>
  <r>
    <n v="628"/>
    <x v="627"/>
    <x v="410"/>
    <d v="2024-03-14T00:00:00"/>
    <x v="2"/>
    <s v="CUST-1276"/>
    <s v="Customer 018"/>
    <x v="0"/>
    <x v="0"/>
    <x v="8"/>
    <x v="8"/>
    <n v="929492"/>
    <x v="3"/>
    <x v="439"/>
    <x v="0"/>
    <x v="9"/>
    <x v="478"/>
    <n v="341.84"/>
    <n v="4"/>
    <n v="0.15"/>
    <n v="26.11"/>
  </r>
  <r>
    <n v="629"/>
    <x v="628"/>
    <x v="80"/>
    <d v="2024-09-10T00:00:00"/>
    <x v="1"/>
    <s v="CUST-1200"/>
    <s v="Customer 249"/>
    <x v="0"/>
    <x v="0"/>
    <x v="9"/>
    <x v="9"/>
    <n v="375251"/>
    <x v="2"/>
    <x v="210"/>
    <x v="1"/>
    <x v="7"/>
    <x v="479"/>
    <n v="62.6"/>
    <n v="8"/>
    <n v="0.1"/>
    <n v="41.45"/>
  </r>
  <r>
    <n v="630"/>
    <x v="629"/>
    <x v="211"/>
    <d v="2025-02-21T00:00:00"/>
    <x v="0"/>
    <s v="CUST-1255"/>
    <s v="Customer 243"/>
    <x v="2"/>
    <x v="0"/>
    <x v="7"/>
    <x v="7"/>
    <n v="967784"/>
    <x v="4"/>
    <x v="153"/>
    <x v="0"/>
    <x v="6"/>
    <x v="480"/>
    <n v="67.75"/>
    <n v="6"/>
    <n v="0.15"/>
    <n v="-21.9"/>
  </r>
  <r>
    <n v="631"/>
    <x v="630"/>
    <x v="379"/>
    <d v="2025-03-23T00:00:00"/>
    <x v="3"/>
    <s v="CUST-1363"/>
    <s v="Customer 273"/>
    <x v="0"/>
    <x v="0"/>
    <x v="2"/>
    <x v="2"/>
    <n v="899093"/>
    <x v="2"/>
    <x v="440"/>
    <x v="0"/>
    <x v="0"/>
    <x v="481"/>
    <n v="769.15"/>
    <n v="3"/>
    <n v="0.2"/>
    <n v="-27.58"/>
  </r>
  <r>
    <n v="632"/>
    <x v="631"/>
    <x v="411"/>
    <d v="2024-07-02T00:00:00"/>
    <x v="2"/>
    <s v="CUST-1241"/>
    <s v="Customer 008"/>
    <x v="2"/>
    <x v="0"/>
    <x v="8"/>
    <x v="8"/>
    <n v="449738"/>
    <x v="3"/>
    <x v="288"/>
    <x v="2"/>
    <x v="11"/>
    <x v="482"/>
    <n v="306.87"/>
    <n v="3"/>
    <n v="0.15"/>
    <n v="19.2"/>
  </r>
  <r>
    <n v="633"/>
    <x v="632"/>
    <x v="46"/>
    <d v="2024-06-18T00:00:00"/>
    <x v="2"/>
    <s v="CUST-1371"/>
    <s v="Customer 051"/>
    <x v="1"/>
    <x v="0"/>
    <x v="9"/>
    <x v="9"/>
    <n v="780047"/>
    <x v="2"/>
    <x v="160"/>
    <x v="2"/>
    <x v="4"/>
    <x v="483"/>
    <n v="162.97"/>
    <n v="5"/>
    <n v="0.2"/>
    <n v="27.41"/>
  </r>
  <r>
    <n v="634"/>
    <x v="633"/>
    <x v="412"/>
    <d v="2024-04-04T00:00:00"/>
    <x v="3"/>
    <s v="CUST-1071"/>
    <s v="Customer 263"/>
    <x v="1"/>
    <x v="0"/>
    <x v="5"/>
    <x v="5"/>
    <n v="966525"/>
    <x v="0"/>
    <x v="355"/>
    <x v="1"/>
    <x v="7"/>
    <x v="337"/>
    <n v="71.7"/>
    <n v="7"/>
    <n v="0.15"/>
    <n v="50.92"/>
  </r>
  <r>
    <n v="635"/>
    <x v="634"/>
    <x v="413"/>
    <d v="2025-12-16T00:00:00"/>
    <x v="0"/>
    <s v="CUST-1130"/>
    <s v="Customer 357"/>
    <x v="2"/>
    <x v="0"/>
    <x v="6"/>
    <x v="6"/>
    <n v="716108"/>
    <x v="2"/>
    <x v="441"/>
    <x v="0"/>
    <x v="6"/>
    <x v="360"/>
    <n v="96.25"/>
    <n v="6"/>
    <n v="0.2"/>
    <n v="0.22"/>
  </r>
  <r>
    <n v="636"/>
    <x v="635"/>
    <x v="414"/>
    <d v="2025-06-16T00:00:00"/>
    <x v="2"/>
    <s v="CUST-1212"/>
    <s v="Customer 293"/>
    <x v="0"/>
    <x v="0"/>
    <x v="7"/>
    <x v="7"/>
    <n v="995150"/>
    <x v="4"/>
    <x v="176"/>
    <x v="0"/>
    <x v="9"/>
    <x v="484"/>
    <n v="407.28"/>
    <n v="2"/>
    <n v="0.05"/>
    <n v="50.47"/>
  </r>
  <r>
    <n v="637"/>
    <x v="636"/>
    <x v="281"/>
    <d v="2024-02-11T00:00:00"/>
    <x v="0"/>
    <s v="CUST-1299"/>
    <s v="Customer 107"/>
    <x v="0"/>
    <x v="0"/>
    <x v="0"/>
    <x v="0"/>
    <n v="537509"/>
    <x v="0"/>
    <x v="11"/>
    <x v="0"/>
    <x v="0"/>
    <x v="485"/>
    <n v="117.61"/>
    <n v="3"/>
    <n v="0"/>
    <n v="-32.590000000000003"/>
  </r>
  <r>
    <n v="638"/>
    <x v="637"/>
    <x v="415"/>
    <d v="2024-05-09T00:00:00"/>
    <x v="0"/>
    <s v="CUST-1315"/>
    <s v="Customer 009"/>
    <x v="1"/>
    <x v="0"/>
    <x v="1"/>
    <x v="1"/>
    <n v="307606"/>
    <x v="1"/>
    <x v="442"/>
    <x v="0"/>
    <x v="10"/>
    <x v="486"/>
    <n v="193.14"/>
    <n v="5"/>
    <n v="0.3"/>
    <n v="1.55"/>
  </r>
  <r>
    <n v="639"/>
    <x v="638"/>
    <x v="416"/>
    <d v="2025-03-29T00:00:00"/>
    <x v="1"/>
    <s v="CUST-1138"/>
    <s v="Customer 326"/>
    <x v="0"/>
    <x v="0"/>
    <x v="7"/>
    <x v="7"/>
    <n v="201611"/>
    <x v="4"/>
    <x v="206"/>
    <x v="2"/>
    <x v="3"/>
    <x v="438"/>
    <n v="411.45"/>
    <n v="7"/>
    <n v="0.2"/>
    <n v="6.32"/>
  </r>
  <r>
    <n v="640"/>
    <x v="639"/>
    <x v="417"/>
    <d v="2024-06-25T00:00:00"/>
    <x v="1"/>
    <s v="CUST-1347"/>
    <s v="Customer 240"/>
    <x v="1"/>
    <x v="0"/>
    <x v="3"/>
    <x v="3"/>
    <n v="940249"/>
    <x v="1"/>
    <x v="443"/>
    <x v="0"/>
    <x v="0"/>
    <x v="487"/>
    <n v="214.59"/>
    <n v="3"/>
    <n v="0.15"/>
    <n v="26.37"/>
  </r>
  <r>
    <n v="641"/>
    <x v="640"/>
    <x v="398"/>
    <d v="2025-10-17T00:00:00"/>
    <x v="3"/>
    <s v="CUST-1266"/>
    <s v="Customer 134"/>
    <x v="0"/>
    <x v="0"/>
    <x v="9"/>
    <x v="9"/>
    <n v="916460"/>
    <x v="2"/>
    <x v="218"/>
    <x v="1"/>
    <x v="1"/>
    <x v="151"/>
    <n v="47.35"/>
    <n v="4"/>
    <n v="0.4"/>
    <n v="10.91"/>
  </r>
  <r>
    <n v="642"/>
    <x v="641"/>
    <x v="181"/>
    <d v="2024-08-09T00:00:00"/>
    <x v="3"/>
    <s v="CUST-1223"/>
    <s v="Customer 139"/>
    <x v="0"/>
    <x v="0"/>
    <x v="4"/>
    <x v="4"/>
    <n v="186978"/>
    <x v="3"/>
    <x v="182"/>
    <x v="2"/>
    <x v="4"/>
    <x v="488"/>
    <n v="406.7"/>
    <n v="3"/>
    <n v="0.05"/>
    <n v="90.82"/>
  </r>
  <r>
    <n v="643"/>
    <x v="642"/>
    <x v="183"/>
    <d v="2025-10-04T00:00:00"/>
    <x v="2"/>
    <s v="CUST-1048"/>
    <s v="Customer 309"/>
    <x v="0"/>
    <x v="0"/>
    <x v="5"/>
    <x v="5"/>
    <n v="549303"/>
    <x v="0"/>
    <x v="444"/>
    <x v="2"/>
    <x v="3"/>
    <x v="489"/>
    <n v="178.65"/>
    <n v="2"/>
    <n v="0.1"/>
    <n v="64.260000000000005"/>
  </r>
  <r>
    <n v="644"/>
    <x v="643"/>
    <x v="310"/>
    <d v="2024-02-29T00:00:00"/>
    <x v="0"/>
    <s v="CUST-1335"/>
    <s v="Customer 358"/>
    <x v="1"/>
    <x v="0"/>
    <x v="6"/>
    <x v="6"/>
    <n v="103515"/>
    <x v="2"/>
    <x v="250"/>
    <x v="2"/>
    <x v="11"/>
    <x v="120"/>
    <n v="193.91"/>
    <n v="5"/>
    <n v="0.15"/>
    <n v="30.13"/>
  </r>
  <r>
    <n v="645"/>
    <x v="644"/>
    <x v="203"/>
    <d v="2025-10-25T00:00:00"/>
    <x v="0"/>
    <s v="CUST-1140"/>
    <s v="Customer 286"/>
    <x v="1"/>
    <x v="0"/>
    <x v="5"/>
    <x v="5"/>
    <n v="514546"/>
    <x v="0"/>
    <x v="445"/>
    <x v="0"/>
    <x v="0"/>
    <x v="490"/>
    <n v="212.8"/>
    <n v="1"/>
    <n v="0.3"/>
    <n v="-51.24"/>
  </r>
  <r>
    <n v="646"/>
    <x v="645"/>
    <x v="36"/>
    <d v="2025-04-24T00:00:00"/>
    <x v="1"/>
    <s v="CUST-1093"/>
    <s v="Customer 057"/>
    <x v="1"/>
    <x v="0"/>
    <x v="7"/>
    <x v="7"/>
    <n v="858947"/>
    <x v="4"/>
    <x v="446"/>
    <x v="1"/>
    <x v="8"/>
    <x v="491"/>
    <n v="50.23"/>
    <n v="6"/>
    <n v="0.1"/>
    <n v="29.83"/>
  </r>
  <r>
    <n v="647"/>
    <x v="646"/>
    <x v="77"/>
    <d v="2025-04-02T00:00:00"/>
    <x v="0"/>
    <s v="CUST-1167"/>
    <s v="Customer 025"/>
    <x v="0"/>
    <x v="0"/>
    <x v="4"/>
    <x v="4"/>
    <n v="389604"/>
    <x v="3"/>
    <x v="447"/>
    <x v="2"/>
    <x v="11"/>
    <x v="61"/>
    <n v="2817.58"/>
    <n v="8"/>
    <n v="0.05"/>
    <n v="353.07"/>
  </r>
  <r>
    <n v="648"/>
    <x v="647"/>
    <x v="418"/>
    <d v="2024-12-27T00:00:00"/>
    <x v="3"/>
    <s v="CUST-1160"/>
    <s v="Customer 161"/>
    <x v="1"/>
    <x v="0"/>
    <x v="3"/>
    <x v="3"/>
    <n v="590533"/>
    <x v="1"/>
    <x v="190"/>
    <x v="2"/>
    <x v="11"/>
    <x v="45"/>
    <n v="478.59"/>
    <n v="6"/>
    <n v="0.15"/>
    <n v="19.98"/>
  </r>
  <r>
    <n v="649"/>
    <x v="648"/>
    <x v="419"/>
    <d v="2024-01-06T00:00:00"/>
    <x v="1"/>
    <s v="CUST-1382"/>
    <s v="Customer 271"/>
    <x v="0"/>
    <x v="0"/>
    <x v="2"/>
    <x v="2"/>
    <n v="963018"/>
    <x v="2"/>
    <x v="448"/>
    <x v="0"/>
    <x v="10"/>
    <x v="393"/>
    <n v="622.47"/>
    <n v="4"/>
    <n v="0.1"/>
    <n v="72.44"/>
  </r>
  <r>
    <n v="650"/>
    <x v="649"/>
    <x v="178"/>
    <d v="2025-01-25T00:00:00"/>
    <x v="2"/>
    <s v="CUST-1009"/>
    <s v="Customer 368"/>
    <x v="1"/>
    <x v="0"/>
    <x v="1"/>
    <x v="1"/>
    <n v="201096"/>
    <x v="1"/>
    <x v="322"/>
    <x v="1"/>
    <x v="8"/>
    <x v="492"/>
    <n v="193.85"/>
    <n v="2"/>
    <n v="0.2"/>
    <n v="14.99"/>
  </r>
  <r>
    <n v="651"/>
    <x v="650"/>
    <x v="152"/>
    <d v="2024-12-16T00:00:00"/>
    <x v="3"/>
    <s v="CUST-1004"/>
    <s v="Customer 231"/>
    <x v="2"/>
    <x v="0"/>
    <x v="4"/>
    <x v="4"/>
    <n v="171540"/>
    <x v="3"/>
    <x v="147"/>
    <x v="1"/>
    <x v="2"/>
    <x v="493"/>
    <n v="66.95"/>
    <n v="3"/>
    <n v="0.1"/>
    <n v="14.6"/>
  </r>
  <r>
    <n v="652"/>
    <x v="651"/>
    <x v="38"/>
    <d v="2024-07-11T00:00:00"/>
    <x v="2"/>
    <s v="CUST-1223"/>
    <s v="Customer 225"/>
    <x v="1"/>
    <x v="0"/>
    <x v="9"/>
    <x v="9"/>
    <n v="741067"/>
    <x v="2"/>
    <x v="449"/>
    <x v="0"/>
    <x v="10"/>
    <x v="494"/>
    <n v="165.1"/>
    <n v="4"/>
    <n v="0.1"/>
    <n v="32.06"/>
  </r>
  <r>
    <n v="653"/>
    <x v="652"/>
    <x v="43"/>
    <d v="2025-05-20T00:00:00"/>
    <x v="2"/>
    <s v="CUST-1302"/>
    <s v="Customer 169"/>
    <x v="0"/>
    <x v="0"/>
    <x v="0"/>
    <x v="0"/>
    <n v="768646"/>
    <x v="0"/>
    <x v="450"/>
    <x v="1"/>
    <x v="1"/>
    <x v="300"/>
    <n v="174.99"/>
    <n v="2"/>
    <n v="0.15"/>
    <n v="7.15"/>
  </r>
  <r>
    <n v="654"/>
    <x v="653"/>
    <x v="267"/>
    <d v="2024-07-13T00:00:00"/>
    <x v="0"/>
    <s v="CUST-1022"/>
    <s v="Customer 207"/>
    <x v="0"/>
    <x v="0"/>
    <x v="3"/>
    <x v="3"/>
    <n v="811045"/>
    <x v="1"/>
    <x v="250"/>
    <x v="1"/>
    <x v="1"/>
    <x v="495"/>
    <n v="97.23"/>
    <n v="1"/>
    <n v="0.2"/>
    <n v="3.19"/>
  </r>
  <r>
    <n v="655"/>
    <x v="654"/>
    <x v="420"/>
    <d v="2025-05-25T00:00:00"/>
    <x v="3"/>
    <s v="CUST-1042"/>
    <s v="Customer 359"/>
    <x v="1"/>
    <x v="0"/>
    <x v="1"/>
    <x v="1"/>
    <n v="820643"/>
    <x v="1"/>
    <x v="451"/>
    <x v="1"/>
    <x v="2"/>
    <x v="496"/>
    <n v="47.86"/>
    <n v="4"/>
    <n v="0.1"/>
    <n v="22.45"/>
  </r>
  <r>
    <n v="656"/>
    <x v="655"/>
    <x v="370"/>
    <d v="2025-01-06T00:00:00"/>
    <x v="2"/>
    <s v="CUST-1188"/>
    <s v="Customer 400"/>
    <x v="1"/>
    <x v="0"/>
    <x v="6"/>
    <x v="6"/>
    <n v="273285"/>
    <x v="2"/>
    <x v="429"/>
    <x v="1"/>
    <x v="7"/>
    <x v="497"/>
    <n v="179.66"/>
    <n v="9"/>
    <n v="0.1"/>
    <n v="43.78"/>
  </r>
  <r>
    <n v="657"/>
    <x v="656"/>
    <x v="421"/>
    <d v="2025-02-15T00:00:00"/>
    <x v="0"/>
    <s v="CUST-1024"/>
    <s v="Customer 342"/>
    <x v="1"/>
    <x v="0"/>
    <x v="0"/>
    <x v="0"/>
    <n v="461995"/>
    <x v="0"/>
    <x v="452"/>
    <x v="2"/>
    <x v="3"/>
    <x v="356"/>
    <n v="257.05"/>
    <n v="2"/>
    <n v="0.1"/>
    <n v="9.5"/>
  </r>
  <r>
    <n v="658"/>
    <x v="657"/>
    <x v="312"/>
    <d v="2024-04-27T00:00:00"/>
    <x v="1"/>
    <s v="CUST-1190"/>
    <s v="Customer 142"/>
    <x v="2"/>
    <x v="0"/>
    <x v="7"/>
    <x v="7"/>
    <n v="762600"/>
    <x v="4"/>
    <x v="300"/>
    <x v="2"/>
    <x v="4"/>
    <x v="498"/>
    <n v="120.87"/>
    <n v="7"/>
    <n v="0.1"/>
    <n v="5.96"/>
  </r>
  <r>
    <n v="659"/>
    <x v="658"/>
    <x v="422"/>
    <d v="2024-05-15T00:00:00"/>
    <x v="3"/>
    <s v="CUST-1289"/>
    <s v="Customer 050"/>
    <x v="1"/>
    <x v="0"/>
    <x v="4"/>
    <x v="4"/>
    <n v="185687"/>
    <x v="3"/>
    <x v="453"/>
    <x v="2"/>
    <x v="11"/>
    <x v="143"/>
    <n v="434.68"/>
    <n v="6"/>
    <n v="0.05"/>
    <n v="61.29"/>
  </r>
  <r>
    <n v="660"/>
    <x v="659"/>
    <x v="310"/>
    <d v="2024-03-01T00:00:00"/>
    <x v="2"/>
    <s v="CUST-1248"/>
    <s v="Customer 147"/>
    <x v="2"/>
    <x v="0"/>
    <x v="1"/>
    <x v="1"/>
    <n v="493650"/>
    <x v="1"/>
    <x v="310"/>
    <x v="0"/>
    <x v="0"/>
    <x v="499"/>
    <n v="388.66"/>
    <n v="3"/>
    <n v="0.1"/>
    <n v="19.34"/>
  </r>
  <r>
    <n v="661"/>
    <x v="660"/>
    <x v="73"/>
    <d v="2025-07-10T00:00:00"/>
    <x v="2"/>
    <s v="CUST-1143"/>
    <s v="Customer 357"/>
    <x v="0"/>
    <x v="0"/>
    <x v="8"/>
    <x v="8"/>
    <n v="553885"/>
    <x v="3"/>
    <x v="454"/>
    <x v="1"/>
    <x v="2"/>
    <x v="252"/>
    <n v="30.64"/>
    <n v="5"/>
    <n v="0.1"/>
    <n v="30.28"/>
  </r>
  <r>
    <n v="662"/>
    <x v="661"/>
    <x v="284"/>
    <d v="2025-11-16T00:00:00"/>
    <x v="3"/>
    <s v="CUST-1309"/>
    <s v="Customer 057"/>
    <x v="2"/>
    <x v="0"/>
    <x v="2"/>
    <x v="2"/>
    <n v="695350"/>
    <x v="2"/>
    <x v="455"/>
    <x v="0"/>
    <x v="0"/>
    <x v="500"/>
    <n v="75.290000000000006"/>
    <n v="2"/>
    <n v="0"/>
    <n v="26.68"/>
  </r>
  <r>
    <n v="663"/>
    <x v="662"/>
    <x v="169"/>
    <d v="2025-11-03T00:00:00"/>
    <x v="3"/>
    <s v="CUST-1310"/>
    <s v="Customer 281"/>
    <x v="1"/>
    <x v="0"/>
    <x v="2"/>
    <x v="2"/>
    <n v="702288"/>
    <x v="2"/>
    <x v="20"/>
    <x v="2"/>
    <x v="4"/>
    <x v="501"/>
    <n v="523.4"/>
    <n v="8"/>
    <n v="0.15"/>
    <n v="49.45"/>
  </r>
  <r>
    <n v="664"/>
    <x v="663"/>
    <x v="417"/>
    <d v="2024-06-26T00:00:00"/>
    <x v="1"/>
    <s v="CUST-1281"/>
    <s v="Customer 028"/>
    <x v="0"/>
    <x v="0"/>
    <x v="3"/>
    <x v="3"/>
    <n v="924965"/>
    <x v="1"/>
    <x v="456"/>
    <x v="1"/>
    <x v="1"/>
    <x v="495"/>
    <n v="36.25"/>
    <n v="7"/>
    <n v="0.15"/>
    <n v="-25.58"/>
  </r>
  <r>
    <n v="665"/>
    <x v="664"/>
    <x v="423"/>
    <d v="2024-05-29T00:00:00"/>
    <x v="1"/>
    <s v="CUST-1029"/>
    <s v="Customer 213"/>
    <x v="1"/>
    <x v="0"/>
    <x v="6"/>
    <x v="6"/>
    <n v="552436"/>
    <x v="2"/>
    <x v="75"/>
    <x v="0"/>
    <x v="10"/>
    <x v="502"/>
    <n v="566.02"/>
    <n v="5"/>
    <n v="0.15"/>
    <n v="3.57"/>
  </r>
  <r>
    <n v="666"/>
    <x v="665"/>
    <x v="424"/>
    <d v="2024-03-23T00:00:00"/>
    <x v="3"/>
    <s v="CUST-1145"/>
    <s v="Customer 375"/>
    <x v="2"/>
    <x v="0"/>
    <x v="3"/>
    <x v="3"/>
    <n v="881627"/>
    <x v="1"/>
    <x v="457"/>
    <x v="2"/>
    <x v="11"/>
    <x v="503"/>
    <n v="380.48"/>
    <n v="2"/>
    <n v="0.15"/>
    <n v="14.7"/>
  </r>
  <r>
    <n v="667"/>
    <x v="666"/>
    <x v="425"/>
    <d v="2024-08-03T00:00:00"/>
    <x v="1"/>
    <s v="CUST-1022"/>
    <s v="Customer 393"/>
    <x v="1"/>
    <x v="0"/>
    <x v="8"/>
    <x v="8"/>
    <n v="452594"/>
    <x v="3"/>
    <x v="76"/>
    <x v="0"/>
    <x v="6"/>
    <x v="458"/>
    <n v="156.62"/>
    <n v="4"/>
    <n v="0.1"/>
    <n v="-14.16"/>
  </r>
  <r>
    <n v="668"/>
    <x v="667"/>
    <x v="188"/>
    <d v="2024-07-22T00:00:00"/>
    <x v="3"/>
    <s v="CUST-1026"/>
    <s v="Customer 290"/>
    <x v="2"/>
    <x v="0"/>
    <x v="9"/>
    <x v="9"/>
    <n v="934395"/>
    <x v="2"/>
    <x v="458"/>
    <x v="0"/>
    <x v="6"/>
    <x v="504"/>
    <n v="109.5"/>
    <n v="4"/>
    <n v="0.2"/>
    <n v="-2.2999999999999998"/>
  </r>
  <r>
    <n v="669"/>
    <x v="668"/>
    <x v="426"/>
    <d v="2024-08-19T00:00:00"/>
    <x v="3"/>
    <s v="CUST-1078"/>
    <s v="Customer 205"/>
    <x v="1"/>
    <x v="0"/>
    <x v="6"/>
    <x v="6"/>
    <n v="446655"/>
    <x v="2"/>
    <x v="459"/>
    <x v="1"/>
    <x v="8"/>
    <x v="505"/>
    <n v="81.78"/>
    <n v="4"/>
    <n v="0.4"/>
    <n v="14.35"/>
  </r>
  <r>
    <n v="670"/>
    <x v="669"/>
    <x v="365"/>
    <d v="2025-11-09T00:00:00"/>
    <x v="2"/>
    <s v="CUST-1045"/>
    <s v="Customer 236"/>
    <x v="1"/>
    <x v="0"/>
    <x v="5"/>
    <x v="5"/>
    <n v="678078"/>
    <x v="0"/>
    <x v="381"/>
    <x v="2"/>
    <x v="3"/>
    <x v="506"/>
    <n v="239.67"/>
    <n v="6"/>
    <n v="0.1"/>
    <n v="8.86"/>
  </r>
  <r>
    <n v="671"/>
    <x v="670"/>
    <x v="234"/>
    <d v="2024-08-16T00:00:00"/>
    <x v="1"/>
    <s v="CUST-1372"/>
    <s v="Customer 038"/>
    <x v="0"/>
    <x v="0"/>
    <x v="9"/>
    <x v="9"/>
    <n v="897051"/>
    <x v="2"/>
    <x v="460"/>
    <x v="2"/>
    <x v="5"/>
    <x v="507"/>
    <n v="1876.67"/>
    <n v="8"/>
    <n v="0.15"/>
    <n v="112.19"/>
  </r>
  <r>
    <n v="672"/>
    <x v="671"/>
    <x v="223"/>
    <d v="2025-10-24T00:00:00"/>
    <x v="3"/>
    <s v="CUST-1213"/>
    <s v="Customer 220"/>
    <x v="1"/>
    <x v="0"/>
    <x v="6"/>
    <x v="6"/>
    <n v="931219"/>
    <x v="2"/>
    <x v="437"/>
    <x v="0"/>
    <x v="0"/>
    <x v="508"/>
    <n v="96.6"/>
    <n v="4"/>
    <n v="0.1"/>
    <n v="49.16"/>
  </r>
  <r>
    <n v="673"/>
    <x v="672"/>
    <x v="427"/>
    <d v="2025-06-18T00:00:00"/>
    <x v="0"/>
    <s v="CUST-1031"/>
    <s v="Customer 098"/>
    <x v="0"/>
    <x v="0"/>
    <x v="6"/>
    <x v="6"/>
    <n v="380444"/>
    <x v="2"/>
    <x v="265"/>
    <x v="2"/>
    <x v="3"/>
    <x v="509"/>
    <n v="139.72999999999999"/>
    <n v="4"/>
    <n v="0.4"/>
    <n v="-0.6"/>
  </r>
  <r>
    <n v="674"/>
    <x v="673"/>
    <x v="428"/>
    <d v="2025-03-19T00:00:00"/>
    <x v="3"/>
    <s v="CUST-1091"/>
    <s v="Customer 308"/>
    <x v="2"/>
    <x v="0"/>
    <x v="8"/>
    <x v="8"/>
    <n v="620919"/>
    <x v="3"/>
    <x v="461"/>
    <x v="1"/>
    <x v="8"/>
    <x v="510"/>
    <n v="230.26"/>
    <n v="7"/>
    <n v="0.05"/>
    <n v="41.02"/>
  </r>
  <r>
    <n v="675"/>
    <x v="674"/>
    <x v="71"/>
    <d v="2025-02-08T00:00:00"/>
    <x v="2"/>
    <s v="CUST-1211"/>
    <s v="Customer 271"/>
    <x v="0"/>
    <x v="0"/>
    <x v="7"/>
    <x v="7"/>
    <n v="265369"/>
    <x v="4"/>
    <x v="26"/>
    <x v="0"/>
    <x v="10"/>
    <x v="511"/>
    <n v="162.78"/>
    <n v="2"/>
    <n v="0.1"/>
    <n v="-17.68"/>
  </r>
  <r>
    <n v="676"/>
    <x v="675"/>
    <x v="303"/>
    <d v="2024-02-20T00:00:00"/>
    <x v="1"/>
    <s v="CUST-1015"/>
    <s v="Customer 197"/>
    <x v="1"/>
    <x v="0"/>
    <x v="8"/>
    <x v="8"/>
    <n v="159263"/>
    <x v="3"/>
    <x v="462"/>
    <x v="0"/>
    <x v="0"/>
    <x v="512"/>
    <n v="238.38"/>
    <n v="6"/>
    <n v="0.15"/>
    <n v="-29.9"/>
  </r>
  <r>
    <n v="677"/>
    <x v="676"/>
    <x v="171"/>
    <d v="2024-08-22T00:00:00"/>
    <x v="0"/>
    <s v="CUST-1220"/>
    <s v="Customer 001"/>
    <x v="2"/>
    <x v="0"/>
    <x v="6"/>
    <x v="6"/>
    <n v="311087"/>
    <x v="2"/>
    <x v="226"/>
    <x v="1"/>
    <x v="1"/>
    <x v="513"/>
    <n v="88.99"/>
    <n v="9"/>
    <n v="0.2"/>
    <n v="14.37"/>
  </r>
  <r>
    <n v="678"/>
    <x v="677"/>
    <x v="298"/>
    <d v="2024-11-06T00:00:00"/>
    <x v="3"/>
    <s v="CUST-1166"/>
    <s v="Customer 123"/>
    <x v="1"/>
    <x v="0"/>
    <x v="1"/>
    <x v="1"/>
    <n v="907662"/>
    <x v="1"/>
    <x v="427"/>
    <x v="1"/>
    <x v="8"/>
    <x v="514"/>
    <n v="65.48"/>
    <n v="2"/>
    <n v="0.15"/>
    <n v="54.98"/>
  </r>
  <r>
    <n v="679"/>
    <x v="678"/>
    <x v="429"/>
    <d v="2025-06-11T00:00:00"/>
    <x v="1"/>
    <s v="CUST-1217"/>
    <s v="Customer 346"/>
    <x v="1"/>
    <x v="0"/>
    <x v="9"/>
    <x v="9"/>
    <n v="598185"/>
    <x v="2"/>
    <x v="463"/>
    <x v="2"/>
    <x v="11"/>
    <x v="515"/>
    <n v="159.38999999999999"/>
    <n v="5"/>
    <n v="0.15"/>
    <n v="21.83"/>
  </r>
  <r>
    <n v="680"/>
    <x v="679"/>
    <x v="290"/>
    <d v="2024-05-25T00:00:00"/>
    <x v="3"/>
    <s v="CUST-1239"/>
    <s v="Customer 073"/>
    <x v="0"/>
    <x v="0"/>
    <x v="8"/>
    <x v="8"/>
    <n v="832119"/>
    <x v="3"/>
    <x v="131"/>
    <x v="0"/>
    <x v="0"/>
    <x v="516"/>
    <n v="96.3"/>
    <n v="9"/>
    <n v="0"/>
    <n v="30.57"/>
  </r>
  <r>
    <n v="681"/>
    <x v="680"/>
    <x v="211"/>
    <d v="2025-02-20T00:00:00"/>
    <x v="1"/>
    <s v="CUST-1058"/>
    <s v="Customer 397"/>
    <x v="0"/>
    <x v="0"/>
    <x v="7"/>
    <x v="7"/>
    <n v="961525"/>
    <x v="4"/>
    <x v="464"/>
    <x v="1"/>
    <x v="7"/>
    <x v="517"/>
    <n v="96.42"/>
    <n v="7"/>
    <n v="0.05"/>
    <n v="38.299999999999997"/>
  </r>
  <r>
    <n v="682"/>
    <x v="681"/>
    <x v="315"/>
    <d v="2025-05-29T00:00:00"/>
    <x v="2"/>
    <s v="CUST-1315"/>
    <s v="Customer 362"/>
    <x v="1"/>
    <x v="0"/>
    <x v="4"/>
    <x v="4"/>
    <n v="187745"/>
    <x v="3"/>
    <x v="465"/>
    <x v="1"/>
    <x v="7"/>
    <x v="518"/>
    <n v="33.49"/>
    <n v="6"/>
    <n v="0.3"/>
    <n v="-13.23"/>
  </r>
  <r>
    <n v="683"/>
    <x v="682"/>
    <x v="14"/>
    <d v="2025-01-11T00:00:00"/>
    <x v="0"/>
    <s v="CUST-1161"/>
    <s v="Customer 227"/>
    <x v="2"/>
    <x v="0"/>
    <x v="3"/>
    <x v="3"/>
    <n v="787055"/>
    <x v="1"/>
    <x v="466"/>
    <x v="2"/>
    <x v="11"/>
    <x v="369"/>
    <n v="312.29000000000002"/>
    <n v="7"/>
    <n v="0.1"/>
    <n v="30.41"/>
  </r>
  <r>
    <n v="684"/>
    <x v="683"/>
    <x v="67"/>
    <d v="2025-07-21T00:00:00"/>
    <x v="0"/>
    <s v="CUST-1249"/>
    <s v="Customer 193"/>
    <x v="1"/>
    <x v="0"/>
    <x v="6"/>
    <x v="6"/>
    <n v="197555"/>
    <x v="2"/>
    <x v="467"/>
    <x v="1"/>
    <x v="2"/>
    <x v="519"/>
    <n v="44.98"/>
    <n v="9"/>
    <n v="0"/>
    <n v="-7.52"/>
  </r>
  <r>
    <n v="685"/>
    <x v="684"/>
    <x v="160"/>
    <d v="2024-09-17T00:00:00"/>
    <x v="2"/>
    <s v="CUST-1070"/>
    <s v="Customer 137"/>
    <x v="2"/>
    <x v="0"/>
    <x v="5"/>
    <x v="5"/>
    <n v="607745"/>
    <x v="0"/>
    <x v="468"/>
    <x v="0"/>
    <x v="6"/>
    <x v="75"/>
    <n v="76.680000000000007"/>
    <n v="8"/>
    <n v="0.15"/>
    <n v="-31.39"/>
  </r>
  <r>
    <n v="686"/>
    <x v="685"/>
    <x v="304"/>
    <d v="2025-10-20T00:00:00"/>
    <x v="3"/>
    <s v="CUST-1016"/>
    <s v="Customer 165"/>
    <x v="2"/>
    <x v="0"/>
    <x v="4"/>
    <x v="4"/>
    <n v="605533"/>
    <x v="3"/>
    <x v="469"/>
    <x v="2"/>
    <x v="5"/>
    <x v="237"/>
    <n v="159.52000000000001"/>
    <n v="2"/>
    <n v="0.2"/>
    <n v="-6.17"/>
  </r>
  <r>
    <n v="687"/>
    <x v="686"/>
    <x v="289"/>
    <d v="2025-04-19T00:00:00"/>
    <x v="2"/>
    <s v="CUST-1168"/>
    <s v="Customer 149"/>
    <x v="2"/>
    <x v="0"/>
    <x v="2"/>
    <x v="2"/>
    <n v="178591"/>
    <x v="2"/>
    <x v="239"/>
    <x v="2"/>
    <x v="3"/>
    <x v="520"/>
    <n v="406.06"/>
    <n v="8"/>
    <n v="0"/>
    <n v="49.6"/>
  </r>
  <r>
    <n v="688"/>
    <x v="687"/>
    <x v="353"/>
    <d v="2024-01-14T00:00:00"/>
    <x v="0"/>
    <s v="CUST-1018"/>
    <s v="Customer 053"/>
    <x v="2"/>
    <x v="0"/>
    <x v="0"/>
    <x v="0"/>
    <n v="867248"/>
    <x v="0"/>
    <x v="470"/>
    <x v="2"/>
    <x v="3"/>
    <x v="65"/>
    <n v="186.19"/>
    <n v="4"/>
    <n v="0.2"/>
    <n v="19.93"/>
  </r>
  <r>
    <n v="689"/>
    <x v="688"/>
    <x v="430"/>
    <d v="2024-11-28T00:00:00"/>
    <x v="1"/>
    <s v="CUST-1036"/>
    <s v="Customer 377"/>
    <x v="1"/>
    <x v="0"/>
    <x v="7"/>
    <x v="7"/>
    <n v="227129"/>
    <x v="4"/>
    <x v="325"/>
    <x v="1"/>
    <x v="1"/>
    <x v="77"/>
    <n v="42.1"/>
    <n v="9"/>
    <n v="0.2"/>
    <n v="21.48"/>
  </r>
  <r>
    <n v="690"/>
    <x v="689"/>
    <x v="431"/>
    <d v="2024-12-28T00:00:00"/>
    <x v="2"/>
    <s v="CUST-1261"/>
    <s v="Customer 271"/>
    <x v="0"/>
    <x v="0"/>
    <x v="5"/>
    <x v="5"/>
    <n v="971612"/>
    <x v="0"/>
    <x v="471"/>
    <x v="2"/>
    <x v="11"/>
    <x v="521"/>
    <n v="966.6"/>
    <n v="9"/>
    <n v="0"/>
    <n v="154.04"/>
  </r>
  <r>
    <n v="691"/>
    <x v="690"/>
    <x v="283"/>
    <d v="2025-02-15T00:00:00"/>
    <x v="0"/>
    <s v="CUST-1173"/>
    <s v="Customer 073"/>
    <x v="0"/>
    <x v="0"/>
    <x v="0"/>
    <x v="0"/>
    <n v="371380"/>
    <x v="0"/>
    <x v="472"/>
    <x v="2"/>
    <x v="4"/>
    <x v="522"/>
    <n v="609.02"/>
    <n v="2"/>
    <n v="0.2"/>
    <n v="30.57"/>
  </r>
  <r>
    <n v="692"/>
    <x v="691"/>
    <x v="432"/>
    <d v="2025-10-31T00:00:00"/>
    <x v="1"/>
    <s v="CUST-1121"/>
    <s v="Customer 318"/>
    <x v="1"/>
    <x v="0"/>
    <x v="7"/>
    <x v="7"/>
    <n v="400646"/>
    <x v="4"/>
    <x v="473"/>
    <x v="1"/>
    <x v="1"/>
    <x v="167"/>
    <n v="156.63"/>
    <n v="9"/>
    <n v="0.05"/>
    <n v="10.85"/>
  </r>
  <r>
    <n v="693"/>
    <x v="692"/>
    <x v="14"/>
    <d v="2025-01-12T00:00:00"/>
    <x v="3"/>
    <s v="CUST-1166"/>
    <s v="Customer 247"/>
    <x v="1"/>
    <x v="0"/>
    <x v="1"/>
    <x v="1"/>
    <n v="918718"/>
    <x v="1"/>
    <x v="474"/>
    <x v="0"/>
    <x v="9"/>
    <x v="523"/>
    <n v="108.37"/>
    <n v="1"/>
    <n v="0.15"/>
    <n v="47.19"/>
  </r>
  <r>
    <n v="694"/>
    <x v="693"/>
    <x v="433"/>
    <d v="2024-01-10T00:00:00"/>
    <x v="0"/>
    <s v="CUST-1202"/>
    <s v="Customer 096"/>
    <x v="0"/>
    <x v="0"/>
    <x v="3"/>
    <x v="3"/>
    <n v="699262"/>
    <x v="1"/>
    <x v="71"/>
    <x v="2"/>
    <x v="3"/>
    <x v="489"/>
    <n v="1066.77"/>
    <n v="3"/>
    <n v="0.2"/>
    <n v="81.819999999999993"/>
  </r>
  <r>
    <n v="695"/>
    <x v="694"/>
    <x v="8"/>
    <d v="2024-05-03T00:00:00"/>
    <x v="1"/>
    <s v="CUST-1079"/>
    <s v="Customer 154"/>
    <x v="1"/>
    <x v="0"/>
    <x v="4"/>
    <x v="4"/>
    <n v="631992"/>
    <x v="3"/>
    <x v="96"/>
    <x v="2"/>
    <x v="11"/>
    <x v="524"/>
    <n v="201.06"/>
    <n v="4"/>
    <n v="0.1"/>
    <n v="30.83"/>
  </r>
  <r>
    <n v="696"/>
    <x v="695"/>
    <x v="152"/>
    <d v="2024-12-14T00:00:00"/>
    <x v="3"/>
    <s v="CUST-1397"/>
    <s v="Customer 134"/>
    <x v="2"/>
    <x v="0"/>
    <x v="9"/>
    <x v="9"/>
    <n v="739411"/>
    <x v="2"/>
    <x v="300"/>
    <x v="2"/>
    <x v="5"/>
    <x v="251"/>
    <n v="363.31"/>
    <n v="9"/>
    <n v="0.2"/>
    <n v="31.71"/>
  </r>
  <r>
    <n v="697"/>
    <x v="696"/>
    <x v="365"/>
    <d v="2025-11-08T00:00:00"/>
    <x v="2"/>
    <s v="CUST-1262"/>
    <s v="Customer 135"/>
    <x v="1"/>
    <x v="0"/>
    <x v="7"/>
    <x v="7"/>
    <n v="456737"/>
    <x v="4"/>
    <x v="475"/>
    <x v="2"/>
    <x v="11"/>
    <x v="69"/>
    <n v="375.5"/>
    <n v="1"/>
    <n v="0.15"/>
    <n v="64.739999999999995"/>
  </r>
  <r>
    <n v="698"/>
    <x v="697"/>
    <x v="354"/>
    <d v="2024-04-02T00:00:00"/>
    <x v="1"/>
    <s v="CUST-1202"/>
    <s v="Customer 261"/>
    <x v="2"/>
    <x v="0"/>
    <x v="9"/>
    <x v="9"/>
    <n v="419349"/>
    <x v="2"/>
    <x v="476"/>
    <x v="1"/>
    <x v="2"/>
    <x v="127"/>
    <n v="169.9"/>
    <n v="2"/>
    <n v="0.05"/>
    <n v="25.36"/>
  </r>
  <r>
    <n v="699"/>
    <x v="698"/>
    <x v="97"/>
    <d v="2025-10-11T00:00:00"/>
    <x v="1"/>
    <s v="CUST-1201"/>
    <s v="Customer 210"/>
    <x v="0"/>
    <x v="0"/>
    <x v="3"/>
    <x v="3"/>
    <n v="469068"/>
    <x v="1"/>
    <x v="477"/>
    <x v="2"/>
    <x v="5"/>
    <x v="467"/>
    <n v="499.79"/>
    <n v="3"/>
    <n v="0.1"/>
    <n v="55.71"/>
  </r>
  <r>
    <n v="700"/>
    <x v="699"/>
    <x v="294"/>
    <d v="2025-11-30T00:00:00"/>
    <x v="0"/>
    <s v="CUST-1068"/>
    <s v="Customer 341"/>
    <x v="0"/>
    <x v="0"/>
    <x v="6"/>
    <x v="6"/>
    <n v="178930"/>
    <x v="2"/>
    <x v="81"/>
    <x v="2"/>
    <x v="11"/>
    <x v="525"/>
    <n v="391.9"/>
    <n v="2"/>
    <n v="0.15"/>
    <n v="14.92"/>
  </r>
  <r>
    <n v="701"/>
    <x v="700"/>
    <x v="50"/>
    <d v="2024-11-13T00:00:00"/>
    <x v="3"/>
    <s v="CUST-1171"/>
    <s v="Customer 051"/>
    <x v="0"/>
    <x v="0"/>
    <x v="2"/>
    <x v="2"/>
    <n v="371479"/>
    <x v="2"/>
    <x v="133"/>
    <x v="1"/>
    <x v="2"/>
    <x v="89"/>
    <n v="249.11"/>
    <n v="6"/>
    <n v="0.1"/>
    <n v="-19.059999999999999"/>
  </r>
  <r>
    <n v="702"/>
    <x v="701"/>
    <x v="434"/>
    <d v="2024-06-28T00:00:00"/>
    <x v="1"/>
    <s v="CUST-1329"/>
    <s v="Customer 338"/>
    <x v="0"/>
    <x v="0"/>
    <x v="4"/>
    <x v="4"/>
    <n v="187110"/>
    <x v="3"/>
    <x v="478"/>
    <x v="1"/>
    <x v="8"/>
    <x v="526"/>
    <n v="60.25"/>
    <n v="2"/>
    <n v="0.15"/>
    <n v="32.08"/>
  </r>
  <r>
    <n v="703"/>
    <x v="702"/>
    <x v="435"/>
    <d v="2025-06-25T00:00:00"/>
    <x v="1"/>
    <s v="CUST-1107"/>
    <s v="Customer 343"/>
    <x v="2"/>
    <x v="0"/>
    <x v="3"/>
    <x v="3"/>
    <n v="636932"/>
    <x v="1"/>
    <x v="121"/>
    <x v="0"/>
    <x v="10"/>
    <x v="527"/>
    <n v="561.72"/>
    <n v="9"/>
    <n v="0.15"/>
    <n v="20.16"/>
  </r>
  <r>
    <n v="704"/>
    <x v="703"/>
    <x v="91"/>
    <d v="2024-02-13T00:00:00"/>
    <x v="0"/>
    <s v="CUST-1198"/>
    <s v="Customer 252"/>
    <x v="1"/>
    <x v="0"/>
    <x v="3"/>
    <x v="3"/>
    <n v="919115"/>
    <x v="1"/>
    <x v="479"/>
    <x v="0"/>
    <x v="6"/>
    <x v="528"/>
    <n v="113.3"/>
    <n v="8"/>
    <n v="0.15"/>
    <n v="-18.260000000000002"/>
  </r>
  <r>
    <n v="705"/>
    <x v="704"/>
    <x v="322"/>
    <d v="2025-12-08T00:00:00"/>
    <x v="1"/>
    <s v="CUST-1369"/>
    <s v="Customer 035"/>
    <x v="0"/>
    <x v="0"/>
    <x v="1"/>
    <x v="1"/>
    <n v="633609"/>
    <x v="1"/>
    <x v="98"/>
    <x v="0"/>
    <x v="10"/>
    <x v="393"/>
    <n v="73.5"/>
    <n v="2"/>
    <n v="0"/>
    <n v="30.93"/>
  </r>
  <r>
    <n v="706"/>
    <x v="705"/>
    <x v="436"/>
    <d v="2025-05-20T00:00:00"/>
    <x v="2"/>
    <s v="CUST-1092"/>
    <s v="Customer 007"/>
    <x v="1"/>
    <x v="0"/>
    <x v="0"/>
    <x v="0"/>
    <n v="651764"/>
    <x v="0"/>
    <x v="480"/>
    <x v="0"/>
    <x v="6"/>
    <x v="291"/>
    <n v="176.43"/>
    <n v="4"/>
    <n v="0.05"/>
    <n v="38.58"/>
  </r>
  <r>
    <n v="707"/>
    <x v="706"/>
    <x v="437"/>
    <d v="2024-05-27T00:00:00"/>
    <x v="3"/>
    <s v="CUST-1010"/>
    <s v="Customer 306"/>
    <x v="0"/>
    <x v="0"/>
    <x v="2"/>
    <x v="2"/>
    <n v="792642"/>
    <x v="2"/>
    <x v="481"/>
    <x v="0"/>
    <x v="10"/>
    <x v="529"/>
    <n v="96.36"/>
    <n v="5"/>
    <n v="0.1"/>
    <n v="32.47"/>
  </r>
  <r>
    <n v="708"/>
    <x v="707"/>
    <x v="112"/>
    <d v="2024-07-22T00:00:00"/>
    <x v="1"/>
    <s v="CUST-1242"/>
    <s v="Customer 389"/>
    <x v="1"/>
    <x v="0"/>
    <x v="4"/>
    <x v="4"/>
    <n v="727326"/>
    <x v="3"/>
    <x v="25"/>
    <x v="0"/>
    <x v="6"/>
    <x v="530"/>
    <n v="179.22"/>
    <n v="9"/>
    <n v="0.2"/>
    <n v="-28.83"/>
  </r>
  <r>
    <n v="709"/>
    <x v="708"/>
    <x v="438"/>
    <d v="2025-12-27T00:00:00"/>
    <x v="0"/>
    <s v="CUST-1095"/>
    <s v="Customer 122"/>
    <x v="1"/>
    <x v="0"/>
    <x v="6"/>
    <x v="6"/>
    <n v="211597"/>
    <x v="2"/>
    <x v="53"/>
    <x v="1"/>
    <x v="8"/>
    <x v="359"/>
    <n v="264.56"/>
    <n v="2"/>
    <n v="0.05"/>
    <n v="62.81"/>
  </r>
  <r>
    <n v="710"/>
    <x v="709"/>
    <x v="131"/>
    <d v="2025-04-08T00:00:00"/>
    <x v="0"/>
    <s v="CUST-1094"/>
    <s v="Customer 296"/>
    <x v="0"/>
    <x v="0"/>
    <x v="6"/>
    <x v="6"/>
    <n v="294202"/>
    <x v="2"/>
    <x v="202"/>
    <x v="2"/>
    <x v="11"/>
    <x v="531"/>
    <n v="587.35"/>
    <n v="4"/>
    <n v="0.3"/>
    <n v="38.659999999999997"/>
  </r>
  <r>
    <n v="711"/>
    <x v="710"/>
    <x v="439"/>
    <d v="2025-07-14T00:00:00"/>
    <x v="1"/>
    <s v="CUST-1262"/>
    <s v="Customer 224"/>
    <x v="0"/>
    <x v="0"/>
    <x v="8"/>
    <x v="8"/>
    <n v="156690"/>
    <x v="3"/>
    <x v="482"/>
    <x v="1"/>
    <x v="1"/>
    <x v="453"/>
    <n v="165.78"/>
    <n v="6"/>
    <n v="0.3"/>
    <n v="41.73"/>
  </r>
  <r>
    <n v="712"/>
    <x v="711"/>
    <x v="122"/>
    <d v="2025-07-03T00:00:00"/>
    <x v="3"/>
    <s v="CUST-1190"/>
    <s v="Customer 159"/>
    <x v="0"/>
    <x v="0"/>
    <x v="3"/>
    <x v="3"/>
    <n v="829422"/>
    <x v="1"/>
    <x v="245"/>
    <x v="2"/>
    <x v="5"/>
    <x v="532"/>
    <n v="801.72"/>
    <n v="7"/>
    <n v="0.05"/>
    <n v="168.08"/>
  </r>
  <r>
    <n v="713"/>
    <x v="712"/>
    <x v="30"/>
    <d v="2024-09-12T00:00:00"/>
    <x v="1"/>
    <s v="CUST-1246"/>
    <s v="Customer 254"/>
    <x v="2"/>
    <x v="0"/>
    <x v="7"/>
    <x v="7"/>
    <n v="590847"/>
    <x v="4"/>
    <x v="292"/>
    <x v="1"/>
    <x v="2"/>
    <x v="519"/>
    <n v="110"/>
    <n v="3"/>
    <n v="0.1"/>
    <n v="5.33"/>
  </r>
  <r>
    <n v="714"/>
    <x v="713"/>
    <x v="66"/>
    <d v="2025-01-27T00:00:00"/>
    <x v="1"/>
    <s v="CUST-1078"/>
    <s v="Customer 057"/>
    <x v="2"/>
    <x v="0"/>
    <x v="1"/>
    <x v="1"/>
    <n v="411493"/>
    <x v="1"/>
    <x v="361"/>
    <x v="1"/>
    <x v="1"/>
    <x v="533"/>
    <n v="78.22"/>
    <n v="7"/>
    <n v="0.15"/>
    <n v="30.27"/>
  </r>
  <r>
    <n v="715"/>
    <x v="714"/>
    <x v="440"/>
    <d v="2025-08-19T00:00:00"/>
    <x v="2"/>
    <s v="CUST-1171"/>
    <s v="Customer 236"/>
    <x v="0"/>
    <x v="0"/>
    <x v="2"/>
    <x v="2"/>
    <n v="828229"/>
    <x v="2"/>
    <x v="184"/>
    <x v="1"/>
    <x v="7"/>
    <x v="534"/>
    <n v="138.85"/>
    <n v="1"/>
    <n v="0.4"/>
    <n v="10.65"/>
  </r>
  <r>
    <n v="716"/>
    <x v="715"/>
    <x v="268"/>
    <d v="2024-09-15T00:00:00"/>
    <x v="0"/>
    <s v="CUST-1334"/>
    <s v="Customer 160"/>
    <x v="2"/>
    <x v="0"/>
    <x v="6"/>
    <x v="6"/>
    <n v="685233"/>
    <x v="2"/>
    <x v="354"/>
    <x v="2"/>
    <x v="11"/>
    <x v="535"/>
    <n v="336.56"/>
    <n v="8"/>
    <n v="0.1"/>
    <n v="52.49"/>
  </r>
  <r>
    <n v="717"/>
    <x v="716"/>
    <x v="441"/>
    <d v="2025-12-11T00:00:00"/>
    <x v="0"/>
    <s v="CUST-1279"/>
    <s v="Customer 145"/>
    <x v="0"/>
    <x v="0"/>
    <x v="4"/>
    <x v="4"/>
    <n v="676070"/>
    <x v="3"/>
    <x v="400"/>
    <x v="0"/>
    <x v="10"/>
    <x v="536"/>
    <n v="103.5"/>
    <n v="1"/>
    <n v="0.15"/>
    <n v="57.51"/>
  </r>
  <r>
    <n v="718"/>
    <x v="717"/>
    <x v="442"/>
    <d v="2025-03-27T00:00:00"/>
    <x v="3"/>
    <s v="CUST-1357"/>
    <s v="Customer 219"/>
    <x v="2"/>
    <x v="0"/>
    <x v="8"/>
    <x v="8"/>
    <n v="480703"/>
    <x v="3"/>
    <x v="483"/>
    <x v="0"/>
    <x v="0"/>
    <x v="190"/>
    <n v="241.05"/>
    <n v="6"/>
    <n v="0.1"/>
    <n v="2.76"/>
  </r>
  <r>
    <n v="719"/>
    <x v="718"/>
    <x v="443"/>
    <d v="2024-01-11T00:00:00"/>
    <x v="3"/>
    <s v="CUST-1264"/>
    <s v="Customer 199"/>
    <x v="1"/>
    <x v="0"/>
    <x v="4"/>
    <x v="4"/>
    <n v="728556"/>
    <x v="3"/>
    <x v="484"/>
    <x v="1"/>
    <x v="7"/>
    <x v="477"/>
    <n v="76.790000000000006"/>
    <n v="3"/>
    <n v="0.2"/>
    <n v="18.350000000000001"/>
  </r>
  <r>
    <n v="720"/>
    <x v="719"/>
    <x v="52"/>
    <d v="2024-09-03T00:00:00"/>
    <x v="0"/>
    <s v="CUST-1018"/>
    <s v="Customer 023"/>
    <x v="2"/>
    <x v="0"/>
    <x v="1"/>
    <x v="1"/>
    <n v="817804"/>
    <x v="1"/>
    <x v="485"/>
    <x v="0"/>
    <x v="6"/>
    <x v="537"/>
    <n v="572.79"/>
    <n v="8"/>
    <n v="0.1"/>
    <n v="51.39"/>
  </r>
  <r>
    <n v="721"/>
    <x v="720"/>
    <x v="444"/>
    <d v="2024-09-08T00:00:00"/>
    <x v="3"/>
    <s v="CUST-1062"/>
    <s v="Customer 068"/>
    <x v="1"/>
    <x v="0"/>
    <x v="7"/>
    <x v="7"/>
    <n v="825903"/>
    <x v="4"/>
    <x v="486"/>
    <x v="0"/>
    <x v="9"/>
    <x v="177"/>
    <n v="320.7"/>
    <n v="3"/>
    <n v="0.15"/>
    <n v="9.98"/>
  </r>
  <r>
    <n v="722"/>
    <x v="721"/>
    <x v="125"/>
    <d v="2024-01-10T00:00:00"/>
    <x v="2"/>
    <s v="CUST-1335"/>
    <s v="Customer 379"/>
    <x v="1"/>
    <x v="0"/>
    <x v="8"/>
    <x v="8"/>
    <n v="662464"/>
    <x v="3"/>
    <x v="111"/>
    <x v="0"/>
    <x v="6"/>
    <x v="538"/>
    <n v="692.61"/>
    <n v="9"/>
    <n v="0"/>
    <n v="46.54"/>
  </r>
  <r>
    <n v="723"/>
    <x v="722"/>
    <x v="445"/>
    <d v="2024-05-01T00:00:00"/>
    <x v="2"/>
    <s v="CUST-1148"/>
    <s v="Customer 367"/>
    <x v="0"/>
    <x v="0"/>
    <x v="8"/>
    <x v="8"/>
    <n v="152756"/>
    <x v="3"/>
    <x v="487"/>
    <x v="0"/>
    <x v="10"/>
    <x v="110"/>
    <n v="227.63"/>
    <n v="8"/>
    <n v="0.2"/>
    <n v="19.5"/>
  </r>
  <r>
    <n v="724"/>
    <x v="723"/>
    <x v="168"/>
    <d v="2025-01-12T00:00:00"/>
    <x v="0"/>
    <s v="CUST-1289"/>
    <s v="Customer 056"/>
    <x v="0"/>
    <x v="0"/>
    <x v="0"/>
    <x v="0"/>
    <n v="106402"/>
    <x v="0"/>
    <x v="141"/>
    <x v="0"/>
    <x v="9"/>
    <x v="442"/>
    <n v="176"/>
    <n v="5"/>
    <n v="0.15"/>
    <n v="33.4"/>
  </r>
  <r>
    <n v="725"/>
    <x v="724"/>
    <x v="94"/>
    <d v="2024-03-08T00:00:00"/>
    <x v="2"/>
    <s v="CUST-1009"/>
    <s v="Customer 087"/>
    <x v="1"/>
    <x v="0"/>
    <x v="2"/>
    <x v="2"/>
    <n v="443190"/>
    <x v="2"/>
    <x v="488"/>
    <x v="2"/>
    <x v="3"/>
    <x v="539"/>
    <n v="188.01"/>
    <n v="6"/>
    <n v="0.1"/>
    <n v="-33.31"/>
  </r>
  <r>
    <n v="726"/>
    <x v="725"/>
    <x v="446"/>
    <d v="2024-05-26T00:00:00"/>
    <x v="3"/>
    <s v="CUST-1390"/>
    <s v="Customer 105"/>
    <x v="2"/>
    <x v="0"/>
    <x v="8"/>
    <x v="8"/>
    <n v="775087"/>
    <x v="3"/>
    <x v="372"/>
    <x v="1"/>
    <x v="7"/>
    <x v="170"/>
    <n v="41.03"/>
    <n v="5"/>
    <n v="0.05"/>
    <n v="15"/>
  </r>
  <r>
    <n v="727"/>
    <x v="726"/>
    <x v="447"/>
    <d v="2024-08-15T00:00:00"/>
    <x v="0"/>
    <s v="CUST-1300"/>
    <s v="Customer 196"/>
    <x v="2"/>
    <x v="0"/>
    <x v="0"/>
    <x v="0"/>
    <n v="520515"/>
    <x v="0"/>
    <x v="489"/>
    <x v="1"/>
    <x v="7"/>
    <x v="68"/>
    <n v="120.4"/>
    <n v="2"/>
    <n v="0.05"/>
    <n v="-15.37"/>
  </r>
  <r>
    <n v="728"/>
    <x v="727"/>
    <x v="448"/>
    <d v="2024-08-27T00:00:00"/>
    <x v="1"/>
    <s v="CUST-1050"/>
    <s v="Customer 112"/>
    <x v="0"/>
    <x v="0"/>
    <x v="0"/>
    <x v="0"/>
    <n v="255647"/>
    <x v="0"/>
    <x v="421"/>
    <x v="1"/>
    <x v="2"/>
    <x v="296"/>
    <n v="49.16"/>
    <n v="3"/>
    <n v="0.15"/>
    <n v="33.479999999999997"/>
  </r>
  <r>
    <n v="729"/>
    <x v="728"/>
    <x v="377"/>
    <d v="2024-06-28T00:00:00"/>
    <x v="1"/>
    <s v="CUST-1350"/>
    <s v="Customer 267"/>
    <x v="1"/>
    <x v="0"/>
    <x v="1"/>
    <x v="1"/>
    <n v="181551"/>
    <x v="1"/>
    <x v="490"/>
    <x v="2"/>
    <x v="4"/>
    <x v="540"/>
    <n v="233.25"/>
    <n v="8"/>
    <n v="0.15"/>
    <n v="-9.94"/>
  </r>
  <r>
    <n v="730"/>
    <x v="729"/>
    <x v="449"/>
    <d v="2024-10-11T00:00:00"/>
    <x v="2"/>
    <s v="CUST-1391"/>
    <s v="Customer 211"/>
    <x v="0"/>
    <x v="0"/>
    <x v="9"/>
    <x v="9"/>
    <n v="348751"/>
    <x v="2"/>
    <x v="491"/>
    <x v="1"/>
    <x v="2"/>
    <x v="440"/>
    <n v="112.63"/>
    <n v="3"/>
    <n v="0.15"/>
    <n v="-18.57"/>
  </r>
  <r>
    <n v="731"/>
    <x v="730"/>
    <x v="99"/>
    <d v="2024-03-05T00:00:00"/>
    <x v="1"/>
    <s v="CUST-1391"/>
    <s v="Customer 385"/>
    <x v="1"/>
    <x v="0"/>
    <x v="4"/>
    <x v="4"/>
    <n v="941774"/>
    <x v="3"/>
    <x v="101"/>
    <x v="1"/>
    <x v="8"/>
    <x v="541"/>
    <n v="179.44"/>
    <n v="7"/>
    <n v="0.05"/>
    <n v="67.81"/>
  </r>
  <r>
    <n v="732"/>
    <x v="731"/>
    <x v="87"/>
    <d v="2024-08-08T00:00:00"/>
    <x v="1"/>
    <s v="CUST-1085"/>
    <s v="Customer 338"/>
    <x v="1"/>
    <x v="0"/>
    <x v="7"/>
    <x v="7"/>
    <n v="220388"/>
    <x v="4"/>
    <x v="166"/>
    <x v="1"/>
    <x v="1"/>
    <x v="157"/>
    <n v="86.51"/>
    <n v="2"/>
    <n v="0.15"/>
    <n v="-39.520000000000003"/>
  </r>
  <r>
    <n v="733"/>
    <x v="732"/>
    <x v="368"/>
    <d v="2025-11-22T00:00:00"/>
    <x v="1"/>
    <s v="CUST-1191"/>
    <s v="Customer 151"/>
    <x v="2"/>
    <x v="0"/>
    <x v="5"/>
    <x v="5"/>
    <n v="993850"/>
    <x v="0"/>
    <x v="336"/>
    <x v="1"/>
    <x v="2"/>
    <x v="542"/>
    <n v="41.45"/>
    <n v="8"/>
    <n v="0.2"/>
    <n v="-5.3"/>
  </r>
  <r>
    <n v="734"/>
    <x v="733"/>
    <x v="131"/>
    <d v="2025-04-08T00:00:00"/>
    <x v="0"/>
    <s v="CUST-1089"/>
    <s v="Customer 343"/>
    <x v="1"/>
    <x v="0"/>
    <x v="4"/>
    <x v="4"/>
    <n v="159547"/>
    <x v="3"/>
    <x v="492"/>
    <x v="0"/>
    <x v="10"/>
    <x v="527"/>
    <n v="350.92"/>
    <n v="5"/>
    <n v="0.1"/>
    <n v="16.28"/>
  </r>
  <r>
    <n v="735"/>
    <x v="734"/>
    <x v="194"/>
    <d v="2025-09-03T00:00:00"/>
    <x v="3"/>
    <s v="CUST-1300"/>
    <s v="Customer 195"/>
    <x v="0"/>
    <x v="0"/>
    <x v="8"/>
    <x v="8"/>
    <n v="985486"/>
    <x v="3"/>
    <x v="493"/>
    <x v="1"/>
    <x v="8"/>
    <x v="326"/>
    <n v="197.73"/>
    <n v="8"/>
    <n v="0.15"/>
    <n v="12.24"/>
  </r>
  <r>
    <n v="736"/>
    <x v="735"/>
    <x v="450"/>
    <d v="2024-04-19T00:00:00"/>
    <x v="2"/>
    <s v="CUST-1210"/>
    <s v="Customer 205"/>
    <x v="2"/>
    <x v="0"/>
    <x v="7"/>
    <x v="7"/>
    <n v="131786"/>
    <x v="4"/>
    <x v="494"/>
    <x v="0"/>
    <x v="10"/>
    <x v="400"/>
    <n v="69.709999999999994"/>
    <n v="6"/>
    <n v="0.1"/>
    <n v="-3.68"/>
  </r>
  <r>
    <n v="737"/>
    <x v="736"/>
    <x v="119"/>
    <d v="2024-04-11T00:00:00"/>
    <x v="3"/>
    <s v="CUST-1326"/>
    <s v="Customer 383"/>
    <x v="1"/>
    <x v="0"/>
    <x v="6"/>
    <x v="6"/>
    <n v="828468"/>
    <x v="2"/>
    <x v="495"/>
    <x v="2"/>
    <x v="5"/>
    <x v="543"/>
    <n v="450.97"/>
    <n v="6"/>
    <n v="0.4"/>
    <n v="-25.08"/>
  </r>
  <r>
    <n v="738"/>
    <x v="737"/>
    <x v="34"/>
    <d v="2025-05-28T00:00:00"/>
    <x v="3"/>
    <s v="CUST-1334"/>
    <s v="Customer 036"/>
    <x v="0"/>
    <x v="0"/>
    <x v="9"/>
    <x v="9"/>
    <n v="279243"/>
    <x v="2"/>
    <x v="496"/>
    <x v="0"/>
    <x v="10"/>
    <x v="544"/>
    <n v="166.56"/>
    <n v="9"/>
    <n v="0.2"/>
    <n v="-2.2999999999999998"/>
  </r>
  <r>
    <n v="739"/>
    <x v="738"/>
    <x v="155"/>
    <d v="2025-01-21T00:00:00"/>
    <x v="2"/>
    <s v="CUST-1367"/>
    <s v="Customer 247"/>
    <x v="0"/>
    <x v="0"/>
    <x v="6"/>
    <x v="6"/>
    <n v="483898"/>
    <x v="2"/>
    <x v="497"/>
    <x v="1"/>
    <x v="8"/>
    <x v="545"/>
    <n v="74.16"/>
    <n v="5"/>
    <n v="0.05"/>
    <n v="16.66"/>
  </r>
  <r>
    <n v="740"/>
    <x v="739"/>
    <x v="451"/>
    <d v="2025-02-11T00:00:00"/>
    <x v="2"/>
    <s v="CUST-1153"/>
    <s v="Customer 058"/>
    <x v="0"/>
    <x v="0"/>
    <x v="6"/>
    <x v="6"/>
    <n v="685619"/>
    <x v="2"/>
    <x v="62"/>
    <x v="1"/>
    <x v="2"/>
    <x v="67"/>
    <n v="107.12"/>
    <n v="3"/>
    <n v="0.3"/>
    <n v="-18.78"/>
  </r>
  <r>
    <n v="741"/>
    <x v="740"/>
    <x v="262"/>
    <d v="2025-06-04T00:00:00"/>
    <x v="3"/>
    <s v="CUST-1337"/>
    <s v="Customer 151"/>
    <x v="2"/>
    <x v="0"/>
    <x v="2"/>
    <x v="2"/>
    <n v="970142"/>
    <x v="2"/>
    <x v="215"/>
    <x v="1"/>
    <x v="2"/>
    <x v="546"/>
    <n v="125.83"/>
    <n v="4"/>
    <n v="0.1"/>
    <n v="56.88"/>
  </r>
  <r>
    <n v="742"/>
    <x v="741"/>
    <x v="36"/>
    <d v="2025-04-23T00:00:00"/>
    <x v="0"/>
    <s v="CUST-1242"/>
    <s v="Customer 192"/>
    <x v="1"/>
    <x v="0"/>
    <x v="4"/>
    <x v="4"/>
    <n v="556339"/>
    <x v="3"/>
    <x v="233"/>
    <x v="1"/>
    <x v="1"/>
    <x v="285"/>
    <n v="64.41"/>
    <n v="6"/>
    <n v="0.05"/>
    <n v="-25.68"/>
  </r>
  <r>
    <n v="743"/>
    <x v="742"/>
    <x v="441"/>
    <d v="2025-12-10T00:00:00"/>
    <x v="3"/>
    <s v="CUST-1103"/>
    <s v="Customer 361"/>
    <x v="1"/>
    <x v="0"/>
    <x v="5"/>
    <x v="5"/>
    <n v="154306"/>
    <x v="0"/>
    <x v="336"/>
    <x v="2"/>
    <x v="11"/>
    <x v="547"/>
    <n v="528.17999999999995"/>
    <n v="5"/>
    <n v="0.1"/>
    <n v="75.680000000000007"/>
  </r>
  <r>
    <n v="744"/>
    <x v="743"/>
    <x v="452"/>
    <d v="2025-10-07T00:00:00"/>
    <x v="2"/>
    <s v="CUST-1356"/>
    <s v="Customer 361"/>
    <x v="2"/>
    <x v="0"/>
    <x v="1"/>
    <x v="1"/>
    <n v="468225"/>
    <x v="1"/>
    <x v="498"/>
    <x v="2"/>
    <x v="5"/>
    <x v="233"/>
    <n v="786.84"/>
    <n v="5"/>
    <n v="0.3"/>
    <n v="12.09"/>
  </r>
  <r>
    <n v="745"/>
    <x v="744"/>
    <x v="453"/>
    <d v="2025-03-17T00:00:00"/>
    <x v="1"/>
    <s v="CUST-1144"/>
    <s v="Customer 156"/>
    <x v="1"/>
    <x v="0"/>
    <x v="5"/>
    <x v="5"/>
    <n v="771367"/>
    <x v="0"/>
    <x v="227"/>
    <x v="2"/>
    <x v="5"/>
    <x v="261"/>
    <n v="245.72"/>
    <n v="3"/>
    <n v="0.2"/>
    <n v="30.94"/>
  </r>
  <r>
    <n v="746"/>
    <x v="745"/>
    <x v="337"/>
    <d v="2024-01-26T00:00:00"/>
    <x v="3"/>
    <s v="CUST-1194"/>
    <s v="Customer 268"/>
    <x v="1"/>
    <x v="0"/>
    <x v="6"/>
    <x v="6"/>
    <n v="928424"/>
    <x v="2"/>
    <x v="63"/>
    <x v="2"/>
    <x v="5"/>
    <x v="435"/>
    <n v="1138.04"/>
    <n v="8"/>
    <n v="0.2"/>
    <n v="58.98"/>
  </r>
  <r>
    <n v="747"/>
    <x v="746"/>
    <x v="54"/>
    <d v="2025-07-20T00:00:00"/>
    <x v="3"/>
    <s v="CUST-1102"/>
    <s v="Customer 111"/>
    <x v="1"/>
    <x v="0"/>
    <x v="8"/>
    <x v="8"/>
    <n v="406489"/>
    <x v="3"/>
    <x v="499"/>
    <x v="0"/>
    <x v="0"/>
    <x v="548"/>
    <n v="339.41"/>
    <n v="5"/>
    <n v="0.2"/>
    <n v="-38.630000000000003"/>
  </r>
  <r>
    <n v="748"/>
    <x v="747"/>
    <x v="166"/>
    <d v="2025-11-09T00:00:00"/>
    <x v="2"/>
    <s v="CUST-1049"/>
    <s v="Customer 294"/>
    <x v="1"/>
    <x v="0"/>
    <x v="9"/>
    <x v="9"/>
    <n v="638921"/>
    <x v="2"/>
    <x v="230"/>
    <x v="2"/>
    <x v="11"/>
    <x v="61"/>
    <n v="378.09"/>
    <n v="6"/>
    <n v="0.1"/>
    <n v="18.55"/>
  </r>
  <r>
    <n v="749"/>
    <x v="748"/>
    <x v="413"/>
    <d v="2025-12-16T00:00:00"/>
    <x v="2"/>
    <s v="CUST-1193"/>
    <s v="Customer 258"/>
    <x v="0"/>
    <x v="0"/>
    <x v="3"/>
    <x v="3"/>
    <n v="630704"/>
    <x v="1"/>
    <x v="190"/>
    <x v="0"/>
    <x v="10"/>
    <x v="73"/>
    <n v="636.55999999999995"/>
    <n v="4"/>
    <n v="0.15"/>
    <n v="9.16"/>
  </r>
  <r>
    <n v="750"/>
    <x v="749"/>
    <x v="454"/>
    <d v="2025-04-05T00:00:00"/>
    <x v="0"/>
    <s v="CUST-1158"/>
    <s v="Customer 287"/>
    <x v="0"/>
    <x v="0"/>
    <x v="5"/>
    <x v="5"/>
    <n v="322785"/>
    <x v="0"/>
    <x v="43"/>
    <x v="1"/>
    <x v="8"/>
    <x v="549"/>
    <n v="45.39"/>
    <n v="3"/>
    <n v="0.1"/>
    <n v="38.270000000000003"/>
  </r>
  <r>
    <n v="751"/>
    <x v="750"/>
    <x v="455"/>
    <d v="2024-03-25T00:00:00"/>
    <x v="1"/>
    <s v="CUST-1108"/>
    <s v="Customer 040"/>
    <x v="2"/>
    <x v="0"/>
    <x v="6"/>
    <x v="6"/>
    <n v="501702"/>
    <x v="2"/>
    <x v="500"/>
    <x v="0"/>
    <x v="0"/>
    <x v="550"/>
    <n v="122.11"/>
    <n v="6"/>
    <n v="0.2"/>
    <n v="8.14"/>
  </r>
  <r>
    <n v="752"/>
    <x v="751"/>
    <x v="437"/>
    <d v="2024-05-26T00:00:00"/>
    <x v="0"/>
    <s v="CUST-1328"/>
    <s v="Customer 391"/>
    <x v="2"/>
    <x v="0"/>
    <x v="9"/>
    <x v="9"/>
    <n v="975475"/>
    <x v="2"/>
    <x v="259"/>
    <x v="1"/>
    <x v="8"/>
    <x v="551"/>
    <n v="171.16"/>
    <n v="9"/>
    <n v="0.15"/>
    <n v="9.9"/>
  </r>
  <r>
    <n v="753"/>
    <x v="752"/>
    <x v="456"/>
    <d v="2024-03-28T00:00:00"/>
    <x v="3"/>
    <s v="CUST-1377"/>
    <s v="Customer 268"/>
    <x v="2"/>
    <x v="0"/>
    <x v="7"/>
    <x v="7"/>
    <n v="700322"/>
    <x v="4"/>
    <x v="266"/>
    <x v="1"/>
    <x v="8"/>
    <x v="552"/>
    <n v="53.8"/>
    <n v="4"/>
    <n v="0.2"/>
    <n v="10.26"/>
  </r>
  <r>
    <n v="754"/>
    <x v="753"/>
    <x v="457"/>
    <d v="2024-03-21T00:00:00"/>
    <x v="1"/>
    <s v="CUST-1188"/>
    <s v="Customer 251"/>
    <x v="2"/>
    <x v="0"/>
    <x v="4"/>
    <x v="4"/>
    <n v="938884"/>
    <x v="3"/>
    <x v="85"/>
    <x v="2"/>
    <x v="3"/>
    <x v="553"/>
    <n v="360.93"/>
    <n v="1"/>
    <n v="0.2"/>
    <n v="35.409999999999997"/>
  </r>
  <r>
    <n v="755"/>
    <x v="754"/>
    <x v="367"/>
    <d v="2025-04-04T00:00:00"/>
    <x v="2"/>
    <s v="CUST-1334"/>
    <s v="Customer 319"/>
    <x v="1"/>
    <x v="0"/>
    <x v="0"/>
    <x v="0"/>
    <n v="115791"/>
    <x v="0"/>
    <x v="501"/>
    <x v="0"/>
    <x v="10"/>
    <x v="554"/>
    <n v="180.81"/>
    <n v="4"/>
    <n v="0.4"/>
    <n v="-13.59"/>
  </r>
  <r>
    <n v="756"/>
    <x v="755"/>
    <x v="419"/>
    <d v="2024-01-04T00:00:00"/>
    <x v="2"/>
    <s v="CUST-1386"/>
    <s v="Customer 365"/>
    <x v="0"/>
    <x v="0"/>
    <x v="2"/>
    <x v="2"/>
    <n v="397560"/>
    <x v="2"/>
    <x v="502"/>
    <x v="2"/>
    <x v="11"/>
    <x v="555"/>
    <n v="131.65"/>
    <n v="6"/>
    <n v="0.15"/>
    <n v="16.329999999999998"/>
  </r>
  <r>
    <n v="757"/>
    <x v="756"/>
    <x v="292"/>
    <d v="2024-02-23T00:00:00"/>
    <x v="2"/>
    <s v="CUST-1397"/>
    <s v="Customer 068"/>
    <x v="1"/>
    <x v="0"/>
    <x v="9"/>
    <x v="9"/>
    <n v="452171"/>
    <x v="2"/>
    <x v="444"/>
    <x v="0"/>
    <x v="6"/>
    <x v="556"/>
    <n v="289.5"/>
    <n v="2"/>
    <n v="0"/>
    <n v="3.63"/>
  </r>
  <r>
    <n v="758"/>
    <x v="757"/>
    <x v="284"/>
    <d v="2025-11-18T00:00:00"/>
    <x v="0"/>
    <s v="CUST-1094"/>
    <s v="Customer 017"/>
    <x v="2"/>
    <x v="0"/>
    <x v="8"/>
    <x v="8"/>
    <n v="522870"/>
    <x v="3"/>
    <x v="503"/>
    <x v="1"/>
    <x v="2"/>
    <x v="413"/>
    <n v="71"/>
    <n v="1"/>
    <n v="0.15"/>
    <n v="4.05"/>
  </r>
  <r>
    <n v="759"/>
    <x v="758"/>
    <x v="458"/>
    <d v="2025-12-20T00:00:00"/>
    <x v="3"/>
    <s v="CUST-1155"/>
    <s v="Customer 102"/>
    <x v="2"/>
    <x v="0"/>
    <x v="8"/>
    <x v="8"/>
    <n v="270491"/>
    <x v="3"/>
    <x v="400"/>
    <x v="2"/>
    <x v="3"/>
    <x v="8"/>
    <n v="1092.44"/>
    <n v="6"/>
    <n v="0.05"/>
    <n v="130.31"/>
  </r>
  <r>
    <n v="760"/>
    <x v="759"/>
    <x v="459"/>
    <d v="2025-03-24T00:00:00"/>
    <x v="0"/>
    <s v="CUST-1221"/>
    <s v="Customer 173"/>
    <x v="2"/>
    <x v="0"/>
    <x v="9"/>
    <x v="9"/>
    <n v="162969"/>
    <x v="2"/>
    <x v="43"/>
    <x v="2"/>
    <x v="11"/>
    <x v="557"/>
    <n v="160.86000000000001"/>
    <n v="5"/>
    <n v="0.1"/>
    <n v="23.75"/>
  </r>
  <r>
    <n v="761"/>
    <x v="760"/>
    <x v="460"/>
    <d v="2025-03-27T00:00:00"/>
    <x v="1"/>
    <s v="CUST-1306"/>
    <s v="Customer 161"/>
    <x v="1"/>
    <x v="0"/>
    <x v="8"/>
    <x v="8"/>
    <n v="567221"/>
    <x v="3"/>
    <x v="179"/>
    <x v="0"/>
    <x v="6"/>
    <x v="98"/>
    <n v="537.95000000000005"/>
    <n v="9"/>
    <n v="0.15"/>
    <n v="4.6900000000000004"/>
  </r>
  <r>
    <n v="762"/>
    <x v="761"/>
    <x v="318"/>
    <d v="2025-05-05T00:00:00"/>
    <x v="2"/>
    <s v="CUST-1185"/>
    <s v="Customer 174"/>
    <x v="1"/>
    <x v="0"/>
    <x v="4"/>
    <x v="4"/>
    <n v="785305"/>
    <x v="3"/>
    <x v="54"/>
    <x v="1"/>
    <x v="1"/>
    <x v="558"/>
    <n v="99.84"/>
    <n v="1"/>
    <n v="0.1"/>
    <n v="31.07"/>
  </r>
  <r>
    <n v="763"/>
    <x v="762"/>
    <x v="461"/>
    <d v="2024-02-07T00:00:00"/>
    <x v="2"/>
    <s v="CUST-1322"/>
    <s v="Customer 071"/>
    <x v="2"/>
    <x v="0"/>
    <x v="8"/>
    <x v="8"/>
    <n v="509462"/>
    <x v="3"/>
    <x v="30"/>
    <x v="1"/>
    <x v="2"/>
    <x v="192"/>
    <n v="160"/>
    <n v="7"/>
    <n v="0.1"/>
    <n v="27.38"/>
  </r>
  <r>
    <n v="764"/>
    <x v="763"/>
    <x v="152"/>
    <d v="2024-12-15T00:00:00"/>
    <x v="2"/>
    <s v="CUST-1014"/>
    <s v="Customer 305"/>
    <x v="2"/>
    <x v="0"/>
    <x v="5"/>
    <x v="5"/>
    <n v="261545"/>
    <x v="0"/>
    <x v="450"/>
    <x v="1"/>
    <x v="1"/>
    <x v="157"/>
    <n v="45.2"/>
    <n v="2"/>
    <n v="0.1"/>
    <n v="40.98"/>
  </r>
  <r>
    <n v="765"/>
    <x v="764"/>
    <x v="462"/>
    <d v="2024-04-07T00:00:00"/>
    <x v="3"/>
    <s v="CUST-1023"/>
    <s v="Customer 216"/>
    <x v="0"/>
    <x v="0"/>
    <x v="0"/>
    <x v="0"/>
    <n v="633784"/>
    <x v="0"/>
    <x v="139"/>
    <x v="2"/>
    <x v="11"/>
    <x v="130"/>
    <n v="160.51"/>
    <n v="2"/>
    <n v="0.1"/>
    <n v="0.55000000000000004"/>
  </r>
  <r>
    <n v="766"/>
    <x v="765"/>
    <x v="4"/>
    <d v="2024-03-14T00:00:00"/>
    <x v="0"/>
    <s v="CUST-1368"/>
    <s v="Customer 103"/>
    <x v="0"/>
    <x v="0"/>
    <x v="8"/>
    <x v="8"/>
    <n v="163910"/>
    <x v="3"/>
    <x v="504"/>
    <x v="1"/>
    <x v="8"/>
    <x v="559"/>
    <n v="141.32"/>
    <n v="1"/>
    <n v="0"/>
    <n v="-13.06"/>
  </r>
  <r>
    <n v="767"/>
    <x v="766"/>
    <x v="208"/>
    <d v="2025-07-07T00:00:00"/>
    <x v="2"/>
    <s v="CUST-1110"/>
    <s v="Customer 149"/>
    <x v="2"/>
    <x v="0"/>
    <x v="0"/>
    <x v="0"/>
    <n v="249138"/>
    <x v="0"/>
    <x v="505"/>
    <x v="1"/>
    <x v="7"/>
    <x v="560"/>
    <n v="29.69"/>
    <n v="7"/>
    <n v="0.1"/>
    <n v="7.09"/>
  </r>
  <r>
    <n v="768"/>
    <x v="767"/>
    <x v="326"/>
    <d v="2024-06-07T00:00:00"/>
    <x v="0"/>
    <s v="CUST-1057"/>
    <s v="Customer 199"/>
    <x v="2"/>
    <x v="0"/>
    <x v="6"/>
    <x v="6"/>
    <n v="613271"/>
    <x v="2"/>
    <x v="323"/>
    <x v="1"/>
    <x v="2"/>
    <x v="561"/>
    <n v="156.69999999999999"/>
    <n v="6"/>
    <n v="0.05"/>
    <n v="-19.16"/>
  </r>
  <r>
    <n v="769"/>
    <x v="768"/>
    <x v="463"/>
    <d v="2024-09-09T00:00:00"/>
    <x v="0"/>
    <s v="CUST-1029"/>
    <s v="Customer 090"/>
    <x v="0"/>
    <x v="0"/>
    <x v="1"/>
    <x v="1"/>
    <n v="176126"/>
    <x v="1"/>
    <x v="303"/>
    <x v="1"/>
    <x v="7"/>
    <x v="86"/>
    <n v="85.31"/>
    <n v="3"/>
    <n v="0.1"/>
    <n v="26.06"/>
  </r>
  <r>
    <n v="770"/>
    <x v="769"/>
    <x v="464"/>
    <d v="2025-11-07T00:00:00"/>
    <x v="1"/>
    <s v="CUST-1364"/>
    <s v="Customer 150"/>
    <x v="0"/>
    <x v="0"/>
    <x v="4"/>
    <x v="4"/>
    <n v="668176"/>
    <x v="3"/>
    <x v="180"/>
    <x v="0"/>
    <x v="0"/>
    <x v="562"/>
    <n v="386.33"/>
    <n v="4"/>
    <n v="0.15"/>
    <n v="0.79"/>
  </r>
  <r>
    <n v="771"/>
    <x v="770"/>
    <x v="250"/>
    <d v="2025-03-18T00:00:00"/>
    <x v="3"/>
    <s v="CUST-1359"/>
    <s v="Customer 201"/>
    <x v="0"/>
    <x v="0"/>
    <x v="1"/>
    <x v="1"/>
    <n v="528410"/>
    <x v="1"/>
    <x v="506"/>
    <x v="1"/>
    <x v="7"/>
    <x v="563"/>
    <n v="108.19"/>
    <n v="2"/>
    <n v="0.1"/>
    <n v="-6.66"/>
  </r>
  <r>
    <n v="772"/>
    <x v="771"/>
    <x v="316"/>
    <d v="2024-04-28T00:00:00"/>
    <x v="1"/>
    <s v="CUST-1354"/>
    <s v="Customer 390"/>
    <x v="1"/>
    <x v="0"/>
    <x v="6"/>
    <x v="6"/>
    <n v="687453"/>
    <x v="2"/>
    <x v="507"/>
    <x v="1"/>
    <x v="1"/>
    <x v="564"/>
    <n v="54.12"/>
    <n v="4"/>
    <n v="0.05"/>
    <n v="37.47"/>
  </r>
  <r>
    <n v="773"/>
    <x v="772"/>
    <x v="465"/>
    <d v="2024-11-06T00:00:00"/>
    <x v="3"/>
    <s v="CUST-1086"/>
    <s v="Customer 040"/>
    <x v="2"/>
    <x v="0"/>
    <x v="4"/>
    <x v="4"/>
    <n v="651614"/>
    <x v="3"/>
    <x v="508"/>
    <x v="2"/>
    <x v="5"/>
    <x v="352"/>
    <n v="227.05"/>
    <n v="6"/>
    <n v="0"/>
    <n v="62.96"/>
  </r>
  <r>
    <n v="774"/>
    <x v="773"/>
    <x v="176"/>
    <d v="2024-09-27T00:00:00"/>
    <x v="2"/>
    <s v="CUST-1399"/>
    <s v="Customer 016"/>
    <x v="1"/>
    <x v="0"/>
    <x v="9"/>
    <x v="9"/>
    <n v="444199"/>
    <x v="2"/>
    <x v="82"/>
    <x v="0"/>
    <x v="10"/>
    <x v="565"/>
    <n v="93.1"/>
    <n v="7"/>
    <n v="0.1"/>
    <n v="63.13"/>
  </r>
  <r>
    <n v="775"/>
    <x v="774"/>
    <x v="227"/>
    <d v="2024-02-25T00:00:00"/>
    <x v="2"/>
    <s v="CUST-1117"/>
    <s v="Customer 296"/>
    <x v="0"/>
    <x v="0"/>
    <x v="9"/>
    <x v="9"/>
    <n v="581005"/>
    <x v="2"/>
    <x v="104"/>
    <x v="1"/>
    <x v="8"/>
    <x v="566"/>
    <n v="157.21"/>
    <n v="1"/>
    <n v="0.2"/>
    <n v="29.85"/>
  </r>
  <r>
    <n v="776"/>
    <x v="775"/>
    <x v="466"/>
    <d v="2024-08-27T00:00:00"/>
    <x v="0"/>
    <s v="CUST-1338"/>
    <s v="Customer 238"/>
    <x v="2"/>
    <x v="0"/>
    <x v="0"/>
    <x v="0"/>
    <n v="925217"/>
    <x v="0"/>
    <x v="509"/>
    <x v="2"/>
    <x v="5"/>
    <x v="355"/>
    <n v="168.91"/>
    <n v="7"/>
    <n v="0"/>
    <n v="-15.59"/>
  </r>
  <r>
    <n v="777"/>
    <x v="776"/>
    <x v="467"/>
    <d v="2025-01-26T00:00:00"/>
    <x v="2"/>
    <s v="CUST-1250"/>
    <s v="Customer 314"/>
    <x v="2"/>
    <x v="0"/>
    <x v="6"/>
    <x v="6"/>
    <n v="953933"/>
    <x v="2"/>
    <x v="258"/>
    <x v="0"/>
    <x v="9"/>
    <x v="421"/>
    <n v="524.77"/>
    <n v="2"/>
    <n v="0.1"/>
    <n v="24.17"/>
  </r>
  <r>
    <n v="778"/>
    <x v="777"/>
    <x v="191"/>
    <d v="2025-02-05T00:00:00"/>
    <x v="1"/>
    <s v="CUST-1218"/>
    <s v="Customer 257"/>
    <x v="2"/>
    <x v="0"/>
    <x v="0"/>
    <x v="0"/>
    <n v="376463"/>
    <x v="0"/>
    <x v="298"/>
    <x v="1"/>
    <x v="8"/>
    <x v="491"/>
    <n v="93.28"/>
    <n v="3"/>
    <n v="0"/>
    <n v="19.350000000000001"/>
  </r>
  <r>
    <n v="779"/>
    <x v="778"/>
    <x v="215"/>
    <d v="2025-09-17T00:00:00"/>
    <x v="0"/>
    <s v="CUST-1350"/>
    <s v="Customer 009"/>
    <x v="1"/>
    <x v="0"/>
    <x v="2"/>
    <x v="2"/>
    <n v="880371"/>
    <x v="2"/>
    <x v="319"/>
    <x v="0"/>
    <x v="0"/>
    <x v="164"/>
    <n v="405.03"/>
    <n v="6"/>
    <n v="0.15"/>
    <n v="-27.11"/>
  </r>
  <r>
    <n v="780"/>
    <x v="779"/>
    <x v="468"/>
    <d v="2024-11-01T00:00:00"/>
    <x v="0"/>
    <s v="CUST-1312"/>
    <s v="Customer 037"/>
    <x v="2"/>
    <x v="0"/>
    <x v="8"/>
    <x v="8"/>
    <n v="872427"/>
    <x v="3"/>
    <x v="194"/>
    <x v="2"/>
    <x v="5"/>
    <x v="259"/>
    <n v="431.95"/>
    <n v="9"/>
    <n v="0"/>
    <n v="57.05"/>
  </r>
  <r>
    <n v="781"/>
    <x v="780"/>
    <x v="129"/>
    <d v="2024-07-28T00:00:00"/>
    <x v="3"/>
    <s v="CUST-1112"/>
    <s v="Customer 150"/>
    <x v="1"/>
    <x v="0"/>
    <x v="3"/>
    <x v="3"/>
    <n v="623518"/>
    <x v="1"/>
    <x v="376"/>
    <x v="0"/>
    <x v="10"/>
    <x v="529"/>
    <n v="211.64"/>
    <n v="9"/>
    <n v="0.4"/>
    <n v="-25.06"/>
  </r>
  <r>
    <n v="782"/>
    <x v="781"/>
    <x v="426"/>
    <d v="2024-08-18T00:00:00"/>
    <x v="0"/>
    <s v="CUST-1355"/>
    <s v="Customer 227"/>
    <x v="2"/>
    <x v="0"/>
    <x v="2"/>
    <x v="2"/>
    <n v="254779"/>
    <x v="2"/>
    <x v="510"/>
    <x v="2"/>
    <x v="3"/>
    <x v="567"/>
    <n v="851.56"/>
    <n v="2"/>
    <n v="0"/>
    <n v="93.55"/>
  </r>
  <r>
    <n v="783"/>
    <x v="782"/>
    <x v="146"/>
    <d v="2025-08-03T00:00:00"/>
    <x v="1"/>
    <s v="CUST-1203"/>
    <s v="Customer 282"/>
    <x v="1"/>
    <x v="0"/>
    <x v="8"/>
    <x v="8"/>
    <n v="775004"/>
    <x v="3"/>
    <x v="511"/>
    <x v="0"/>
    <x v="10"/>
    <x v="568"/>
    <n v="381.02"/>
    <n v="9"/>
    <n v="0.05"/>
    <n v="-0.69"/>
  </r>
  <r>
    <n v="784"/>
    <x v="783"/>
    <x v="361"/>
    <d v="2024-03-19T00:00:00"/>
    <x v="0"/>
    <s v="CUST-1128"/>
    <s v="Customer 262"/>
    <x v="0"/>
    <x v="0"/>
    <x v="4"/>
    <x v="4"/>
    <n v="890689"/>
    <x v="3"/>
    <x v="512"/>
    <x v="2"/>
    <x v="11"/>
    <x v="358"/>
    <n v="100.11"/>
    <n v="4"/>
    <n v="0.05"/>
    <n v="50.61"/>
  </r>
  <r>
    <n v="785"/>
    <x v="784"/>
    <x v="327"/>
    <d v="2025-03-12T00:00:00"/>
    <x v="2"/>
    <s v="CUST-1024"/>
    <s v="Customer 333"/>
    <x v="1"/>
    <x v="0"/>
    <x v="0"/>
    <x v="0"/>
    <n v="807518"/>
    <x v="0"/>
    <x v="397"/>
    <x v="1"/>
    <x v="2"/>
    <x v="132"/>
    <n v="116.61"/>
    <n v="5"/>
    <n v="0.2"/>
    <n v="15.29"/>
  </r>
  <r>
    <n v="786"/>
    <x v="785"/>
    <x v="0"/>
    <d v="2024-04-16T00:00:00"/>
    <x v="1"/>
    <s v="CUST-1352"/>
    <s v="Customer 201"/>
    <x v="2"/>
    <x v="0"/>
    <x v="4"/>
    <x v="4"/>
    <n v="732465"/>
    <x v="3"/>
    <x v="513"/>
    <x v="0"/>
    <x v="9"/>
    <x v="569"/>
    <n v="232.82"/>
    <n v="6"/>
    <n v="0.3"/>
    <n v="-38"/>
  </r>
  <r>
    <n v="787"/>
    <x v="786"/>
    <x v="232"/>
    <d v="2025-02-28T00:00:00"/>
    <x v="3"/>
    <s v="CUST-1327"/>
    <s v="Customer 359"/>
    <x v="2"/>
    <x v="0"/>
    <x v="4"/>
    <x v="4"/>
    <n v="174319"/>
    <x v="3"/>
    <x v="9"/>
    <x v="1"/>
    <x v="8"/>
    <x v="66"/>
    <n v="282.54000000000002"/>
    <n v="2"/>
    <n v="0.05"/>
    <n v="45.4"/>
  </r>
  <r>
    <n v="788"/>
    <x v="787"/>
    <x v="322"/>
    <d v="2025-12-06T00:00:00"/>
    <x v="3"/>
    <s v="CUST-1391"/>
    <s v="Customer 239"/>
    <x v="1"/>
    <x v="0"/>
    <x v="8"/>
    <x v="8"/>
    <n v="980381"/>
    <x v="3"/>
    <x v="451"/>
    <x v="1"/>
    <x v="7"/>
    <x v="570"/>
    <n v="203.08"/>
    <n v="1"/>
    <n v="0.4"/>
    <n v="-6.4"/>
  </r>
  <r>
    <n v="789"/>
    <x v="788"/>
    <x v="465"/>
    <d v="2024-11-05T00:00:00"/>
    <x v="2"/>
    <s v="CUST-1107"/>
    <s v="Customer 229"/>
    <x v="2"/>
    <x v="0"/>
    <x v="6"/>
    <x v="6"/>
    <n v="471603"/>
    <x v="2"/>
    <x v="489"/>
    <x v="0"/>
    <x v="9"/>
    <x v="571"/>
    <n v="102.17"/>
    <n v="6"/>
    <n v="0.15"/>
    <n v="28.57"/>
  </r>
  <r>
    <n v="790"/>
    <x v="789"/>
    <x v="469"/>
    <d v="2024-04-10T00:00:00"/>
    <x v="0"/>
    <s v="CUST-1380"/>
    <s v="Customer 196"/>
    <x v="2"/>
    <x v="0"/>
    <x v="8"/>
    <x v="8"/>
    <n v="673392"/>
    <x v="3"/>
    <x v="253"/>
    <x v="1"/>
    <x v="8"/>
    <x v="183"/>
    <n v="161.22999999999999"/>
    <n v="9"/>
    <n v="0.1"/>
    <n v="18"/>
  </r>
  <r>
    <n v="791"/>
    <x v="790"/>
    <x v="470"/>
    <d v="2024-12-03T00:00:00"/>
    <x v="3"/>
    <s v="CUST-1284"/>
    <s v="Customer 372"/>
    <x v="1"/>
    <x v="0"/>
    <x v="7"/>
    <x v="7"/>
    <n v="759834"/>
    <x v="4"/>
    <x v="514"/>
    <x v="2"/>
    <x v="11"/>
    <x v="572"/>
    <n v="557.79999999999995"/>
    <n v="7"/>
    <n v="0.15"/>
    <n v="50.8"/>
  </r>
  <r>
    <n v="792"/>
    <x v="791"/>
    <x v="327"/>
    <d v="2025-03-12T00:00:00"/>
    <x v="2"/>
    <s v="CUST-1099"/>
    <s v="Customer 317"/>
    <x v="1"/>
    <x v="0"/>
    <x v="9"/>
    <x v="9"/>
    <n v="991354"/>
    <x v="2"/>
    <x v="414"/>
    <x v="0"/>
    <x v="6"/>
    <x v="140"/>
    <n v="234.28"/>
    <n v="4"/>
    <n v="0.15"/>
    <n v="-33.93"/>
  </r>
  <r>
    <n v="793"/>
    <x v="792"/>
    <x v="323"/>
    <d v="2025-03-24T00:00:00"/>
    <x v="0"/>
    <s v="CUST-1166"/>
    <s v="Customer 215"/>
    <x v="1"/>
    <x v="0"/>
    <x v="9"/>
    <x v="9"/>
    <n v="510141"/>
    <x v="2"/>
    <x v="345"/>
    <x v="2"/>
    <x v="5"/>
    <x v="261"/>
    <n v="285.36"/>
    <n v="5"/>
    <n v="0.1"/>
    <n v="36.47"/>
  </r>
  <r>
    <n v="794"/>
    <x v="793"/>
    <x v="471"/>
    <d v="2024-11-07T00:00:00"/>
    <x v="1"/>
    <s v="CUST-1152"/>
    <s v="Customer 264"/>
    <x v="1"/>
    <x v="0"/>
    <x v="2"/>
    <x v="2"/>
    <n v="730175"/>
    <x v="2"/>
    <x v="430"/>
    <x v="1"/>
    <x v="8"/>
    <x v="573"/>
    <n v="117.59"/>
    <n v="7"/>
    <n v="0.15"/>
    <n v="21.04"/>
  </r>
  <r>
    <n v="795"/>
    <x v="794"/>
    <x v="472"/>
    <d v="2024-09-09T00:00:00"/>
    <x v="3"/>
    <s v="CUST-1081"/>
    <s v="Customer 013"/>
    <x v="1"/>
    <x v="0"/>
    <x v="9"/>
    <x v="9"/>
    <n v="558715"/>
    <x v="2"/>
    <x v="515"/>
    <x v="2"/>
    <x v="5"/>
    <x v="344"/>
    <n v="520.05999999999995"/>
    <n v="9"/>
    <n v="0.3"/>
    <n v="-10.9"/>
  </r>
  <r>
    <n v="796"/>
    <x v="795"/>
    <x v="473"/>
    <d v="2024-06-15T00:00:00"/>
    <x v="0"/>
    <s v="CUST-1029"/>
    <s v="Customer 090"/>
    <x v="0"/>
    <x v="0"/>
    <x v="8"/>
    <x v="8"/>
    <n v="267856"/>
    <x v="3"/>
    <x v="493"/>
    <x v="0"/>
    <x v="10"/>
    <x v="33"/>
    <n v="170.18"/>
    <n v="9"/>
    <n v="0"/>
    <n v="26.45"/>
  </r>
  <r>
    <n v="797"/>
    <x v="796"/>
    <x v="254"/>
    <d v="2025-04-27T00:00:00"/>
    <x v="0"/>
    <s v="CUST-1208"/>
    <s v="Customer 186"/>
    <x v="2"/>
    <x v="0"/>
    <x v="5"/>
    <x v="5"/>
    <n v="675147"/>
    <x v="0"/>
    <x v="347"/>
    <x v="1"/>
    <x v="7"/>
    <x v="108"/>
    <n v="53.7"/>
    <n v="9"/>
    <n v="0.3"/>
    <n v="-10.69"/>
  </r>
  <r>
    <n v="798"/>
    <x v="797"/>
    <x v="470"/>
    <d v="2024-12-03T00:00:00"/>
    <x v="3"/>
    <s v="CUST-1191"/>
    <s v="Customer 153"/>
    <x v="0"/>
    <x v="0"/>
    <x v="0"/>
    <x v="0"/>
    <n v="292136"/>
    <x v="0"/>
    <x v="26"/>
    <x v="0"/>
    <x v="10"/>
    <x v="400"/>
    <n v="809.59"/>
    <n v="7"/>
    <n v="0.15"/>
    <n v="2.14"/>
  </r>
  <r>
    <n v="799"/>
    <x v="798"/>
    <x v="474"/>
    <d v="2025-06-29T00:00:00"/>
    <x v="3"/>
    <s v="CUST-1265"/>
    <s v="Customer 229"/>
    <x v="2"/>
    <x v="0"/>
    <x v="8"/>
    <x v="8"/>
    <n v="136476"/>
    <x v="3"/>
    <x v="516"/>
    <x v="2"/>
    <x v="11"/>
    <x v="161"/>
    <n v="2070.2199999999998"/>
    <n v="3"/>
    <n v="0.2"/>
    <n v="81.69"/>
  </r>
  <r>
    <n v="800"/>
    <x v="799"/>
    <x v="68"/>
    <d v="2024-04-19T00:00:00"/>
    <x v="3"/>
    <s v="CUST-1379"/>
    <s v="Customer 229"/>
    <x v="1"/>
    <x v="0"/>
    <x v="8"/>
    <x v="8"/>
    <n v="688345"/>
    <x v="3"/>
    <x v="517"/>
    <x v="0"/>
    <x v="6"/>
    <x v="10"/>
    <n v="179.6"/>
    <n v="3"/>
    <n v="0.1"/>
    <n v="4.54"/>
  </r>
  <r>
    <n v="801"/>
    <x v="800"/>
    <x v="40"/>
    <d v="2025-07-18T00:00:00"/>
    <x v="2"/>
    <s v="CUST-1221"/>
    <s v="Customer 397"/>
    <x v="1"/>
    <x v="0"/>
    <x v="3"/>
    <x v="3"/>
    <n v="106654"/>
    <x v="1"/>
    <x v="279"/>
    <x v="1"/>
    <x v="2"/>
    <x v="449"/>
    <n v="99.64"/>
    <n v="5"/>
    <n v="0.1"/>
    <n v="21.4"/>
  </r>
  <r>
    <n v="802"/>
    <x v="801"/>
    <x v="63"/>
    <d v="2024-03-25T00:00:00"/>
    <x v="2"/>
    <s v="CUST-1006"/>
    <s v="Customer 269"/>
    <x v="1"/>
    <x v="0"/>
    <x v="0"/>
    <x v="0"/>
    <n v="737402"/>
    <x v="0"/>
    <x v="222"/>
    <x v="1"/>
    <x v="7"/>
    <x v="574"/>
    <n v="109.74"/>
    <n v="8"/>
    <n v="0.2"/>
    <n v="70.89"/>
  </r>
  <r>
    <n v="803"/>
    <x v="802"/>
    <x v="391"/>
    <d v="2024-05-16T00:00:00"/>
    <x v="2"/>
    <s v="CUST-1102"/>
    <s v="Customer 361"/>
    <x v="0"/>
    <x v="0"/>
    <x v="7"/>
    <x v="7"/>
    <n v="807597"/>
    <x v="4"/>
    <x v="377"/>
    <x v="0"/>
    <x v="10"/>
    <x v="511"/>
    <n v="127.41"/>
    <n v="6"/>
    <n v="0.1"/>
    <n v="-7.96"/>
  </r>
  <r>
    <n v="804"/>
    <x v="803"/>
    <x v="475"/>
    <d v="2024-05-19T00:00:00"/>
    <x v="1"/>
    <s v="CUST-1351"/>
    <s v="Customer 287"/>
    <x v="1"/>
    <x v="0"/>
    <x v="9"/>
    <x v="9"/>
    <n v="333931"/>
    <x v="2"/>
    <x v="465"/>
    <x v="0"/>
    <x v="0"/>
    <x v="575"/>
    <n v="254.84"/>
    <n v="3"/>
    <n v="0.1"/>
    <n v="19.66"/>
  </r>
  <r>
    <n v="805"/>
    <x v="804"/>
    <x v="189"/>
    <d v="2024-07-05T00:00:00"/>
    <x v="2"/>
    <s v="CUST-1239"/>
    <s v="Customer 216"/>
    <x v="2"/>
    <x v="0"/>
    <x v="0"/>
    <x v="0"/>
    <n v="998612"/>
    <x v="0"/>
    <x v="518"/>
    <x v="0"/>
    <x v="9"/>
    <x v="576"/>
    <n v="389.86"/>
    <n v="7"/>
    <n v="0.2"/>
    <n v="4.93"/>
  </r>
  <r>
    <n v="806"/>
    <x v="805"/>
    <x v="191"/>
    <d v="2025-02-06T00:00:00"/>
    <x v="2"/>
    <s v="CUST-1197"/>
    <s v="Customer 325"/>
    <x v="2"/>
    <x v="0"/>
    <x v="9"/>
    <x v="9"/>
    <n v="656116"/>
    <x v="2"/>
    <x v="519"/>
    <x v="1"/>
    <x v="1"/>
    <x v="577"/>
    <n v="42.1"/>
    <n v="2"/>
    <n v="0.15"/>
    <n v="-35.11"/>
  </r>
  <r>
    <n v="807"/>
    <x v="806"/>
    <x v="430"/>
    <d v="2024-11-28T00:00:00"/>
    <x v="2"/>
    <s v="CUST-1258"/>
    <s v="Customer 007"/>
    <x v="0"/>
    <x v="0"/>
    <x v="2"/>
    <x v="2"/>
    <n v="523556"/>
    <x v="2"/>
    <x v="520"/>
    <x v="0"/>
    <x v="9"/>
    <x v="578"/>
    <n v="221.37"/>
    <n v="7"/>
    <n v="0.05"/>
    <n v="14.59"/>
  </r>
  <r>
    <n v="808"/>
    <x v="807"/>
    <x v="420"/>
    <d v="2025-05-25T00:00:00"/>
    <x v="3"/>
    <s v="CUST-1388"/>
    <s v="Customer 193"/>
    <x v="0"/>
    <x v="0"/>
    <x v="0"/>
    <x v="0"/>
    <n v="138233"/>
    <x v="0"/>
    <x v="521"/>
    <x v="0"/>
    <x v="10"/>
    <x v="579"/>
    <n v="281.44"/>
    <n v="2"/>
    <n v="0.1"/>
    <n v="11.32"/>
  </r>
  <r>
    <n v="809"/>
    <x v="808"/>
    <x v="330"/>
    <d v="2024-03-15T00:00:00"/>
    <x v="3"/>
    <s v="CUST-1000"/>
    <s v="Customer 062"/>
    <x v="0"/>
    <x v="0"/>
    <x v="9"/>
    <x v="9"/>
    <n v="764729"/>
    <x v="2"/>
    <x v="517"/>
    <x v="2"/>
    <x v="4"/>
    <x v="580"/>
    <n v="690.55"/>
    <n v="9"/>
    <n v="0.15"/>
    <n v="48.48"/>
  </r>
  <r>
    <n v="810"/>
    <x v="809"/>
    <x v="476"/>
    <d v="2025-07-01T00:00:00"/>
    <x v="0"/>
    <s v="CUST-1293"/>
    <s v="Customer 040"/>
    <x v="0"/>
    <x v="0"/>
    <x v="7"/>
    <x v="7"/>
    <n v="176625"/>
    <x v="4"/>
    <x v="522"/>
    <x v="2"/>
    <x v="4"/>
    <x v="581"/>
    <n v="228.59"/>
    <n v="1"/>
    <n v="0.2"/>
    <n v="16.2"/>
  </r>
  <r>
    <n v="811"/>
    <x v="810"/>
    <x v="86"/>
    <d v="2024-02-25T00:00:00"/>
    <x v="0"/>
    <s v="CUST-1384"/>
    <s v="Customer 015"/>
    <x v="2"/>
    <x v="0"/>
    <x v="1"/>
    <x v="1"/>
    <n v="696122"/>
    <x v="1"/>
    <x v="140"/>
    <x v="2"/>
    <x v="11"/>
    <x v="50"/>
    <n v="118.12"/>
    <n v="6"/>
    <n v="0.1"/>
    <n v="64.66"/>
  </r>
  <r>
    <n v="812"/>
    <x v="811"/>
    <x v="442"/>
    <d v="2025-03-28T00:00:00"/>
    <x v="3"/>
    <s v="CUST-1351"/>
    <s v="Customer 206"/>
    <x v="0"/>
    <x v="0"/>
    <x v="4"/>
    <x v="4"/>
    <n v="358989"/>
    <x v="3"/>
    <x v="358"/>
    <x v="2"/>
    <x v="5"/>
    <x v="466"/>
    <n v="212.02"/>
    <n v="3"/>
    <n v="0.05"/>
    <n v="44.81"/>
  </r>
  <r>
    <n v="813"/>
    <x v="812"/>
    <x v="477"/>
    <d v="2024-07-25T00:00:00"/>
    <x v="3"/>
    <s v="CUST-1189"/>
    <s v="Customer 138"/>
    <x v="2"/>
    <x v="0"/>
    <x v="4"/>
    <x v="4"/>
    <n v="565718"/>
    <x v="3"/>
    <x v="121"/>
    <x v="0"/>
    <x v="10"/>
    <x v="121"/>
    <n v="166.07"/>
    <n v="3"/>
    <n v="0.1"/>
    <n v="18.95"/>
  </r>
  <r>
    <n v="814"/>
    <x v="813"/>
    <x v="415"/>
    <d v="2024-05-09T00:00:00"/>
    <x v="0"/>
    <s v="CUST-1072"/>
    <s v="Customer 115"/>
    <x v="0"/>
    <x v="0"/>
    <x v="7"/>
    <x v="7"/>
    <n v="318480"/>
    <x v="4"/>
    <x v="322"/>
    <x v="1"/>
    <x v="1"/>
    <x v="222"/>
    <n v="89.67"/>
    <n v="4"/>
    <n v="0.4"/>
    <n v="-29.21"/>
  </r>
  <r>
    <n v="815"/>
    <x v="814"/>
    <x v="351"/>
    <d v="2024-02-13T00:00:00"/>
    <x v="0"/>
    <s v="CUST-1114"/>
    <s v="Customer 167"/>
    <x v="0"/>
    <x v="0"/>
    <x v="3"/>
    <x v="3"/>
    <n v="741800"/>
    <x v="1"/>
    <x v="523"/>
    <x v="2"/>
    <x v="5"/>
    <x v="582"/>
    <n v="1285.0999999999999"/>
    <n v="2"/>
    <n v="0.4"/>
    <n v="-54.63"/>
  </r>
  <r>
    <n v="816"/>
    <x v="815"/>
    <x v="478"/>
    <d v="2024-04-24T00:00:00"/>
    <x v="0"/>
    <s v="CUST-1208"/>
    <s v="Customer 391"/>
    <x v="2"/>
    <x v="0"/>
    <x v="1"/>
    <x v="1"/>
    <n v="989974"/>
    <x v="1"/>
    <x v="524"/>
    <x v="1"/>
    <x v="7"/>
    <x v="49"/>
    <n v="91.55"/>
    <n v="4"/>
    <n v="0"/>
    <n v="-17.190000000000001"/>
  </r>
  <r>
    <n v="817"/>
    <x v="816"/>
    <x v="276"/>
    <d v="2025-10-28T00:00:00"/>
    <x v="0"/>
    <s v="CUST-1261"/>
    <s v="Customer 307"/>
    <x v="2"/>
    <x v="0"/>
    <x v="2"/>
    <x v="2"/>
    <n v="932886"/>
    <x v="2"/>
    <x v="172"/>
    <x v="2"/>
    <x v="11"/>
    <x v="583"/>
    <n v="327.39999999999998"/>
    <n v="2"/>
    <n v="0.1"/>
    <n v="15.81"/>
  </r>
  <r>
    <n v="818"/>
    <x v="817"/>
    <x v="479"/>
    <d v="2024-07-02T00:00:00"/>
    <x v="2"/>
    <s v="CUST-1276"/>
    <s v="Customer 018"/>
    <x v="1"/>
    <x v="0"/>
    <x v="7"/>
    <x v="7"/>
    <n v="970656"/>
    <x v="4"/>
    <x v="525"/>
    <x v="1"/>
    <x v="1"/>
    <x v="584"/>
    <n v="34.51"/>
    <n v="3"/>
    <n v="0.3"/>
    <n v="-30.73"/>
  </r>
  <r>
    <n v="819"/>
    <x v="818"/>
    <x v="462"/>
    <d v="2024-04-07T00:00:00"/>
    <x v="0"/>
    <s v="CUST-1256"/>
    <s v="Customer 212"/>
    <x v="1"/>
    <x v="0"/>
    <x v="4"/>
    <x v="4"/>
    <n v="554318"/>
    <x v="3"/>
    <x v="526"/>
    <x v="1"/>
    <x v="8"/>
    <x v="390"/>
    <n v="38.299999999999997"/>
    <n v="3"/>
    <n v="0.3"/>
    <n v="25.71"/>
  </r>
  <r>
    <n v="820"/>
    <x v="819"/>
    <x v="168"/>
    <d v="2025-01-12T00:00:00"/>
    <x v="0"/>
    <s v="CUST-1397"/>
    <s v="Customer 302"/>
    <x v="0"/>
    <x v="0"/>
    <x v="4"/>
    <x v="4"/>
    <n v="948115"/>
    <x v="3"/>
    <x v="276"/>
    <x v="0"/>
    <x v="0"/>
    <x v="585"/>
    <n v="187.07"/>
    <n v="7"/>
    <n v="0.1"/>
    <n v="19.649999999999999"/>
  </r>
  <r>
    <n v="821"/>
    <x v="820"/>
    <x v="480"/>
    <d v="2025-06-08T00:00:00"/>
    <x v="0"/>
    <s v="CUST-1362"/>
    <s v="Customer 083"/>
    <x v="2"/>
    <x v="0"/>
    <x v="4"/>
    <x v="4"/>
    <n v="597303"/>
    <x v="3"/>
    <x v="527"/>
    <x v="2"/>
    <x v="3"/>
    <x v="99"/>
    <n v="442.49"/>
    <n v="5"/>
    <n v="0.1"/>
    <n v="48.27"/>
  </r>
  <r>
    <n v="822"/>
    <x v="821"/>
    <x v="481"/>
    <d v="2024-12-27T00:00:00"/>
    <x v="3"/>
    <s v="CUST-1122"/>
    <s v="Customer 318"/>
    <x v="1"/>
    <x v="0"/>
    <x v="6"/>
    <x v="6"/>
    <n v="483276"/>
    <x v="2"/>
    <x v="123"/>
    <x v="1"/>
    <x v="8"/>
    <x v="491"/>
    <n v="43.44"/>
    <n v="6"/>
    <n v="0.05"/>
    <n v="-17.04"/>
  </r>
  <r>
    <n v="823"/>
    <x v="822"/>
    <x v="482"/>
    <d v="2025-11-28T00:00:00"/>
    <x v="1"/>
    <s v="CUST-1130"/>
    <s v="Customer 069"/>
    <x v="2"/>
    <x v="0"/>
    <x v="7"/>
    <x v="7"/>
    <n v="909721"/>
    <x v="4"/>
    <x v="179"/>
    <x v="0"/>
    <x v="6"/>
    <x v="586"/>
    <n v="298.61"/>
    <n v="9"/>
    <n v="0.2"/>
    <n v="2.58"/>
  </r>
  <r>
    <n v="824"/>
    <x v="823"/>
    <x v="483"/>
    <d v="2024-10-12T00:00:00"/>
    <x v="3"/>
    <s v="CUST-1245"/>
    <s v="Customer 283"/>
    <x v="2"/>
    <x v="0"/>
    <x v="8"/>
    <x v="8"/>
    <n v="329147"/>
    <x v="3"/>
    <x v="353"/>
    <x v="1"/>
    <x v="7"/>
    <x v="62"/>
    <n v="142.16999999999999"/>
    <n v="1"/>
    <n v="0.15"/>
    <n v="41.39"/>
  </r>
  <r>
    <n v="825"/>
    <x v="824"/>
    <x v="242"/>
    <d v="2024-07-18T00:00:00"/>
    <x v="0"/>
    <s v="CUST-1301"/>
    <s v="Customer 061"/>
    <x v="2"/>
    <x v="0"/>
    <x v="2"/>
    <x v="2"/>
    <n v="898991"/>
    <x v="2"/>
    <x v="99"/>
    <x v="0"/>
    <x v="6"/>
    <x v="587"/>
    <n v="265.33"/>
    <n v="2"/>
    <n v="0.1"/>
    <n v="43.73"/>
  </r>
  <r>
    <n v="826"/>
    <x v="825"/>
    <x v="242"/>
    <d v="2024-07-16T00:00:00"/>
    <x v="2"/>
    <s v="CUST-1047"/>
    <s v="Customer 105"/>
    <x v="1"/>
    <x v="0"/>
    <x v="4"/>
    <x v="4"/>
    <n v="458315"/>
    <x v="3"/>
    <x v="94"/>
    <x v="1"/>
    <x v="7"/>
    <x v="588"/>
    <n v="56.35"/>
    <n v="9"/>
    <n v="0"/>
    <n v="2.54"/>
  </r>
  <r>
    <n v="827"/>
    <x v="826"/>
    <x v="484"/>
    <d v="2025-11-02T00:00:00"/>
    <x v="3"/>
    <s v="CUST-1313"/>
    <s v="Customer 293"/>
    <x v="2"/>
    <x v="0"/>
    <x v="9"/>
    <x v="9"/>
    <n v="518882"/>
    <x v="2"/>
    <x v="39"/>
    <x v="2"/>
    <x v="5"/>
    <x v="589"/>
    <n v="185.97"/>
    <n v="7"/>
    <n v="0.1"/>
    <n v="18.59"/>
  </r>
  <r>
    <n v="828"/>
    <x v="827"/>
    <x v="485"/>
    <d v="2024-04-05T00:00:00"/>
    <x v="0"/>
    <s v="CUST-1133"/>
    <s v="Customer 177"/>
    <x v="1"/>
    <x v="0"/>
    <x v="7"/>
    <x v="7"/>
    <n v="836496"/>
    <x v="4"/>
    <x v="352"/>
    <x v="1"/>
    <x v="1"/>
    <x v="590"/>
    <n v="92.16"/>
    <n v="7"/>
    <n v="0.15"/>
    <n v="69.45"/>
  </r>
  <r>
    <n v="829"/>
    <x v="828"/>
    <x v="169"/>
    <d v="2025-11-05T00:00:00"/>
    <x v="2"/>
    <s v="CUST-1167"/>
    <s v="Customer 237"/>
    <x v="2"/>
    <x v="0"/>
    <x v="6"/>
    <x v="6"/>
    <n v="852644"/>
    <x v="2"/>
    <x v="333"/>
    <x v="1"/>
    <x v="7"/>
    <x v="517"/>
    <n v="59.7"/>
    <n v="8"/>
    <n v="0.1"/>
    <n v="17.63"/>
  </r>
  <r>
    <n v="830"/>
    <x v="829"/>
    <x v="486"/>
    <d v="2024-03-03T00:00:00"/>
    <x v="3"/>
    <s v="CUST-1006"/>
    <s v="Customer 003"/>
    <x v="0"/>
    <x v="0"/>
    <x v="7"/>
    <x v="7"/>
    <n v="364946"/>
    <x v="4"/>
    <x v="528"/>
    <x v="1"/>
    <x v="2"/>
    <x v="591"/>
    <n v="90.06"/>
    <n v="7"/>
    <n v="0.1"/>
    <n v="33.549999999999997"/>
  </r>
  <r>
    <n v="831"/>
    <x v="830"/>
    <x v="314"/>
    <d v="2025-09-28T00:00:00"/>
    <x v="1"/>
    <s v="CUST-1189"/>
    <s v="Customer 184"/>
    <x v="0"/>
    <x v="0"/>
    <x v="2"/>
    <x v="2"/>
    <n v="364208"/>
    <x v="2"/>
    <x v="277"/>
    <x v="2"/>
    <x v="3"/>
    <x v="592"/>
    <n v="97.98"/>
    <n v="2"/>
    <n v="0.05"/>
    <n v="27.44"/>
  </r>
  <r>
    <n v="832"/>
    <x v="831"/>
    <x v="292"/>
    <d v="2024-02-22T00:00:00"/>
    <x v="3"/>
    <s v="CUST-1099"/>
    <s v="Customer 373"/>
    <x v="1"/>
    <x v="0"/>
    <x v="6"/>
    <x v="6"/>
    <n v="830456"/>
    <x v="2"/>
    <x v="529"/>
    <x v="1"/>
    <x v="7"/>
    <x v="593"/>
    <n v="122.57"/>
    <n v="1"/>
    <n v="0.1"/>
    <n v="3.94"/>
  </r>
  <r>
    <n v="833"/>
    <x v="832"/>
    <x v="182"/>
    <d v="2025-02-12T00:00:00"/>
    <x v="0"/>
    <s v="CUST-1262"/>
    <s v="Customer 016"/>
    <x v="1"/>
    <x v="0"/>
    <x v="2"/>
    <x v="2"/>
    <n v="936943"/>
    <x v="2"/>
    <x v="278"/>
    <x v="0"/>
    <x v="10"/>
    <x v="152"/>
    <n v="269.98"/>
    <n v="4"/>
    <n v="0.1"/>
    <n v="20.22"/>
  </r>
  <r>
    <n v="834"/>
    <x v="833"/>
    <x v="125"/>
    <d v="2024-01-08T00:00:00"/>
    <x v="2"/>
    <s v="CUST-1288"/>
    <s v="Customer 278"/>
    <x v="1"/>
    <x v="0"/>
    <x v="7"/>
    <x v="7"/>
    <n v="339285"/>
    <x v="4"/>
    <x v="530"/>
    <x v="1"/>
    <x v="1"/>
    <x v="594"/>
    <n v="166.04"/>
    <n v="8"/>
    <n v="0.2"/>
    <n v="28.55"/>
  </r>
  <r>
    <n v="835"/>
    <x v="834"/>
    <x v="487"/>
    <d v="2025-04-14T00:00:00"/>
    <x v="2"/>
    <s v="CUST-1064"/>
    <s v="Customer 321"/>
    <x v="1"/>
    <x v="0"/>
    <x v="8"/>
    <x v="8"/>
    <n v="997937"/>
    <x v="3"/>
    <x v="475"/>
    <x v="0"/>
    <x v="6"/>
    <x v="595"/>
    <n v="565.23"/>
    <n v="7"/>
    <n v="0"/>
    <n v="49.92"/>
  </r>
  <r>
    <n v="836"/>
    <x v="835"/>
    <x v="309"/>
    <d v="2025-09-01T00:00:00"/>
    <x v="3"/>
    <s v="CUST-1106"/>
    <s v="Customer 390"/>
    <x v="1"/>
    <x v="0"/>
    <x v="2"/>
    <x v="2"/>
    <n v="472384"/>
    <x v="2"/>
    <x v="236"/>
    <x v="1"/>
    <x v="1"/>
    <x v="596"/>
    <n v="36.26"/>
    <n v="8"/>
    <n v="0.2"/>
    <n v="8.93"/>
  </r>
  <r>
    <n v="837"/>
    <x v="836"/>
    <x v="35"/>
    <d v="2025-11-14T00:00:00"/>
    <x v="0"/>
    <s v="CUST-1166"/>
    <s v="Customer 236"/>
    <x v="1"/>
    <x v="0"/>
    <x v="6"/>
    <x v="6"/>
    <n v="693669"/>
    <x v="2"/>
    <x v="453"/>
    <x v="2"/>
    <x v="4"/>
    <x v="448"/>
    <n v="294.08999999999997"/>
    <n v="8"/>
    <n v="0.4"/>
    <n v="-78.53"/>
  </r>
  <r>
    <n v="838"/>
    <x v="837"/>
    <x v="488"/>
    <d v="2025-06-22T00:00:00"/>
    <x v="0"/>
    <s v="CUST-1066"/>
    <s v="Customer 376"/>
    <x v="1"/>
    <x v="0"/>
    <x v="6"/>
    <x v="6"/>
    <n v="311470"/>
    <x v="2"/>
    <x v="79"/>
    <x v="1"/>
    <x v="8"/>
    <x v="290"/>
    <n v="69.02"/>
    <n v="3"/>
    <n v="0.15"/>
    <n v="29.72"/>
  </r>
  <r>
    <n v="839"/>
    <x v="838"/>
    <x v="451"/>
    <d v="2025-02-11T00:00:00"/>
    <x v="3"/>
    <s v="CUST-1378"/>
    <s v="Customer 383"/>
    <x v="1"/>
    <x v="0"/>
    <x v="2"/>
    <x v="2"/>
    <n v="593466"/>
    <x v="2"/>
    <x v="531"/>
    <x v="1"/>
    <x v="8"/>
    <x v="597"/>
    <n v="68.86"/>
    <n v="3"/>
    <n v="0.4"/>
    <n v="-22.68"/>
  </r>
  <r>
    <n v="840"/>
    <x v="839"/>
    <x v="315"/>
    <d v="2025-05-30T00:00:00"/>
    <x v="2"/>
    <s v="CUST-1078"/>
    <s v="Customer 389"/>
    <x v="0"/>
    <x v="0"/>
    <x v="5"/>
    <x v="5"/>
    <n v="900444"/>
    <x v="0"/>
    <x v="467"/>
    <x v="1"/>
    <x v="1"/>
    <x v="7"/>
    <n v="86.7"/>
    <n v="4"/>
    <n v="0.3"/>
    <n v="3.91"/>
  </r>
  <r>
    <n v="841"/>
    <x v="840"/>
    <x v="452"/>
    <d v="2025-10-09T00:00:00"/>
    <x v="2"/>
    <s v="CUST-1071"/>
    <s v="Customer 068"/>
    <x v="1"/>
    <x v="0"/>
    <x v="7"/>
    <x v="7"/>
    <n v="884402"/>
    <x v="4"/>
    <x v="532"/>
    <x v="0"/>
    <x v="6"/>
    <x v="140"/>
    <n v="295.64999999999998"/>
    <n v="2"/>
    <n v="0.05"/>
    <n v="22.74"/>
  </r>
  <r>
    <n v="842"/>
    <x v="841"/>
    <x v="171"/>
    <d v="2024-08-23T00:00:00"/>
    <x v="0"/>
    <s v="CUST-1018"/>
    <s v="Customer 031"/>
    <x v="2"/>
    <x v="0"/>
    <x v="5"/>
    <x v="5"/>
    <n v="373016"/>
    <x v="0"/>
    <x v="84"/>
    <x v="0"/>
    <x v="0"/>
    <x v="575"/>
    <n v="314.02999999999997"/>
    <n v="5"/>
    <n v="0.2"/>
    <n v="-23.36"/>
  </r>
  <r>
    <n v="843"/>
    <x v="842"/>
    <x v="489"/>
    <d v="2025-06-08T00:00:00"/>
    <x v="2"/>
    <s v="CUST-1241"/>
    <s v="Customer 375"/>
    <x v="0"/>
    <x v="0"/>
    <x v="3"/>
    <x v="3"/>
    <n v="913152"/>
    <x v="1"/>
    <x v="304"/>
    <x v="1"/>
    <x v="2"/>
    <x v="325"/>
    <n v="90.73"/>
    <n v="3"/>
    <n v="0.05"/>
    <n v="-0.11"/>
  </r>
  <r>
    <n v="844"/>
    <x v="843"/>
    <x v="53"/>
    <d v="2024-12-15T00:00:00"/>
    <x v="1"/>
    <s v="CUST-1391"/>
    <s v="Customer 218"/>
    <x v="1"/>
    <x v="0"/>
    <x v="7"/>
    <x v="7"/>
    <n v="344042"/>
    <x v="4"/>
    <x v="197"/>
    <x v="2"/>
    <x v="4"/>
    <x v="598"/>
    <n v="135.47"/>
    <n v="2"/>
    <n v="0.2"/>
    <n v="11.47"/>
  </r>
  <r>
    <n v="845"/>
    <x v="844"/>
    <x v="261"/>
    <d v="2024-02-19T00:00:00"/>
    <x v="1"/>
    <s v="CUST-1232"/>
    <s v="Customer 319"/>
    <x v="0"/>
    <x v="0"/>
    <x v="2"/>
    <x v="2"/>
    <n v="508852"/>
    <x v="2"/>
    <x v="533"/>
    <x v="0"/>
    <x v="10"/>
    <x v="144"/>
    <n v="239.51"/>
    <n v="4"/>
    <n v="0.05"/>
    <n v="6.23"/>
  </r>
  <r>
    <n v="846"/>
    <x v="845"/>
    <x v="476"/>
    <d v="2025-06-30T00:00:00"/>
    <x v="3"/>
    <s v="CUST-1197"/>
    <s v="Customer 353"/>
    <x v="2"/>
    <x v="0"/>
    <x v="1"/>
    <x v="1"/>
    <n v="424078"/>
    <x v="1"/>
    <x v="120"/>
    <x v="1"/>
    <x v="1"/>
    <x v="411"/>
    <n v="109.32"/>
    <n v="4"/>
    <n v="0.2"/>
    <n v="1.38"/>
  </r>
  <r>
    <n v="847"/>
    <x v="846"/>
    <x v="457"/>
    <d v="2024-03-20T00:00:00"/>
    <x v="1"/>
    <s v="CUST-1320"/>
    <s v="Customer 028"/>
    <x v="2"/>
    <x v="0"/>
    <x v="2"/>
    <x v="2"/>
    <n v="643961"/>
    <x v="2"/>
    <x v="338"/>
    <x v="1"/>
    <x v="8"/>
    <x v="154"/>
    <n v="10"/>
    <n v="9"/>
    <n v="0.15"/>
    <n v="8.07"/>
  </r>
  <r>
    <n v="848"/>
    <x v="847"/>
    <x v="72"/>
    <d v="2026-01-02T00:00:00"/>
    <x v="2"/>
    <s v="CUST-1080"/>
    <s v="Customer 383"/>
    <x v="1"/>
    <x v="0"/>
    <x v="5"/>
    <x v="5"/>
    <n v="947649"/>
    <x v="0"/>
    <x v="534"/>
    <x v="2"/>
    <x v="4"/>
    <x v="306"/>
    <n v="237.68"/>
    <n v="9"/>
    <n v="0.1"/>
    <n v="34.49"/>
  </r>
  <r>
    <n v="849"/>
    <x v="848"/>
    <x v="490"/>
    <d v="2024-03-15T00:00:00"/>
    <x v="3"/>
    <s v="CUST-1242"/>
    <s v="Customer 042"/>
    <x v="2"/>
    <x v="0"/>
    <x v="8"/>
    <x v="8"/>
    <n v="829490"/>
    <x v="3"/>
    <x v="418"/>
    <x v="1"/>
    <x v="1"/>
    <x v="558"/>
    <n v="32.119999999999997"/>
    <n v="3"/>
    <n v="0.15"/>
    <n v="27.76"/>
  </r>
  <r>
    <n v="850"/>
    <x v="849"/>
    <x v="472"/>
    <d v="2024-09-11T00:00:00"/>
    <x v="0"/>
    <s v="CUST-1306"/>
    <s v="Customer 299"/>
    <x v="1"/>
    <x v="0"/>
    <x v="2"/>
    <x v="2"/>
    <n v="657807"/>
    <x v="2"/>
    <x v="535"/>
    <x v="1"/>
    <x v="1"/>
    <x v="285"/>
    <n v="136.56"/>
    <n v="4"/>
    <n v="0.05"/>
    <n v="29.21"/>
  </r>
  <r>
    <n v="851"/>
    <x v="850"/>
    <x v="303"/>
    <d v="2024-02-18T00:00:00"/>
    <x v="0"/>
    <s v="CUST-1009"/>
    <s v="Customer 165"/>
    <x v="2"/>
    <x v="0"/>
    <x v="2"/>
    <x v="2"/>
    <n v="238966"/>
    <x v="2"/>
    <x v="241"/>
    <x v="2"/>
    <x v="3"/>
    <x v="115"/>
    <n v="444.8"/>
    <n v="9"/>
    <n v="0.2"/>
    <n v="26.49"/>
  </r>
  <r>
    <n v="852"/>
    <x v="851"/>
    <x v="491"/>
    <d v="2024-05-03T00:00:00"/>
    <x v="2"/>
    <s v="CUST-1231"/>
    <s v="Customer 232"/>
    <x v="1"/>
    <x v="0"/>
    <x v="8"/>
    <x v="8"/>
    <n v="915805"/>
    <x v="3"/>
    <x v="536"/>
    <x v="1"/>
    <x v="7"/>
    <x v="62"/>
    <n v="66.81"/>
    <n v="8"/>
    <n v="0.1"/>
    <n v="7.27"/>
  </r>
  <r>
    <n v="853"/>
    <x v="852"/>
    <x v="492"/>
    <d v="2024-08-02T00:00:00"/>
    <x v="1"/>
    <s v="CUST-1366"/>
    <s v="Customer 268"/>
    <x v="2"/>
    <x v="0"/>
    <x v="2"/>
    <x v="2"/>
    <n v="705814"/>
    <x v="2"/>
    <x v="537"/>
    <x v="2"/>
    <x v="11"/>
    <x v="599"/>
    <n v="320.95999999999998"/>
    <n v="4"/>
    <n v="0.05"/>
    <n v="47.66"/>
  </r>
  <r>
    <n v="854"/>
    <x v="853"/>
    <x v="448"/>
    <d v="2024-08-30T00:00:00"/>
    <x v="3"/>
    <s v="CUST-1019"/>
    <s v="Customer 164"/>
    <x v="1"/>
    <x v="0"/>
    <x v="4"/>
    <x v="4"/>
    <n v="739584"/>
    <x v="3"/>
    <x v="178"/>
    <x v="0"/>
    <x v="10"/>
    <x v="600"/>
    <n v="198.23"/>
    <n v="2"/>
    <n v="0.15"/>
    <n v="41.8"/>
  </r>
  <r>
    <n v="855"/>
    <x v="854"/>
    <x v="493"/>
    <d v="2024-02-28T00:00:00"/>
    <x v="0"/>
    <s v="CUST-1373"/>
    <s v="Customer 001"/>
    <x v="0"/>
    <x v="0"/>
    <x v="1"/>
    <x v="1"/>
    <n v="310694"/>
    <x v="1"/>
    <x v="538"/>
    <x v="2"/>
    <x v="3"/>
    <x v="601"/>
    <n v="503.58"/>
    <n v="3"/>
    <n v="0.2"/>
    <n v="54.19"/>
  </r>
  <r>
    <n v="856"/>
    <x v="855"/>
    <x v="302"/>
    <d v="2024-12-18T00:00:00"/>
    <x v="0"/>
    <s v="CUST-1131"/>
    <s v="Customer 297"/>
    <x v="0"/>
    <x v="0"/>
    <x v="9"/>
    <x v="9"/>
    <n v="394542"/>
    <x v="2"/>
    <x v="539"/>
    <x v="2"/>
    <x v="5"/>
    <x v="232"/>
    <n v="233.36"/>
    <n v="9"/>
    <n v="0.3"/>
    <n v="-16.22"/>
  </r>
  <r>
    <n v="857"/>
    <x v="856"/>
    <x v="3"/>
    <d v="2024-04-19T00:00:00"/>
    <x v="3"/>
    <s v="CUST-1375"/>
    <s v="Customer 055"/>
    <x v="1"/>
    <x v="0"/>
    <x v="1"/>
    <x v="1"/>
    <n v="831874"/>
    <x v="1"/>
    <x v="540"/>
    <x v="1"/>
    <x v="7"/>
    <x v="602"/>
    <n v="29.56"/>
    <n v="2"/>
    <n v="0"/>
    <n v="-31.53"/>
  </r>
  <r>
    <n v="858"/>
    <x v="857"/>
    <x v="114"/>
    <d v="2024-02-19T00:00:00"/>
    <x v="2"/>
    <s v="CUST-1054"/>
    <s v="Customer 276"/>
    <x v="1"/>
    <x v="0"/>
    <x v="2"/>
    <x v="2"/>
    <n v="349240"/>
    <x v="2"/>
    <x v="469"/>
    <x v="0"/>
    <x v="9"/>
    <x v="603"/>
    <n v="248.34"/>
    <n v="5"/>
    <n v="0.2"/>
    <n v="-50.69"/>
  </r>
  <r>
    <n v="859"/>
    <x v="858"/>
    <x v="494"/>
    <d v="2025-07-31T00:00:00"/>
    <x v="0"/>
    <s v="CUST-1165"/>
    <s v="Customer 301"/>
    <x v="1"/>
    <x v="0"/>
    <x v="4"/>
    <x v="4"/>
    <n v="905298"/>
    <x v="3"/>
    <x v="141"/>
    <x v="0"/>
    <x v="9"/>
    <x v="91"/>
    <n v="440.72"/>
    <n v="7"/>
    <n v="0.2"/>
    <n v="-30.93"/>
  </r>
  <r>
    <n v="860"/>
    <x v="859"/>
    <x v="495"/>
    <d v="2024-12-05T00:00:00"/>
    <x v="1"/>
    <s v="CUST-1335"/>
    <s v="Customer 050"/>
    <x v="2"/>
    <x v="0"/>
    <x v="7"/>
    <x v="7"/>
    <n v="165206"/>
    <x v="4"/>
    <x v="541"/>
    <x v="2"/>
    <x v="5"/>
    <x v="473"/>
    <n v="363.59"/>
    <n v="5"/>
    <n v="0.2"/>
    <n v="-12.52"/>
  </r>
  <r>
    <n v="861"/>
    <x v="860"/>
    <x v="496"/>
    <d v="2024-01-28T00:00:00"/>
    <x v="1"/>
    <s v="CUST-1171"/>
    <s v="Customer 287"/>
    <x v="0"/>
    <x v="0"/>
    <x v="2"/>
    <x v="2"/>
    <n v="266804"/>
    <x v="2"/>
    <x v="254"/>
    <x v="0"/>
    <x v="9"/>
    <x v="604"/>
    <n v="162.71"/>
    <n v="6"/>
    <n v="0.3"/>
    <n v="-60.71"/>
  </r>
  <r>
    <n v="862"/>
    <x v="861"/>
    <x v="497"/>
    <d v="2024-09-15T00:00:00"/>
    <x v="1"/>
    <s v="CUST-1227"/>
    <s v="Customer 085"/>
    <x v="2"/>
    <x v="0"/>
    <x v="5"/>
    <x v="5"/>
    <n v="718740"/>
    <x v="0"/>
    <x v="542"/>
    <x v="0"/>
    <x v="6"/>
    <x v="605"/>
    <n v="313.41000000000003"/>
    <n v="9"/>
    <n v="0"/>
    <n v="7.11"/>
  </r>
  <r>
    <n v="863"/>
    <x v="862"/>
    <x v="433"/>
    <d v="2024-01-10T00:00:00"/>
    <x v="1"/>
    <s v="CUST-1268"/>
    <s v="Customer 349"/>
    <x v="2"/>
    <x v="0"/>
    <x v="4"/>
    <x v="4"/>
    <n v="896184"/>
    <x v="3"/>
    <x v="543"/>
    <x v="0"/>
    <x v="6"/>
    <x v="44"/>
    <n v="330.77"/>
    <n v="4"/>
    <n v="0.05"/>
    <n v="24.69"/>
  </r>
  <r>
    <n v="864"/>
    <x v="863"/>
    <x v="179"/>
    <d v="2025-09-18T00:00:00"/>
    <x v="2"/>
    <s v="CUST-1025"/>
    <s v="Customer 054"/>
    <x v="1"/>
    <x v="0"/>
    <x v="8"/>
    <x v="8"/>
    <n v="542762"/>
    <x v="3"/>
    <x v="544"/>
    <x v="0"/>
    <x v="6"/>
    <x v="606"/>
    <n v="153.16"/>
    <n v="4"/>
    <n v="0.15"/>
    <n v="43.74"/>
  </r>
  <r>
    <n v="865"/>
    <x v="864"/>
    <x v="30"/>
    <d v="2024-09-14T00:00:00"/>
    <x v="2"/>
    <s v="CUST-1397"/>
    <s v="Customer 308"/>
    <x v="1"/>
    <x v="0"/>
    <x v="4"/>
    <x v="4"/>
    <n v="872793"/>
    <x v="3"/>
    <x v="539"/>
    <x v="1"/>
    <x v="2"/>
    <x v="607"/>
    <n v="50.17"/>
    <n v="3"/>
    <n v="0.2"/>
    <n v="23.41"/>
  </r>
  <r>
    <n v="866"/>
    <x v="865"/>
    <x v="172"/>
    <d v="2025-11-25T00:00:00"/>
    <x v="1"/>
    <s v="CUST-1330"/>
    <s v="Customer 301"/>
    <x v="2"/>
    <x v="0"/>
    <x v="8"/>
    <x v="8"/>
    <n v="691002"/>
    <x v="3"/>
    <x v="205"/>
    <x v="0"/>
    <x v="9"/>
    <x v="608"/>
    <n v="211.73"/>
    <n v="6"/>
    <n v="0.05"/>
    <n v="18.64"/>
  </r>
  <r>
    <n v="867"/>
    <x v="866"/>
    <x v="498"/>
    <d v="2025-12-20T00:00:00"/>
    <x v="1"/>
    <s v="CUST-1391"/>
    <s v="Customer 014"/>
    <x v="0"/>
    <x v="0"/>
    <x v="3"/>
    <x v="3"/>
    <n v="800823"/>
    <x v="1"/>
    <x v="151"/>
    <x v="0"/>
    <x v="0"/>
    <x v="609"/>
    <n v="442.15"/>
    <n v="5"/>
    <n v="0.3"/>
    <n v="-33.64"/>
  </r>
  <r>
    <n v="868"/>
    <x v="867"/>
    <x v="468"/>
    <d v="2024-11-01T00:00:00"/>
    <x v="0"/>
    <s v="CUST-1056"/>
    <s v="Customer 007"/>
    <x v="1"/>
    <x v="0"/>
    <x v="9"/>
    <x v="9"/>
    <n v="943823"/>
    <x v="2"/>
    <x v="416"/>
    <x v="2"/>
    <x v="4"/>
    <x v="610"/>
    <n v="71.06"/>
    <n v="8"/>
    <n v="0"/>
    <n v="5.55"/>
  </r>
  <r>
    <n v="869"/>
    <x v="868"/>
    <x v="277"/>
    <d v="2025-10-02T00:00:00"/>
    <x v="1"/>
    <s v="CUST-1306"/>
    <s v="Customer 145"/>
    <x v="2"/>
    <x v="0"/>
    <x v="0"/>
    <x v="0"/>
    <n v="152832"/>
    <x v="0"/>
    <x v="372"/>
    <x v="1"/>
    <x v="1"/>
    <x v="392"/>
    <n v="398.81"/>
    <n v="8"/>
    <n v="0.1"/>
    <n v="23.54"/>
  </r>
  <r>
    <n v="870"/>
    <x v="869"/>
    <x v="493"/>
    <d v="2024-02-29T00:00:00"/>
    <x v="2"/>
    <s v="CUST-1137"/>
    <s v="Customer 369"/>
    <x v="2"/>
    <x v="0"/>
    <x v="4"/>
    <x v="4"/>
    <n v="318023"/>
    <x v="3"/>
    <x v="189"/>
    <x v="0"/>
    <x v="0"/>
    <x v="611"/>
    <n v="181.21"/>
    <n v="4"/>
    <n v="0.05"/>
    <n v="6.98"/>
  </r>
  <r>
    <n v="871"/>
    <x v="870"/>
    <x v="121"/>
    <d v="2025-12-30T00:00:00"/>
    <x v="2"/>
    <s v="CUST-1183"/>
    <s v="Customer 227"/>
    <x v="1"/>
    <x v="0"/>
    <x v="6"/>
    <x v="6"/>
    <n v="705731"/>
    <x v="2"/>
    <x v="189"/>
    <x v="0"/>
    <x v="10"/>
    <x v="612"/>
    <n v="283.82"/>
    <n v="5"/>
    <n v="0.2"/>
    <n v="-25.86"/>
  </r>
  <r>
    <n v="872"/>
    <x v="871"/>
    <x v="429"/>
    <d v="2025-06-11T00:00:00"/>
    <x v="2"/>
    <s v="CUST-1396"/>
    <s v="Customer 084"/>
    <x v="0"/>
    <x v="0"/>
    <x v="5"/>
    <x v="5"/>
    <n v="267659"/>
    <x v="0"/>
    <x v="344"/>
    <x v="2"/>
    <x v="3"/>
    <x v="613"/>
    <n v="216.34"/>
    <n v="1"/>
    <n v="0.1"/>
    <n v="27.08"/>
  </r>
  <r>
    <n v="873"/>
    <x v="872"/>
    <x v="311"/>
    <d v="2025-04-21T00:00:00"/>
    <x v="0"/>
    <s v="CUST-1195"/>
    <s v="Customer 392"/>
    <x v="2"/>
    <x v="0"/>
    <x v="2"/>
    <x v="2"/>
    <n v="254125"/>
    <x v="2"/>
    <x v="488"/>
    <x v="1"/>
    <x v="8"/>
    <x v="614"/>
    <n v="63.28"/>
    <n v="9"/>
    <n v="0.2"/>
    <n v="36.24"/>
  </r>
  <r>
    <n v="874"/>
    <x v="873"/>
    <x v="110"/>
    <d v="2024-02-02T00:00:00"/>
    <x v="2"/>
    <s v="CUST-1312"/>
    <s v="Customer 119"/>
    <x v="2"/>
    <x v="0"/>
    <x v="5"/>
    <x v="5"/>
    <n v="628222"/>
    <x v="0"/>
    <x v="234"/>
    <x v="2"/>
    <x v="5"/>
    <x v="221"/>
    <n v="261.95"/>
    <n v="5"/>
    <n v="0.2"/>
    <n v="0.5"/>
  </r>
  <r>
    <n v="875"/>
    <x v="874"/>
    <x v="457"/>
    <d v="2024-03-21T00:00:00"/>
    <x v="3"/>
    <s v="CUST-1166"/>
    <s v="Customer 392"/>
    <x v="2"/>
    <x v="0"/>
    <x v="1"/>
    <x v="1"/>
    <n v="309820"/>
    <x v="1"/>
    <x v="15"/>
    <x v="1"/>
    <x v="7"/>
    <x v="454"/>
    <n v="80.52"/>
    <n v="3"/>
    <n v="0.1"/>
    <n v="30.33"/>
  </r>
  <r>
    <n v="876"/>
    <x v="875"/>
    <x v="499"/>
    <d v="2024-08-06T00:00:00"/>
    <x v="3"/>
    <s v="CUST-1293"/>
    <s v="Customer 357"/>
    <x v="1"/>
    <x v="0"/>
    <x v="0"/>
    <x v="0"/>
    <n v="724257"/>
    <x v="0"/>
    <x v="474"/>
    <x v="0"/>
    <x v="0"/>
    <x v="26"/>
    <n v="211.79"/>
    <n v="1"/>
    <n v="0.05"/>
    <n v="-13.42"/>
  </r>
  <r>
    <n v="877"/>
    <x v="876"/>
    <x v="23"/>
    <d v="2025-01-24T00:00:00"/>
    <x v="2"/>
    <s v="CUST-1398"/>
    <s v="Customer 071"/>
    <x v="0"/>
    <x v="0"/>
    <x v="1"/>
    <x v="1"/>
    <n v="126245"/>
    <x v="1"/>
    <x v="545"/>
    <x v="2"/>
    <x v="3"/>
    <x v="615"/>
    <n v="581.76"/>
    <n v="8"/>
    <n v="0.1"/>
    <n v="82.05"/>
  </r>
  <r>
    <n v="878"/>
    <x v="877"/>
    <x v="249"/>
    <d v="2025-01-02T00:00:00"/>
    <x v="3"/>
    <s v="CUST-1219"/>
    <s v="Customer 230"/>
    <x v="2"/>
    <x v="0"/>
    <x v="3"/>
    <x v="3"/>
    <n v="454824"/>
    <x v="1"/>
    <x v="498"/>
    <x v="1"/>
    <x v="7"/>
    <x v="11"/>
    <n v="39.81"/>
    <n v="6"/>
    <n v="0.2"/>
    <n v="14.24"/>
  </r>
  <r>
    <n v="879"/>
    <x v="878"/>
    <x v="500"/>
    <d v="2025-10-29T00:00:00"/>
    <x v="0"/>
    <s v="CUST-1135"/>
    <s v="Customer 074"/>
    <x v="1"/>
    <x v="0"/>
    <x v="0"/>
    <x v="0"/>
    <n v="168625"/>
    <x v="0"/>
    <x v="546"/>
    <x v="0"/>
    <x v="6"/>
    <x v="150"/>
    <n v="82.04"/>
    <n v="4"/>
    <n v="0.2"/>
    <n v="-19.3"/>
  </r>
  <r>
    <n v="880"/>
    <x v="879"/>
    <x v="429"/>
    <d v="2025-06-11T00:00:00"/>
    <x v="3"/>
    <s v="CUST-1201"/>
    <s v="Customer 207"/>
    <x v="0"/>
    <x v="0"/>
    <x v="0"/>
    <x v="0"/>
    <n v="683900"/>
    <x v="0"/>
    <x v="404"/>
    <x v="1"/>
    <x v="2"/>
    <x v="235"/>
    <n v="87.12"/>
    <n v="8"/>
    <n v="0.1"/>
    <n v="-2.5299999999999998"/>
  </r>
  <r>
    <n v="881"/>
    <x v="880"/>
    <x v="143"/>
    <d v="2025-12-03T00:00:00"/>
    <x v="1"/>
    <s v="CUST-1040"/>
    <s v="Customer 069"/>
    <x v="2"/>
    <x v="0"/>
    <x v="1"/>
    <x v="1"/>
    <n v="277182"/>
    <x v="1"/>
    <x v="547"/>
    <x v="1"/>
    <x v="2"/>
    <x v="616"/>
    <n v="82.04"/>
    <n v="3"/>
    <n v="0"/>
    <n v="-2.38"/>
  </r>
  <r>
    <n v="882"/>
    <x v="881"/>
    <x v="501"/>
    <d v="2024-11-10T00:00:00"/>
    <x v="3"/>
    <s v="CUST-1104"/>
    <s v="Customer 275"/>
    <x v="1"/>
    <x v="0"/>
    <x v="8"/>
    <x v="8"/>
    <n v="285915"/>
    <x v="3"/>
    <x v="548"/>
    <x v="1"/>
    <x v="8"/>
    <x v="617"/>
    <n v="51.28"/>
    <n v="2"/>
    <n v="0.05"/>
    <n v="-19.78"/>
  </r>
  <r>
    <n v="883"/>
    <x v="882"/>
    <x v="502"/>
    <d v="2024-01-10T00:00:00"/>
    <x v="0"/>
    <s v="CUST-1199"/>
    <s v="Customer 174"/>
    <x v="0"/>
    <x v="0"/>
    <x v="1"/>
    <x v="1"/>
    <n v="436837"/>
    <x v="1"/>
    <x v="549"/>
    <x v="2"/>
    <x v="5"/>
    <x v="95"/>
    <n v="942.86"/>
    <n v="8"/>
    <n v="0.1"/>
    <n v="108.19"/>
  </r>
  <r>
    <n v="884"/>
    <x v="883"/>
    <x v="503"/>
    <d v="2024-01-06T00:00:00"/>
    <x v="1"/>
    <s v="CUST-1307"/>
    <s v="Customer 142"/>
    <x v="1"/>
    <x v="0"/>
    <x v="5"/>
    <x v="5"/>
    <n v="638908"/>
    <x v="0"/>
    <x v="137"/>
    <x v="1"/>
    <x v="2"/>
    <x v="618"/>
    <n v="70.010000000000005"/>
    <n v="9"/>
    <n v="0"/>
    <n v="6.9"/>
  </r>
  <r>
    <n v="885"/>
    <x v="884"/>
    <x v="504"/>
    <d v="2025-09-17T00:00:00"/>
    <x v="2"/>
    <s v="CUST-1343"/>
    <s v="Customer 339"/>
    <x v="2"/>
    <x v="0"/>
    <x v="8"/>
    <x v="8"/>
    <n v="242049"/>
    <x v="3"/>
    <x v="236"/>
    <x v="0"/>
    <x v="10"/>
    <x v="357"/>
    <n v="277.81"/>
    <n v="1"/>
    <n v="0.1"/>
    <n v="-10.72"/>
  </r>
  <r>
    <n v="886"/>
    <x v="885"/>
    <x v="505"/>
    <d v="2024-12-31T00:00:00"/>
    <x v="0"/>
    <s v="CUST-1233"/>
    <s v="Customer 325"/>
    <x v="1"/>
    <x v="0"/>
    <x v="5"/>
    <x v="5"/>
    <n v="579894"/>
    <x v="0"/>
    <x v="267"/>
    <x v="1"/>
    <x v="2"/>
    <x v="311"/>
    <n v="60.15"/>
    <n v="3"/>
    <n v="0.15"/>
    <n v="-22.61"/>
  </r>
  <r>
    <n v="887"/>
    <x v="886"/>
    <x v="420"/>
    <d v="2025-05-26T00:00:00"/>
    <x v="3"/>
    <s v="CUST-1269"/>
    <s v="Customer 315"/>
    <x v="0"/>
    <x v="0"/>
    <x v="3"/>
    <x v="3"/>
    <n v="768465"/>
    <x v="1"/>
    <x v="135"/>
    <x v="1"/>
    <x v="8"/>
    <x v="619"/>
    <n v="61.68"/>
    <n v="5"/>
    <n v="0.15"/>
    <n v="-8.57"/>
  </r>
  <r>
    <n v="888"/>
    <x v="887"/>
    <x v="47"/>
    <d v="2024-10-02T00:00:00"/>
    <x v="0"/>
    <s v="CUST-1128"/>
    <s v="Customer 397"/>
    <x v="0"/>
    <x v="0"/>
    <x v="2"/>
    <x v="2"/>
    <n v="606906"/>
    <x v="2"/>
    <x v="550"/>
    <x v="1"/>
    <x v="8"/>
    <x v="620"/>
    <n v="99.68"/>
    <n v="1"/>
    <n v="0.15"/>
    <n v="-18.64"/>
  </r>
  <r>
    <n v="889"/>
    <x v="888"/>
    <x v="151"/>
    <d v="2025-05-24T00:00:00"/>
    <x v="0"/>
    <s v="CUST-1214"/>
    <s v="Customer 251"/>
    <x v="2"/>
    <x v="0"/>
    <x v="7"/>
    <x v="7"/>
    <n v="857861"/>
    <x v="4"/>
    <x v="176"/>
    <x v="0"/>
    <x v="0"/>
    <x v="621"/>
    <n v="115.48"/>
    <n v="9"/>
    <n v="0.2"/>
    <n v="-64.45"/>
  </r>
  <r>
    <n v="890"/>
    <x v="889"/>
    <x v="93"/>
    <d v="2024-01-18T00:00:00"/>
    <x v="1"/>
    <s v="CUST-1292"/>
    <s v="Customer 195"/>
    <x v="0"/>
    <x v="0"/>
    <x v="8"/>
    <x v="8"/>
    <n v="161700"/>
    <x v="3"/>
    <x v="263"/>
    <x v="0"/>
    <x v="6"/>
    <x v="279"/>
    <n v="331.53"/>
    <n v="6"/>
    <n v="0.05"/>
    <n v="62.77"/>
  </r>
  <r>
    <n v="891"/>
    <x v="890"/>
    <x v="24"/>
    <d v="2024-07-12T00:00:00"/>
    <x v="2"/>
    <s v="CUST-1299"/>
    <s v="Customer 041"/>
    <x v="0"/>
    <x v="0"/>
    <x v="3"/>
    <x v="3"/>
    <n v="709451"/>
    <x v="1"/>
    <x v="183"/>
    <x v="2"/>
    <x v="4"/>
    <x v="622"/>
    <n v="162.81"/>
    <n v="6"/>
    <n v="0.15"/>
    <n v="13.68"/>
  </r>
  <r>
    <n v="892"/>
    <x v="891"/>
    <x v="506"/>
    <d v="2025-09-24T00:00:00"/>
    <x v="0"/>
    <s v="CUST-1364"/>
    <s v="Customer 095"/>
    <x v="0"/>
    <x v="0"/>
    <x v="6"/>
    <x v="6"/>
    <n v="441147"/>
    <x v="2"/>
    <x v="14"/>
    <x v="1"/>
    <x v="8"/>
    <x v="17"/>
    <n v="45.88"/>
    <n v="4"/>
    <n v="0.1"/>
    <n v="-1.1100000000000001"/>
  </r>
  <r>
    <n v="893"/>
    <x v="892"/>
    <x v="44"/>
    <d v="2025-05-04T00:00:00"/>
    <x v="2"/>
    <s v="CUST-1398"/>
    <s v="Customer 179"/>
    <x v="2"/>
    <x v="0"/>
    <x v="3"/>
    <x v="3"/>
    <n v="141716"/>
    <x v="1"/>
    <x v="549"/>
    <x v="0"/>
    <x v="0"/>
    <x v="185"/>
    <n v="576.99"/>
    <n v="3"/>
    <n v="0.1"/>
    <n v="-35.42"/>
  </r>
  <r>
    <n v="894"/>
    <x v="893"/>
    <x v="110"/>
    <d v="2024-01-31T00:00:00"/>
    <x v="1"/>
    <s v="CUST-1258"/>
    <s v="Customer 107"/>
    <x v="0"/>
    <x v="0"/>
    <x v="1"/>
    <x v="1"/>
    <n v="635518"/>
    <x v="1"/>
    <x v="387"/>
    <x v="0"/>
    <x v="9"/>
    <x v="578"/>
    <n v="142.04"/>
    <n v="2"/>
    <n v="0.2"/>
    <n v="78.290000000000006"/>
  </r>
  <r>
    <n v="895"/>
    <x v="894"/>
    <x v="413"/>
    <d v="2025-12-17T00:00:00"/>
    <x v="3"/>
    <s v="CUST-1039"/>
    <s v="Customer 344"/>
    <x v="2"/>
    <x v="0"/>
    <x v="1"/>
    <x v="1"/>
    <n v="851580"/>
    <x v="1"/>
    <x v="235"/>
    <x v="1"/>
    <x v="2"/>
    <x v="493"/>
    <n v="52.15"/>
    <n v="1"/>
    <n v="0.4"/>
    <n v="-30.13"/>
  </r>
  <r>
    <n v="896"/>
    <x v="895"/>
    <x v="281"/>
    <d v="2024-02-10T00:00:00"/>
    <x v="2"/>
    <s v="CUST-1299"/>
    <s v="Customer 299"/>
    <x v="0"/>
    <x v="0"/>
    <x v="7"/>
    <x v="7"/>
    <n v="495124"/>
    <x v="4"/>
    <x v="551"/>
    <x v="0"/>
    <x v="6"/>
    <x v="147"/>
    <n v="141.74"/>
    <n v="7"/>
    <n v="0.15"/>
    <n v="1.02"/>
  </r>
  <r>
    <n v="897"/>
    <x v="896"/>
    <x v="373"/>
    <d v="2024-10-03T00:00:00"/>
    <x v="1"/>
    <s v="CUST-1027"/>
    <s v="Customer 201"/>
    <x v="1"/>
    <x v="0"/>
    <x v="3"/>
    <x v="3"/>
    <n v="567216"/>
    <x v="1"/>
    <x v="552"/>
    <x v="2"/>
    <x v="11"/>
    <x v="260"/>
    <n v="139.12"/>
    <n v="1"/>
    <n v="0.2"/>
    <n v="12.56"/>
  </r>
  <r>
    <n v="898"/>
    <x v="897"/>
    <x v="109"/>
    <d v="2024-08-24T00:00:00"/>
    <x v="2"/>
    <s v="CUST-1122"/>
    <s v="Customer 244"/>
    <x v="1"/>
    <x v="0"/>
    <x v="9"/>
    <x v="9"/>
    <n v="315616"/>
    <x v="2"/>
    <x v="553"/>
    <x v="0"/>
    <x v="9"/>
    <x v="623"/>
    <n v="256.07"/>
    <n v="2"/>
    <n v="0.05"/>
    <n v="74.05"/>
  </r>
  <r>
    <n v="899"/>
    <x v="898"/>
    <x v="145"/>
    <d v="2024-03-30T00:00:00"/>
    <x v="0"/>
    <s v="CUST-1179"/>
    <s v="Customer 345"/>
    <x v="2"/>
    <x v="0"/>
    <x v="2"/>
    <x v="2"/>
    <n v="327977"/>
    <x v="2"/>
    <x v="554"/>
    <x v="0"/>
    <x v="6"/>
    <x v="624"/>
    <n v="566.35"/>
    <n v="4"/>
    <n v="0.2"/>
    <n v="47.02"/>
  </r>
  <r>
    <n v="900"/>
    <x v="899"/>
    <x v="311"/>
    <d v="2025-04-23T00:00:00"/>
    <x v="1"/>
    <s v="CUST-1302"/>
    <s v="Customer 133"/>
    <x v="1"/>
    <x v="0"/>
    <x v="1"/>
    <x v="1"/>
    <n v="712404"/>
    <x v="1"/>
    <x v="459"/>
    <x v="0"/>
    <x v="9"/>
    <x v="442"/>
    <n v="170.42"/>
    <n v="3"/>
    <n v="0.15"/>
    <n v="31.5"/>
  </r>
  <r>
    <n v="901"/>
    <x v="900"/>
    <x v="415"/>
    <d v="2024-05-07T00:00:00"/>
    <x v="1"/>
    <s v="CUST-1088"/>
    <s v="Customer 174"/>
    <x v="0"/>
    <x v="0"/>
    <x v="7"/>
    <x v="7"/>
    <n v="225662"/>
    <x v="4"/>
    <x v="333"/>
    <x v="2"/>
    <x v="5"/>
    <x v="625"/>
    <n v="324.25"/>
    <n v="4"/>
    <n v="0.05"/>
    <n v="42.36"/>
  </r>
  <r>
    <n v="902"/>
    <x v="901"/>
    <x v="507"/>
    <d v="2025-06-23T00:00:00"/>
    <x v="0"/>
    <s v="CUST-1219"/>
    <s v="Customer 185"/>
    <x v="0"/>
    <x v="0"/>
    <x v="2"/>
    <x v="2"/>
    <n v="966763"/>
    <x v="2"/>
    <x v="115"/>
    <x v="2"/>
    <x v="5"/>
    <x v="215"/>
    <n v="847.91"/>
    <n v="6"/>
    <n v="0"/>
    <n v="98.4"/>
  </r>
  <r>
    <n v="903"/>
    <x v="902"/>
    <x v="437"/>
    <d v="2024-05-26T00:00:00"/>
    <x v="1"/>
    <s v="CUST-1227"/>
    <s v="Customer 070"/>
    <x v="1"/>
    <x v="0"/>
    <x v="3"/>
    <x v="3"/>
    <n v="902271"/>
    <x v="1"/>
    <x v="319"/>
    <x v="2"/>
    <x v="3"/>
    <x v="626"/>
    <n v="492.86"/>
    <n v="9"/>
    <n v="0.15"/>
    <n v="60.38"/>
  </r>
  <r>
    <n v="904"/>
    <x v="903"/>
    <x v="141"/>
    <d v="2025-06-11T00:00:00"/>
    <x v="1"/>
    <s v="CUST-1103"/>
    <s v="Customer 016"/>
    <x v="2"/>
    <x v="0"/>
    <x v="3"/>
    <x v="3"/>
    <n v="301107"/>
    <x v="1"/>
    <x v="305"/>
    <x v="1"/>
    <x v="8"/>
    <x v="627"/>
    <n v="111.48"/>
    <n v="8"/>
    <n v="0.15"/>
    <n v="52.22"/>
  </r>
  <r>
    <n v="905"/>
    <x v="904"/>
    <x v="508"/>
    <d v="2024-08-01T00:00:00"/>
    <x v="1"/>
    <s v="CUST-1360"/>
    <s v="Customer 022"/>
    <x v="2"/>
    <x v="0"/>
    <x v="0"/>
    <x v="0"/>
    <n v="385069"/>
    <x v="0"/>
    <x v="554"/>
    <x v="2"/>
    <x v="5"/>
    <x v="339"/>
    <n v="1004.41"/>
    <n v="7"/>
    <n v="0.15"/>
    <n v="64.849999999999994"/>
  </r>
  <r>
    <n v="906"/>
    <x v="905"/>
    <x v="383"/>
    <d v="2024-01-27T00:00:00"/>
    <x v="3"/>
    <s v="CUST-1210"/>
    <s v="Customer 020"/>
    <x v="0"/>
    <x v="0"/>
    <x v="7"/>
    <x v="7"/>
    <n v="420762"/>
    <x v="4"/>
    <x v="466"/>
    <x v="0"/>
    <x v="9"/>
    <x v="603"/>
    <n v="287.22000000000003"/>
    <n v="6"/>
    <n v="0"/>
    <n v="5.38"/>
  </r>
  <r>
    <n v="907"/>
    <x v="906"/>
    <x v="240"/>
    <d v="2025-08-04T00:00:00"/>
    <x v="3"/>
    <s v="CUST-1201"/>
    <s v="Customer 014"/>
    <x v="0"/>
    <x v="0"/>
    <x v="1"/>
    <x v="1"/>
    <n v="348053"/>
    <x v="1"/>
    <x v="350"/>
    <x v="1"/>
    <x v="2"/>
    <x v="628"/>
    <n v="130.93"/>
    <n v="6"/>
    <n v="0.05"/>
    <n v="13.12"/>
  </r>
  <r>
    <n v="908"/>
    <x v="907"/>
    <x v="366"/>
    <d v="2025-02-01T00:00:00"/>
    <x v="2"/>
    <s v="CUST-1201"/>
    <s v="Customer 376"/>
    <x v="1"/>
    <x v="0"/>
    <x v="9"/>
    <x v="9"/>
    <n v="376925"/>
    <x v="2"/>
    <x v="46"/>
    <x v="2"/>
    <x v="4"/>
    <x v="629"/>
    <n v="2000.78"/>
    <n v="4"/>
    <n v="0.15"/>
    <n v="138.55000000000001"/>
  </r>
  <r>
    <n v="909"/>
    <x v="908"/>
    <x v="509"/>
    <d v="2024-03-10T00:00:00"/>
    <x v="2"/>
    <s v="CUST-1285"/>
    <s v="Customer 269"/>
    <x v="2"/>
    <x v="0"/>
    <x v="3"/>
    <x v="3"/>
    <n v="667848"/>
    <x v="1"/>
    <x v="555"/>
    <x v="0"/>
    <x v="6"/>
    <x v="42"/>
    <n v="173.31"/>
    <n v="9"/>
    <n v="0.15"/>
    <n v="-4.99"/>
  </r>
  <r>
    <n v="910"/>
    <x v="909"/>
    <x v="171"/>
    <d v="2024-08-25T00:00:00"/>
    <x v="3"/>
    <s v="CUST-1358"/>
    <s v="Customer 110"/>
    <x v="1"/>
    <x v="0"/>
    <x v="9"/>
    <x v="9"/>
    <n v="768298"/>
    <x v="2"/>
    <x v="379"/>
    <x v="1"/>
    <x v="2"/>
    <x v="630"/>
    <n v="100.15"/>
    <n v="6"/>
    <n v="0.15"/>
    <n v="8.2100000000000009"/>
  </r>
  <r>
    <n v="911"/>
    <x v="910"/>
    <x v="387"/>
    <d v="2024-04-21T00:00:00"/>
    <x v="3"/>
    <s v="CUST-1136"/>
    <s v="Customer 351"/>
    <x v="0"/>
    <x v="0"/>
    <x v="3"/>
    <x v="3"/>
    <n v="599600"/>
    <x v="1"/>
    <x v="556"/>
    <x v="1"/>
    <x v="8"/>
    <x v="359"/>
    <n v="99.4"/>
    <n v="2"/>
    <n v="0.1"/>
    <n v="-5.58"/>
  </r>
  <r>
    <n v="912"/>
    <x v="911"/>
    <x v="446"/>
    <d v="2024-05-28T00:00:00"/>
    <x v="2"/>
    <s v="CUST-1388"/>
    <s v="Customer 076"/>
    <x v="0"/>
    <x v="0"/>
    <x v="1"/>
    <x v="1"/>
    <n v="248608"/>
    <x v="1"/>
    <x v="164"/>
    <x v="1"/>
    <x v="8"/>
    <x v="631"/>
    <n v="281.69"/>
    <n v="1"/>
    <n v="0.4"/>
    <n v="41.57"/>
  </r>
  <r>
    <n v="913"/>
    <x v="912"/>
    <x v="478"/>
    <d v="2024-04-23T00:00:00"/>
    <x v="3"/>
    <s v="CUST-1066"/>
    <s v="Customer 026"/>
    <x v="0"/>
    <x v="0"/>
    <x v="2"/>
    <x v="2"/>
    <n v="464523"/>
    <x v="2"/>
    <x v="19"/>
    <x v="1"/>
    <x v="8"/>
    <x v="632"/>
    <n v="80.77"/>
    <n v="6"/>
    <n v="0.3"/>
    <n v="10.87"/>
  </r>
  <r>
    <n v="914"/>
    <x v="913"/>
    <x v="510"/>
    <d v="2024-08-17T00:00:00"/>
    <x v="2"/>
    <s v="CUST-1383"/>
    <s v="Customer 233"/>
    <x v="1"/>
    <x v="0"/>
    <x v="4"/>
    <x v="4"/>
    <n v="889908"/>
    <x v="3"/>
    <x v="315"/>
    <x v="1"/>
    <x v="2"/>
    <x v="296"/>
    <n v="25.22"/>
    <n v="4"/>
    <n v="0.05"/>
    <n v="45.67"/>
  </r>
  <r>
    <n v="915"/>
    <x v="914"/>
    <x v="478"/>
    <d v="2024-04-23T00:00:00"/>
    <x v="1"/>
    <s v="CUST-1240"/>
    <s v="Customer 344"/>
    <x v="1"/>
    <x v="0"/>
    <x v="2"/>
    <x v="2"/>
    <n v="303195"/>
    <x v="2"/>
    <x v="175"/>
    <x v="0"/>
    <x v="6"/>
    <x v="362"/>
    <n v="377.71"/>
    <n v="6"/>
    <n v="0.2"/>
    <n v="3.03"/>
  </r>
  <r>
    <n v="916"/>
    <x v="915"/>
    <x v="244"/>
    <d v="2025-04-17T00:00:00"/>
    <x v="0"/>
    <s v="CUST-1146"/>
    <s v="Customer 346"/>
    <x v="1"/>
    <x v="0"/>
    <x v="3"/>
    <x v="3"/>
    <n v="968750"/>
    <x v="1"/>
    <x v="110"/>
    <x v="1"/>
    <x v="2"/>
    <x v="302"/>
    <n v="145.46"/>
    <n v="2"/>
    <n v="0.1"/>
    <n v="-9.2100000000000009"/>
  </r>
  <r>
    <n v="917"/>
    <x v="916"/>
    <x v="461"/>
    <d v="2024-02-05T00:00:00"/>
    <x v="0"/>
    <s v="CUST-1333"/>
    <s v="Customer 020"/>
    <x v="2"/>
    <x v="0"/>
    <x v="5"/>
    <x v="5"/>
    <n v="943354"/>
    <x v="0"/>
    <x v="556"/>
    <x v="2"/>
    <x v="4"/>
    <x v="501"/>
    <n v="407.94"/>
    <n v="3"/>
    <n v="0.15"/>
    <n v="22.46"/>
  </r>
  <r>
    <n v="918"/>
    <x v="917"/>
    <x v="504"/>
    <d v="2025-09-15T00:00:00"/>
    <x v="1"/>
    <s v="CUST-1067"/>
    <s v="Customer 370"/>
    <x v="1"/>
    <x v="0"/>
    <x v="4"/>
    <x v="4"/>
    <n v="903765"/>
    <x v="3"/>
    <x v="557"/>
    <x v="1"/>
    <x v="1"/>
    <x v="633"/>
    <n v="48.49"/>
    <n v="8"/>
    <n v="0.4"/>
    <n v="15.27"/>
  </r>
  <r>
    <n v="919"/>
    <x v="918"/>
    <x v="370"/>
    <d v="2025-01-05T00:00:00"/>
    <x v="1"/>
    <s v="CUST-1013"/>
    <s v="Customer 349"/>
    <x v="1"/>
    <x v="0"/>
    <x v="4"/>
    <x v="4"/>
    <n v="899362"/>
    <x v="3"/>
    <x v="558"/>
    <x v="0"/>
    <x v="9"/>
    <x v="91"/>
    <n v="365.55"/>
    <n v="1"/>
    <n v="0.4"/>
    <n v="-45.6"/>
  </r>
  <r>
    <n v="920"/>
    <x v="919"/>
    <x v="511"/>
    <d v="2025-08-19T00:00:00"/>
    <x v="3"/>
    <s v="CUST-1326"/>
    <s v="Customer 355"/>
    <x v="1"/>
    <x v="0"/>
    <x v="9"/>
    <x v="9"/>
    <n v="315886"/>
    <x v="2"/>
    <x v="431"/>
    <x v="0"/>
    <x v="9"/>
    <x v="569"/>
    <n v="304.45"/>
    <n v="4"/>
    <n v="0.4"/>
    <n v="-83.27"/>
  </r>
  <r>
    <n v="921"/>
    <x v="920"/>
    <x v="130"/>
    <d v="2025-07-12T00:00:00"/>
    <x v="1"/>
    <s v="CUST-1253"/>
    <s v="Customer 064"/>
    <x v="1"/>
    <x v="0"/>
    <x v="7"/>
    <x v="7"/>
    <n v="889575"/>
    <x v="4"/>
    <x v="506"/>
    <x v="2"/>
    <x v="4"/>
    <x v="634"/>
    <n v="392.97"/>
    <n v="7"/>
    <n v="0.1"/>
    <n v="37.26"/>
  </r>
  <r>
    <n v="922"/>
    <x v="921"/>
    <x v="512"/>
    <d v="2025-03-02T00:00:00"/>
    <x v="0"/>
    <s v="CUST-1249"/>
    <s v="Customer 377"/>
    <x v="0"/>
    <x v="0"/>
    <x v="9"/>
    <x v="9"/>
    <n v="812495"/>
    <x v="2"/>
    <x v="464"/>
    <x v="1"/>
    <x v="1"/>
    <x v="118"/>
    <n v="47.67"/>
    <n v="1"/>
    <n v="0"/>
    <n v="-28.25"/>
  </r>
  <r>
    <n v="923"/>
    <x v="922"/>
    <x v="123"/>
    <d v="2025-09-06T00:00:00"/>
    <x v="2"/>
    <s v="CUST-1389"/>
    <s v="Customer 052"/>
    <x v="0"/>
    <x v="0"/>
    <x v="9"/>
    <x v="9"/>
    <n v="660451"/>
    <x v="2"/>
    <x v="559"/>
    <x v="2"/>
    <x v="5"/>
    <x v="467"/>
    <n v="155.97"/>
    <n v="3"/>
    <n v="0"/>
    <n v="7"/>
  </r>
  <r>
    <n v="924"/>
    <x v="923"/>
    <x v="262"/>
    <d v="2025-06-04T00:00:00"/>
    <x v="0"/>
    <s v="CUST-1286"/>
    <s v="Customer 092"/>
    <x v="1"/>
    <x v="0"/>
    <x v="5"/>
    <x v="5"/>
    <n v="879276"/>
    <x v="0"/>
    <x v="234"/>
    <x v="1"/>
    <x v="7"/>
    <x v="635"/>
    <n v="91.94"/>
    <n v="7"/>
    <n v="0.2"/>
    <n v="-29.17"/>
  </r>
  <r>
    <n v="925"/>
    <x v="924"/>
    <x v="172"/>
    <d v="2025-11-25T00:00:00"/>
    <x v="3"/>
    <s v="CUST-1274"/>
    <s v="Customer 183"/>
    <x v="2"/>
    <x v="0"/>
    <x v="2"/>
    <x v="2"/>
    <n v="814564"/>
    <x v="2"/>
    <x v="560"/>
    <x v="1"/>
    <x v="2"/>
    <x v="449"/>
    <n v="141.26"/>
    <n v="3"/>
    <n v="0.1"/>
    <n v="34.67"/>
  </r>
  <r>
    <n v="926"/>
    <x v="925"/>
    <x v="449"/>
    <d v="2024-10-11T00:00:00"/>
    <x v="0"/>
    <s v="CUST-1085"/>
    <s v="Customer 177"/>
    <x v="0"/>
    <x v="0"/>
    <x v="2"/>
    <x v="2"/>
    <n v="344955"/>
    <x v="2"/>
    <x v="561"/>
    <x v="2"/>
    <x v="3"/>
    <x v="103"/>
    <n v="693.45"/>
    <n v="6"/>
    <n v="0.3"/>
    <n v="1.73"/>
  </r>
  <r>
    <n v="927"/>
    <x v="926"/>
    <x v="513"/>
    <d v="2024-11-17T00:00:00"/>
    <x v="2"/>
    <s v="CUST-1243"/>
    <s v="Customer 015"/>
    <x v="1"/>
    <x v="0"/>
    <x v="6"/>
    <x v="6"/>
    <n v="213104"/>
    <x v="2"/>
    <x v="562"/>
    <x v="1"/>
    <x v="2"/>
    <x v="616"/>
    <n v="35.17"/>
    <n v="9"/>
    <n v="0.2"/>
    <n v="-38.82"/>
  </r>
  <r>
    <n v="928"/>
    <x v="927"/>
    <x v="514"/>
    <d v="2025-03-22T00:00:00"/>
    <x v="0"/>
    <s v="CUST-1358"/>
    <s v="Customer 275"/>
    <x v="1"/>
    <x v="0"/>
    <x v="3"/>
    <x v="3"/>
    <n v="118077"/>
    <x v="1"/>
    <x v="360"/>
    <x v="1"/>
    <x v="1"/>
    <x v="289"/>
    <n v="80.19"/>
    <n v="1"/>
    <n v="0.15"/>
    <n v="2.95"/>
  </r>
  <r>
    <n v="929"/>
    <x v="928"/>
    <x v="515"/>
    <d v="2024-11-15T00:00:00"/>
    <x v="0"/>
    <s v="CUST-1241"/>
    <s v="Customer 162"/>
    <x v="0"/>
    <x v="0"/>
    <x v="5"/>
    <x v="5"/>
    <n v="623048"/>
    <x v="0"/>
    <x v="56"/>
    <x v="1"/>
    <x v="8"/>
    <x v="627"/>
    <n v="43.02"/>
    <n v="4"/>
    <n v="0.05"/>
    <n v="19.23"/>
  </r>
  <r>
    <n v="930"/>
    <x v="929"/>
    <x v="156"/>
    <d v="2025-01-16T00:00:00"/>
    <x v="1"/>
    <s v="CUST-1155"/>
    <s v="Customer 275"/>
    <x v="2"/>
    <x v="0"/>
    <x v="6"/>
    <x v="6"/>
    <n v="373591"/>
    <x v="2"/>
    <x v="521"/>
    <x v="0"/>
    <x v="6"/>
    <x v="465"/>
    <n v="111.66"/>
    <n v="1"/>
    <n v="0.05"/>
    <n v="28.82"/>
  </r>
  <r>
    <n v="931"/>
    <x v="930"/>
    <x v="106"/>
    <d v="2024-10-18T00:00:00"/>
    <x v="2"/>
    <s v="CUST-1343"/>
    <s v="Customer 145"/>
    <x v="2"/>
    <x v="0"/>
    <x v="1"/>
    <x v="1"/>
    <n v="416131"/>
    <x v="1"/>
    <x v="28"/>
    <x v="2"/>
    <x v="11"/>
    <x v="636"/>
    <n v="784.87"/>
    <n v="2"/>
    <n v="0"/>
    <n v="119.16"/>
  </r>
  <r>
    <n v="932"/>
    <x v="931"/>
    <x v="453"/>
    <d v="2025-03-16T00:00:00"/>
    <x v="2"/>
    <s v="CUST-1260"/>
    <s v="Customer 123"/>
    <x v="0"/>
    <x v="0"/>
    <x v="3"/>
    <x v="3"/>
    <n v="705109"/>
    <x v="1"/>
    <x v="170"/>
    <x v="2"/>
    <x v="5"/>
    <x v="268"/>
    <n v="280.54000000000002"/>
    <n v="1"/>
    <n v="0.05"/>
    <n v="31.53"/>
  </r>
  <r>
    <n v="933"/>
    <x v="932"/>
    <x v="18"/>
    <d v="2025-10-26T00:00:00"/>
    <x v="3"/>
    <s v="CUST-1081"/>
    <s v="Customer 294"/>
    <x v="1"/>
    <x v="0"/>
    <x v="3"/>
    <x v="3"/>
    <n v="621291"/>
    <x v="1"/>
    <x v="102"/>
    <x v="0"/>
    <x v="9"/>
    <x v="469"/>
    <n v="691.02"/>
    <n v="6"/>
    <n v="0.15"/>
    <n v="15.86"/>
  </r>
  <r>
    <n v="934"/>
    <x v="933"/>
    <x v="25"/>
    <d v="2024-10-05T00:00:00"/>
    <x v="2"/>
    <s v="CUST-1030"/>
    <s v="Customer 102"/>
    <x v="0"/>
    <x v="0"/>
    <x v="0"/>
    <x v="0"/>
    <n v="957426"/>
    <x v="0"/>
    <x v="235"/>
    <x v="1"/>
    <x v="2"/>
    <x v="637"/>
    <n v="75.72"/>
    <n v="6"/>
    <n v="0.05"/>
    <n v="0.05"/>
  </r>
  <r>
    <n v="935"/>
    <x v="934"/>
    <x v="162"/>
    <d v="2025-12-14T00:00:00"/>
    <x v="3"/>
    <s v="CUST-1073"/>
    <s v="Customer 306"/>
    <x v="2"/>
    <x v="0"/>
    <x v="0"/>
    <x v="0"/>
    <n v="548381"/>
    <x v="0"/>
    <x v="563"/>
    <x v="2"/>
    <x v="3"/>
    <x v="638"/>
    <n v="186.56"/>
    <n v="2"/>
    <n v="0.15"/>
    <n v="1.66"/>
  </r>
  <r>
    <n v="936"/>
    <x v="935"/>
    <x v="516"/>
    <d v="2025-08-07T00:00:00"/>
    <x v="0"/>
    <s v="CUST-1135"/>
    <s v="Customer 304"/>
    <x v="2"/>
    <x v="0"/>
    <x v="8"/>
    <x v="8"/>
    <n v="734958"/>
    <x v="3"/>
    <x v="564"/>
    <x v="1"/>
    <x v="2"/>
    <x v="639"/>
    <n v="89.38"/>
    <n v="5"/>
    <n v="0.1"/>
    <n v="-4.1500000000000004"/>
  </r>
  <r>
    <n v="937"/>
    <x v="936"/>
    <x v="115"/>
    <d v="2025-05-18T00:00:00"/>
    <x v="0"/>
    <s v="CUST-1380"/>
    <s v="Customer 369"/>
    <x v="0"/>
    <x v="0"/>
    <x v="8"/>
    <x v="8"/>
    <n v="922646"/>
    <x v="3"/>
    <x v="191"/>
    <x v="0"/>
    <x v="0"/>
    <x v="299"/>
    <n v="114.25"/>
    <n v="2"/>
    <n v="0.15"/>
    <n v="5.27"/>
  </r>
  <r>
    <n v="938"/>
    <x v="937"/>
    <x v="215"/>
    <d v="2025-09-20T00:00:00"/>
    <x v="2"/>
    <s v="CUST-1174"/>
    <s v="Customer 310"/>
    <x v="1"/>
    <x v="0"/>
    <x v="9"/>
    <x v="9"/>
    <n v="888419"/>
    <x v="2"/>
    <x v="73"/>
    <x v="0"/>
    <x v="0"/>
    <x v="640"/>
    <n v="760.68"/>
    <n v="5"/>
    <n v="0.2"/>
    <n v="22.54"/>
  </r>
  <r>
    <n v="939"/>
    <x v="938"/>
    <x v="255"/>
    <d v="2025-06-01T00:00:00"/>
    <x v="1"/>
    <s v="CUST-1317"/>
    <s v="Customer 346"/>
    <x v="0"/>
    <x v="0"/>
    <x v="1"/>
    <x v="1"/>
    <n v="692769"/>
    <x v="1"/>
    <x v="215"/>
    <x v="1"/>
    <x v="8"/>
    <x v="101"/>
    <n v="105.02"/>
    <n v="4"/>
    <n v="0.2"/>
    <n v="-13.66"/>
  </r>
  <r>
    <n v="940"/>
    <x v="939"/>
    <x v="302"/>
    <d v="2024-12-18T00:00:00"/>
    <x v="1"/>
    <s v="CUST-1227"/>
    <s v="Customer 298"/>
    <x v="0"/>
    <x v="0"/>
    <x v="4"/>
    <x v="4"/>
    <n v="742469"/>
    <x v="3"/>
    <x v="286"/>
    <x v="1"/>
    <x v="1"/>
    <x v="641"/>
    <n v="263.02999999999997"/>
    <n v="2"/>
    <n v="0.1"/>
    <n v="49.62"/>
  </r>
  <r>
    <n v="941"/>
    <x v="940"/>
    <x v="459"/>
    <d v="2025-03-24T00:00:00"/>
    <x v="0"/>
    <s v="CUST-1192"/>
    <s v="Customer 122"/>
    <x v="2"/>
    <x v="0"/>
    <x v="4"/>
    <x v="4"/>
    <n v="842711"/>
    <x v="3"/>
    <x v="565"/>
    <x v="0"/>
    <x v="6"/>
    <x v="642"/>
    <n v="199.05"/>
    <n v="2"/>
    <n v="0.2"/>
    <n v="31.44"/>
  </r>
  <r>
    <n v="942"/>
    <x v="941"/>
    <x v="302"/>
    <d v="2024-12-17T00:00:00"/>
    <x v="2"/>
    <s v="CUST-1171"/>
    <s v="Customer 360"/>
    <x v="0"/>
    <x v="0"/>
    <x v="0"/>
    <x v="0"/>
    <n v="287660"/>
    <x v="0"/>
    <x v="566"/>
    <x v="0"/>
    <x v="9"/>
    <x v="643"/>
    <n v="433.02"/>
    <n v="6"/>
    <n v="0"/>
    <n v="36.409999999999997"/>
  </r>
  <r>
    <n v="943"/>
    <x v="942"/>
    <x v="265"/>
    <d v="2025-08-31T00:00:00"/>
    <x v="3"/>
    <s v="CUST-1308"/>
    <s v="Customer 308"/>
    <x v="2"/>
    <x v="0"/>
    <x v="0"/>
    <x v="0"/>
    <n v="431422"/>
    <x v="0"/>
    <x v="482"/>
    <x v="0"/>
    <x v="10"/>
    <x v="34"/>
    <n v="230.1"/>
    <n v="1"/>
    <n v="0.3"/>
    <n v="-82.92"/>
  </r>
  <r>
    <n v="944"/>
    <x v="943"/>
    <x v="16"/>
    <d v="2025-10-28T00:00:00"/>
    <x v="1"/>
    <s v="CUST-1027"/>
    <s v="Customer 306"/>
    <x v="1"/>
    <x v="0"/>
    <x v="0"/>
    <x v="0"/>
    <n v="873331"/>
    <x v="0"/>
    <x v="173"/>
    <x v="2"/>
    <x v="4"/>
    <x v="644"/>
    <n v="460.19"/>
    <n v="7"/>
    <n v="0.1"/>
    <n v="81.86"/>
  </r>
  <r>
    <n v="945"/>
    <x v="944"/>
    <x v="517"/>
    <d v="2024-05-19T00:00:00"/>
    <x v="1"/>
    <s v="CUST-1263"/>
    <s v="Customer 186"/>
    <x v="0"/>
    <x v="0"/>
    <x v="5"/>
    <x v="5"/>
    <n v="419464"/>
    <x v="0"/>
    <x v="514"/>
    <x v="2"/>
    <x v="11"/>
    <x v="645"/>
    <n v="668.64"/>
    <n v="6"/>
    <n v="0.2"/>
    <n v="92.64"/>
  </r>
  <r>
    <n v="946"/>
    <x v="945"/>
    <x v="144"/>
    <d v="2024-08-31T00:00:00"/>
    <x v="3"/>
    <s v="CUST-1016"/>
    <s v="Customer 141"/>
    <x v="1"/>
    <x v="0"/>
    <x v="7"/>
    <x v="7"/>
    <n v="990330"/>
    <x v="4"/>
    <x v="446"/>
    <x v="0"/>
    <x v="0"/>
    <x v="646"/>
    <n v="280.69"/>
    <n v="5"/>
    <n v="0.2"/>
    <n v="-51.51"/>
  </r>
  <r>
    <n v="947"/>
    <x v="946"/>
    <x v="518"/>
    <d v="2025-06-30T00:00:00"/>
    <x v="1"/>
    <s v="CUST-1329"/>
    <s v="Customer 050"/>
    <x v="0"/>
    <x v="0"/>
    <x v="8"/>
    <x v="8"/>
    <n v="840233"/>
    <x v="3"/>
    <x v="567"/>
    <x v="0"/>
    <x v="0"/>
    <x v="647"/>
    <n v="482.46"/>
    <n v="7"/>
    <n v="0.3"/>
    <n v="-80.23"/>
  </r>
  <r>
    <n v="948"/>
    <x v="947"/>
    <x v="519"/>
    <d v="2024-02-13T00:00:00"/>
    <x v="1"/>
    <s v="CUST-1038"/>
    <s v="Customer 038"/>
    <x v="0"/>
    <x v="0"/>
    <x v="5"/>
    <x v="5"/>
    <n v="226560"/>
    <x v="0"/>
    <x v="468"/>
    <x v="1"/>
    <x v="2"/>
    <x v="162"/>
    <n v="61"/>
    <n v="4"/>
    <n v="0.15"/>
    <n v="53.84"/>
  </r>
  <r>
    <n v="949"/>
    <x v="948"/>
    <x v="426"/>
    <d v="2024-08-21T00:00:00"/>
    <x v="0"/>
    <s v="CUST-1168"/>
    <s v="Customer 175"/>
    <x v="2"/>
    <x v="0"/>
    <x v="2"/>
    <x v="2"/>
    <n v="781675"/>
    <x v="2"/>
    <x v="568"/>
    <x v="0"/>
    <x v="0"/>
    <x v="646"/>
    <n v="208.69"/>
    <n v="4"/>
    <n v="0"/>
    <n v="43.84"/>
  </r>
  <r>
    <n v="950"/>
    <x v="949"/>
    <x v="369"/>
    <d v="2025-07-03T00:00:00"/>
    <x v="0"/>
    <s v="CUST-1014"/>
    <s v="Customer 302"/>
    <x v="2"/>
    <x v="0"/>
    <x v="4"/>
    <x v="4"/>
    <n v="841001"/>
    <x v="3"/>
    <x v="569"/>
    <x v="0"/>
    <x v="6"/>
    <x v="648"/>
    <n v="130.33000000000001"/>
    <n v="4"/>
    <n v="0.2"/>
    <n v="37.25"/>
  </r>
  <r>
    <n v="951"/>
    <x v="950"/>
    <x v="340"/>
    <d v="2024-08-13T00:00:00"/>
    <x v="0"/>
    <s v="CUST-1189"/>
    <s v="Customer 073"/>
    <x v="2"/>
    <x v="0"/>
    <x v="3"/>
    <x v="3"/>
    <n v="176497"/>
    <x v="1"/>
    <x v="570"/>
    <x v="0"/>
    <x v="6"/>
    <x v="587"/>
    <n v="45.83"/>
    <n v="8"/>
    <n v="0.4"/>
    <n v="6.41"/>
  </r>
  <r>
    <n v="952"/>
    <x v="951"/>
    <x v="520"/>
    <d v="2024-01-09T00:00:00"/>
    <x v="0"/>
    <s v="CUST-1142"/>
    <s v="Customer 234"/>
    <x v="1"/>
    <x v="0"/>
    <x v="8"/>
    <x v="8"/>
    <n v="797268"/>
    <x v="3"/>
    <x v="560"/>
    <x v="1"/>
    <x v="2"/>
    <x v="395"/>
    <n v="47.89"/>
    <n v="9"/>
    <n v="0.3"/>
    <n v="19.16"/>
  </r>
  <r>
    <n v="953"/>
    <x v="952"/>
    <x v="521"/>
    <d v="2024-11-21T00:00:00"/>
    <x v="3"/>
    <s v="CUST-1159"/>
    <s v="Customer 232"/>
    <x v="2"/>
    <x v="0"/>
    <x v="6"/>
    <x v="6"/>
    <n v="618567"/>
    <x v="2"/>
    <x v="564"/>
    <x v="1"/>
    <x v="2"/>
    <x v="649"/>
    <n v="379.26"/>
    <n v="7"/>
    <n v="0"/>
    <n v="65.19"/>
  </r>
  <r>
    <n v="954"/>
    <x v="953"/>
    <x v="522"/>
    <d v="2025-04-14T00:00:00"/>
    <x v="2"/>
    <s v="CUST-1143"/>
    <s v="Customer 260"/>
    <x v="2"/>
    <x v="0"/>
    <x v="2"/>
    <x v="2"/>
    <n v="401729"/>
    <x v="2"/>
    <x v="571"/>
    <x v="0"/>
    <x v="9"/>
    <x v="22"/>
    <n v="123.92"/>
    <n v="3"/>
    <n v="0.1"/>
    <n v="35.81"/>
  </r>
  <r>
    <n v="955"/>
    <x v="954"/>
    <x v="361"/>
    <d v="2024-03-17T00:00:00"/>
    <x v="2"/>
    <s v="CUST-1081"/>
    <s v="Customer 006"/>
    <x v="1"/>
    <x v="0"/>
    <x v="8"/>
    <x v="8"/>
    <n v="289506"/>
    <x v="3"/>
    <x v="558"/>
    <x v="1"/>
    <x v="2"/>
    <x v="310"/>
    <n v="63.49"/>
    <n v="9"/>
    <n v="0"/>
    <n v="-39.94"/>
  </r>
  <r>
    <n v="956"/>
    <x v="955"/>
    <x v="523"/>
    <d v="2024-01-10T00:00:00"/>
    <x v="3"/>
    <s v="CUST-1062"/>
    <s v="Customer 302"/>
    <x v="0"/>
    <x v="0"/>
    <x v="5"/>
    <x v="5"/>
    <n v="140693"/>
    <x v="0"/>
    <x v="219"/>
    <x v="2"/>
    <x v="5"/>
    <x v="264"/>
    <n v="209.75"/>
    <n v="3"/>
    <n v="0.2"/>
    <n v="16.14"/>
  </r>
  <r>
    <n v="957"/>
    <x v="956"/>
    <x v="148"/>
    <d v="2025-10-12T00:00:00"/>
    <x v="2"/>
    <s v="CUST-1088"/>
    <s v="Customer 177"/>
    <x v="1"/>
    <x v="0"/>
    <x v="1"/>
    <x v="1"/>
    <n v="829063"/>
    <x v="1"/>
    <x v="319"/>
    <x v="0"/>
    <x v="9"/>
    <x v="578"/>
    <n v="785.71"/>
    <n v="7"/>
    <n v="0.2"/>
    <n v="-16.920000000000002"/>
  </r>
  <r>
    <n v="958"/>
    <x v="957"/>
    <x v="316"/>
    <d v="2024-04-28T00:00:00"/>
    <x v="0"/>
    <s v="CUST-1109"/>
    <s v="Customer 066"/>
    <x v="1"/>
    <x v="0"/>
    <x v="3"/>
    <x v="3"/>
    <n v="997277"/>
    <x v="1"/>
    <x v="572"/>
    <x v="0"/>
    <x v="10"/>
    <x v="121"/>
    <n v="340.67"/>
    <n v="3"/>
    <n v="0.05"/>
    <n v="-1.36"/>
  </r>
  <r>
    <n v="959"/>
    <x v="958"/>
    <x v="524"/>
    <d v="2025-09-01T00:00:00"/>
    <x v="1"/>
    <s v="CUST-1221"/>
    <s v="Customer 217"/>
    <x v="0"/>
    <x v="0"/>
    <x v="8"/>
    <x v="8"/>
    <n v="804410"/>
    <x v="3"/>
    <x v="573"/>
    <x v="0"/>
    <x v="0"/>
    <x v="550"/>
    <n v="200.71"/>
    <n v="7"/>
    <n v="0.4"/>
    <n v="42.71"/>
  </r>
  <r>
    <n v="960"/>
    <x v="959"/>
    <x v="241"/>
    <d v="2025-05-20T00:00:00"/>
    <x v="0"/>
    <s v="CUST-1175"/>
    <s v="Customer 010"/>
    <x v="2"/>
    <x v="0"/>
    <x v="7"/>
    <x v="7"/>
    <n v="834664"/>
    <x v="4"/>
    <x v="289"/>
    <x v="1"/>
    <x v="2"/>
    <x v="274"/>
    <n v="45.36"/>
    <n v="9"/>
    <n v="0.1"/>
    <n v="-17.329999999999998"/>
  </r>
  <r>
    <n v="961"/>
    <x v="960"/>
    <x v="117"/>
    <d v="2025-07-30T00:00:00"/>
    <x v="1"/>
    <s v="CUST-1080"/>
    <s v="Customer 107"/>
    <x v="0"/>
    <x v="0"/>
    <x v="0"/>
    <x v="0"/>
    <n v="189364"/>
    <x v="0"/>
    <x v="66"/>
    <x v="1"/>
    <x v="7"/>
    <x v="49"/>
    <n v="27.15"/>
    <n v="3"/>
    <n v="0.1"/>
    <n v="-34.03"/>
  </r>
  <r>
    <n v="962"/>
    <x v="961"/>
    <x v="428"/>
    <d v="2025-03-20T00:00:00"/>
    <x v="2"/>
    <s v="CUST-1086"/>
    <s v="Customer 385"/>
    <x v="0"/>
    <x v="0"/>
    <x v="0"/>
    <x v="0"/>
    <n v="141410"/>
    <x v="0"/>
    <x v="574"/>
    <x v="2"/>
    <x v="3"/>
    <x v="650"/>
    <n v="404.04"/>
    <n v="9"/>
    <n v="0.3"/>
    <n v="12.47"/>
  </r>
  <r>
    <n v="963"/>
    <x v="962"/>
    <x v="400"/>
    <d v="2024-07-13T00:00:00"/>
    <x v="1"/>
    <s v="CUST-1159"/>
    <s v="Customer 316"/>
    <x v="2"/>
    <x v="0"/>
    <x v="3"/>
    <x v="3"/>
    <n v="437563"/>
    <x v="1"/>
    <x v="389"/>
    <x v="1"/>
    <x v="1"/>
    <x v="256"/>
    <n v="157.66"/>
    <n v="1"/>
    <n v="0.3"/>
    <n v="25.69"/>
  </r>
  <r>
    <n v="964"/>
    <x v="963"/>
    <x v="525"/>
    <d v="2025-12-18T00:00:00"/>
    <x v="3"/>
    <s v="CUST-1262"/>
    <s v="Customer 184"/>
    <x v="1"/>
    <x v="0"/>
    <x v="5"/>
    <x v="5"/>
    <n v="577258"/>
    <x v="0"/>
    <x v="403"/>
    <x v="0"/>
    <x v="10"/>
    <x v="33"/>
    <n v="473.02"/>
    <n v="9"/>
    <n v="0.15"/>
    <n v="-28.82"/>
  </r>
  <r>
    <n v="965"/>
    <x v="964"/>
    <x v="103"/>
    <d v="2025-01-29T00:00:00"/>
    <x v="2"/>
    <s v="CUST-1250"/>
    <s v="Customer 296"/>
    <x v="0"/>
    <x v="0"/>
    <x v="0"/>
    <x v="0"/>
    <n v="334625"/>
    <x v="0"/>
    <x v="575"/>
    <x v="2"/>
    <x v="11"/>
    <x v="50"/>
    <n v="131.22999999999999"/>
    <n v="3"/>
    <n v="0.2"/>
    <n v="26.32"/>
  </r>
  <r>
    <n v="966"/>
    <x v="965"/>
    <x v="496"/>
    <d v="2024-02-01T00:00:00"/>
    <x v="0"/>
    <s v="CUST-1320"/>
    <s v="Customer 276"/>
    <x v="1"/>
    <x v="0"/>
    <x v="8"/>
    <x v="8"/>
    <n v="351176"/>
    <x v="3"/>
    <x v="576"/>
    <x v="2"/>
    <x v="11"/>
    <x v="651"/>
    <n v="309.12"/>
    <n v="8"/>
    <n v="0.2"/>
    <n v="39.479999999999997"/>
  </r>
  <r>
    <n v="967"/>
    <x v="966"/>
    <x v="327"/>
    <d v="2025-03-11T00:00:00"/>
    <x v="1"/>
    <s v="CUST-1293"/>
    <s v="Customer 129"/>
    <x v="2"/>
    <x v="0"/>
    <x v="6"/>
    <x v="6"/>
    <n v="779760"/>
    <x v="2"/>
    <x v="328"/>
    <x v="0"/>
    <x v="6"/>
    <x v="652"/>
    <n v="402"/>
    <n v="7"/>
    <n v="0.1"/>
    <n v="62.23"/>
  </r>
  <r>
    <n v="968"/>
    <x v="967"/>
    <x v="417"/>
    <d v="2024-06-24T00:00:00"/>
    <x v="1"/>
    <s v="CUST-1242"/>
    <s v="Customer 315"/>
    <x v="1"/>
    <x v="0"/>
    <x v="4"/>
    <x v="4"/>
    <n v="157300"/>
    <x v="3"/>
    <x v="577"/>
    <x v="2"/>
    <x v="4"/>
    <x v="653"/>
    <n v="173.91"/>
    <n v="5"/>
    <n v="0.15"/>
    <n v="31.68"/>
  </r>
  <r>
    <n v="969"/>
    <x v="968"/>
    <x v="526"/>
    <d v="2024-10-27T00:00:00"/>
    <x v="1"/>
    <s v="CUST-1122"/>
    <s v="Customer 362"/>
    <x v="1"/>
    <x v="0"/>
    <x v="4"/>
    <x v="4"/>
    <n v="847417"/>
    <x v="3"/>
    <x v="167"/>
    <x v="2"/>
    <x v="4"/>
    <x v="249"/>
    <n v="311"/>
    <n v="1"/>
    <n v="0"/>
    <n v="26.23"/>
  </r>
  <r>
    <n v="970"/>
    <x v="969"/>
    <x v="452"/>
    <d v="2025-10-10T00:00:00"/>
    <x v="0"/>
    <s v="CUST-1362"/>
    <s v="Customer 218"/>
    <x v="2"/>
    <x v="0"/>
    <x v="2"/>
    <x v="2"/>
    <n v="324388"/>
    <x v="2"/>
    <x v="578"/>
    <x v="2"/>
    <x v="11"/>
    <x v="557"/>
    <n v="791.17"/>
    <n v="8"/>
    <n v="0.3"/>
    <n v="27.33"/>
  </r>
  <r>
    <n v="971"/>
    <x v="970"/>
    <x v="200"/>
    <d v="2024-11-24T00:00:00"/>
    <x v="0"/>
    <s v="CUST-1235"/>
    <s v="Customer 336"/>
    <x v="0"/>
    <x v="0"/>
    <x v="9"/>
    <x v="9"/>
    <n v="616656"/>
    <x v="2"/>
    <x v="477"/>
    <x v="0"/>
    <x v="9"/>
    <x v="397"/>
    <n v="368.79"/>
    <n v="6"/>
    <n v="0.2"/>
    <n v="50.16"/>
  </r>
  <r>
    <n v="972"/>
    <x v="971"/>
    <x v="527"/>
    <d v="2025-02-16T00:00:00"/>
    <x v="2"/>
    <s v="CUST-1278"/>
    <s v="Customer 283"/>
    <x v="0"/>
    <x v="0"/>
    <x v="1"/>
    <x v="1"/>
    <n v="526986"/>
    <x v="1"/>
    <x v="310"/>
    <x v="1"/>
    <x v="7"/>
    <x v="654"/>
    <n v="103.08"/>
    <n v="5"/>
    <n v="0.1"/>
    <n v="14.76"/>
  </r>
  <r>
    <n v="973"/>
    <x v="972"/>
    <x v="316"/>
    <d v="2024-04-30T00:00:00"/>
    <x v="3"/>
    <s v="CUST-1328"/>
    <s v="Customer 357"/>
    <x v="2"/>
    <x v="0"/>
    <x v="3"/>
    <x v="3"/>
    <n v="244582"/>
    <x v="1"/>
    <x v="579"/>
    <x v="0"/>
    <x v="0"/>
    <x v="485"/>
    <n v="181.27"/>
    <n v="4"/>
    <n v="0.3"/>
    <n v="38.65"/>
  </r>
  <r>
    <n v="974"/>
    <x v="973"/>
    <x v="438"/>
    <d v="2025-12-27T00:00:00"/>
    <x v="0"/>
    <s v="CUST-1008"/>
    <s v="Customer 115"/>
    <x v="1"/>
    <x v="0"/>
    <x v="2"/>
    <x v="2"/>
    <n v="666401"/>
    <x v="2"/>
    <x v="121"/>
    <x v="1"/>
    <x v="2"/>
    <x v="235"/>
    <n v="109.5"/>
    <n v="1"/>
    <n v="0.05"/>
    <n v="47.87"/>
  </r>
  <r>
    <n v="975"/>
    <x v="974"/>
    <x v="154"/>
    <d v="2024-08-14T00:00:00"/>
    <x v="2"/>
    <s v="CUST-1087"/>
    <s v="Customer 112"/>
    <x v="0"/>
    <x v="0"/>
    <x v="9"/>
    <x v="9"/>
    <n v="799545"/>
    <x v="2"/>
    <x v="580"/>
    <x v="0"/>
    <x v="10"/>
    <x v="148"/>
    <n v="226.34"/>
    <n v="2"/>
    <n v="0.2"/>
    <n v="30.57"/>
  </r>
  <r>
    <n v="976"/>
    <x v="975"/>
    <x v="427"/>
    <d v="2025-06-17T00:00:00"/>
    <x v="0"/>
    <s v="CUST-1381"/>
    <s v="Customer 177"/>
    <x v="2"/>
    <x v="0"/>
    <x v="5"/>
    <x v="5"/>
    <n v="728510"/>
    <x v="0"/>
    <x v="344"/>
    <x v="1"/>
    <x v="1"/>
    <x v="633"/>
    <n v="52.77"/>
    <n v="1"/>
    <n v="0.15"/>
    <n v="17.850000000000001"/>
  </r>
  <r>
    <n v="977"/>
    <x v="976"/>
    <x v="173"/>
    <d v="2024-04-24T00:00:00"/>
    <x v="3"/>
    <s v="CUST-1342"/>
    <s v="Customer 214"/>
    <x v="2"/>
    <x v="0"/>
    <x v="7"/>
    <x v="7"/>
    <n v="674382"/>
    <x v="4"/>
    <x v="377"/>
    <x v="1"/>
    <x v="2"/>
    <x v="655"/>
    <n v="272.11"/>
    <n v="4"/>
    <n v="0.2"/>
    <n v="-21.38"/>
  </r>
  <r>
    <n v="978"/>
    <x v="977"/>
    <x v="528"/>
    <d v="2024-05-21T00:00:00"/>
    <x v="3"/>
    <s v="CUST-1378"/>
    <s v="Customer 146"/>
    <x v="0"/>
    <x v="0"/>
    <x v="7"/>
    <x v="7"/>
    <n v="946801"/>
    <x v="4"/>
    <x v="581"/>
    <x v="1"/>
    <x v="7"/>
    <x v="560"/>
    <n v="38.65"/>
    <n v="4"/>
    <n v="0.1"/>
    <n v="-23.21"/>
  </r>
  <r>
    <n v="979"/>
    <x v="978"/>
    <x v="529"/>
    <d v="2025-07-17T00:00:00"/>
    <x v="3"/>
    <s v="CUST-1164"/>
    <s v="Customer 400"/>
    <x v="1"/>
    <x v="0"/>
    <x v="1"/>
    <x v="1"/>
    <n v="941341"/>
    <x v="1"/>
    <x v="582"/>
    <x v="0"/>
    <x v="9"/>
    <x v="656"/>
    <n v="140.55000000000001"/>
    <n v="5"/>
    <n v="0.4"/>
    <n v="-32.590000000000003"/>
  </r>
  <r>
    <n v="980"/>
    <x v="979"/>
    <x v="419"/>
    <d v="2024-01-03T00:00:00"/>
    <x v="0"/>
    <s v="CUST-1300"/>
    <s v="Customer 374"/>
    <x v="0"/>
    <x v="0"/>
    <x v="0"/>
    <x v="0"/>
    <n v="292974"/>
    <x v="0"/>
    <x v="491"/>
    <x v="1"/>
    <x v="1"/>
    <x v="596"/>
    <n v="85.72"/>
    <n v="8"/>
    <n v="0.1"/>
    <n v="30.04"/>
  </r>
  <r>
    <n v="981"/>
    <x v="980"/>
    <x v="354"/>
    <d v="2024-04-04T00:00:00"/>
    <x v="3"/>
    <s v="CUST-1165"/>
    <s v="Customer 180"/>
    <x v="2"/>
    <x v="0"/>
    <x v="8"/>
    <x v="8"/>
    <n v="506743"/>
    <x v="3"/>
    <x v="583"/>
    <x v="2"/>
    <x v="3"/>
    <x v="184"/>
    <n v="412.53"/>
    <n v="2"/>
    <n v="0.2"/>
    <n v="57.04"/>
  </r>
  <r>
    <n v="982"/>
    <x v="981"/>
    <x v="288"/>
    <d v="2025-10-17T00:00:00"/>
    <x v="0"/>
    <s v="CUST-1094"/>
    <s v="Customer 254"/>
    <x v="2"/>
    <x v="0"/>
    <x v="2"/>
    <x v="2"/>
    <n v="539090"/>
    <x v="2"/>
    <x v="584"/>
    <x v="0"/>
    <x v="6"/>
    <x v="142"/>
    <n v="703.96"/>
    <n v="2"/>
    <n v="0.2"/>
    <n v="19.600000000000001"/>
  </r>
  <r>
    <n v="983"/>
    <x v="982"/>
    <x v="513"/>
    <d v="2024-11-19T00:00:00"/>
    <x v="0"/>
    <s v="CUST-1030"/>
    <s v="Customer 197"/>
    <x v="1"/>
    <x v="0"/>
    <x v="2"/>
    <x v="2"/>
    <n v="962155"/>
    <x v="2"/>
    <x v="68"/>
    <x v="0"/>
    <x v="6"/>
    <x v="657"/>
    <n v="140.93"/>
    <n v="1"/>
    <n v="0.4"/>
    <n v="-16.21"/>
  </r>
  <r>
    <n v="984"/>
    <x v="983"/>
    <x v="530"/>
    <d v="2025-07-05T00:00:00"/>
    <x v="1"/>
    <s v="CUST-1016"/>
    <s v="Customer 200"/>
    <x v="0"/>
    <x v="0"/>
    <x v="3"/>
    <x v="3"/>
    <n v="629680"/>
    <x v="1"/>
    <x v="229"/>
    <x v="0"/>
    <x v="9"/>
    <x v="658"/>
    <n v="181.97"/>
    <n v="4"/>
    <n v="0.1"/>
    <n v="21.83"/>
  </r>
  <r>
    <n v="985"/>
    <x v="984"/>
    <x v="100"/>
    <d v="2024-05-22T00:00:00"/>
    <x v="1"/>
    <s v="CUST-1384"/>
    <s v="Customer 341"/>
    <x v="0"/>
    <x v="0"/>
    <x v="3"/>
    <x v="3"/>
    <n v="758672"/>
    <x v="1"/>
    <x v="585"/>
    <x v="2"/>
    <x v="5"/>
    <x v="659"/>
    <n v="186.11"/>
    <n v="6"/>
    <n v="0.1"/>
    <n v="-2.84"/>
  </r>
  <r>
    <n v="986"/>
    <x v="985"/>
    <x v="34"/>
    <d v="2025-05-29T00:00:00"/>
    <x v="0"/>
    <s v="CUST-1251"/>
    <s v="Customer 374"/>
    <x v="1"/>
    <x v="0"/>
    <x v="7"/>
    <x v="7"/>
    <n v="652561"/>
    <x v="4"/>
    <x v="459"/>
    <x v="1"/>
    <x v="7"/>
    <x v="660"/>
    <n v="188.16"/>
    <n v="9"/>
    <n v="0.3"/>
    <n v="18.989999999999998"/>
  </r>
  <r>
    <n v="987"/>
    <x v="986"/>
    <x v="160"/>
    <d v="2024-09-18T00:00:00"/>
    <x v="1"/>
    <s v="CUST-1367"/>
    <s v="Customer 043"/>
    <x v="1"/>
    <x v="0"/>
    <x v="7"/>
    <x v="7"/>
    <n v="996553"/>
    <x v="4"/>
    <x v="468"/>
    <x v="1"/>
    <x v="2"/>
    <x v="310"/>
    <n v="202.24"/>
    <n v="5"/>
    <n v="0.05"/>
    <n v="27.68"/>
  </r>
  <r>
    <n v="988"/>
    <x v="987"/>
    <x v="229"/>
    <d v="2025-11-05T00:00:00"/>
    <x v="0"/>
    <s v="CUST-1283"/>
    <s v="Customer 004"/>
    <x v="1"/>
    <x v="0"/>
    <x v="6"/>
    <x v="6"/>
    <n v="835922"/>
    <x v="2"/>
    <x v="281"/>
    <x v="0"/>
    <x v="10"/>
    <x v="73"/>
    <n v="45.58"/>
    <n v="3"/>
    <n v="0.3"/>
    <n v="-30.82"/>
  </r>
  <r>
    <n v="989"/>
    <x v="988"/>
    <x v="345"/>
    <d v="2025-11-23T00:00:00"/>
    <x v="0"/>
    <s v="CUST-1226"/>
    <s v="Customer 118"/>
    <x v="0"/>
    <x v="0"/>
    <x v="6"/>
    <x v="6"/>
    <n v="440323"/>
    <x v="2"/>
    <x v="125"/>
    <x v="1"/>
    <x v="2"/>
    <x v="661"/>
    <n v="219.5"/>
    <n v="4"/>
    <n v="0.1"/>
    <n v="-12.9"/>
  </r>
  <r>
    <n v="990"/>
    <x v="989"/>
    <x v="443"/>
    <d v="2024-01-14T00:00:00"/>
    <x v="3"/>
    <s v="CUST-1087"/>
    <s v="Customer 121"/>
    <x v="0"/>
    <x v="0"/>
    <x v="0"/>
    <x v="0"/>
    <n v="981979"/>
    <x v="0"/>
    <x v="248"/>
    <x v="0"/>
    <x v="9"/>
    <x v="484"/>
    <n v="632.76"/>
    <n v="7"/>
    <n v="0.4"/>
    <n v="-103.65"/>
  </r>
  <r>
    <n v="991"/>
    <x v="990"/>
    <x v="531"/>
    <d v="2024-09-21T00:00:00"/>
    <x v="2"/>
    <s v="CUST-1111"/>
    <s v="Customer 048"/>
    <x v="0"/>
    <x v="0"/>
    <x v="6"/>
    <x v="6"/>
    <n v="682840"/>
    <x v="2"/>
    <x v="318"/>
    <x v="1"/>
    <x v="2"/>
    <x v="662"/>
    <n v="66.819999999999993"/>
    <n v="1"/>
    <n v="0.2"/>
    <n v="2.9"/>
  </r>
  <r>
    <n v="992"/>
    <x v="991"/>
    <x v="532"/>
    <d v="2025-10-13T00:00:00"/>
    <x v="2"/>
    <s v="CUST-1288"/>
    <s v="Customer 168"/>
    <x v="0"/>
    <x v="0"/>
    <x v="8"/>
    <x v="8"/>
    <n v="598493"/>
    <x v="3"/>
    <x v="39"/>
    <x v="0"/>
    <x v="9"/>
    <x v="663"/>
    <n v="170.81"/>
    <n v="7"/>
    <n v="0.15"/>
    <n v="-28.22"/>
  </r>
  <r>
    <n v="993"/>
    <x v="992"/>
    <x v="259"/>
    <d v="2024-06-23T00:00:00"/>
    <x v="0"/>
    <s v="CUST-1057"/>
    <s v="Customer 315"/>
    <x v="0"/>
    <x v="0"/>
    <x v="8"/>
    <x v="8"/>
    <n v="854380"/>
    <x v="3"/>
    <x v="207"/>
    <x v="2"/>
    <x v="4"/>
    <x v="664"/>
    <n v="250.18"/>
    <n v="8"/>
    <n v="0.1"/>
    <n v="43.74"/>
  </r>
  <r>
    <n v="994"/>
    <x v="993"/>
    <x v="533"/>
    <d v="2024-01-15T00:00:00"/>
    <x v="3"/>
    <s v="CUST-1313"/>
    <s v="Customer 235"/>
    <x v="1"/>
    <x v="0"/>
    <x v="2"/>
    <x v="2"/>
    <n v="577154"/>
    <x v="2"/>
    <x v="564"/>
    <x v="1"/>
    <x v="1"/>
    <x v="665"/>
    <n v="102.26"/>
    <n v="1"/>
    <n v="0.1"/>
    <n v="65.78"/>
  </r>
  <r>
    <n v="995"/>
    <x v="994"/>
    <x v="350"/>
    <d v="2024-06-19T00:00:00"/>
    <x v="1"/>
    <s v="CUST-1211"/>
    <s v="Customer 078"/>
    <x v="1"/>
    <x v="0"/>
    <x v="4"/>
    <x v="4"/>
    <n v="232316"/>
    <x v="3"/>
    <x v="93"/>
    <x v="1"/>
    <x v="8"/>
    <x v="551"/>
    <n v="125.59"/>
    <n v="7"/>
    <n v="0.05"/>
    <n v="42.62"/>
  </r>
  <r>
    <n v="996"/>
    <x v="995"/>
    <x v="180"/>
    <d v="2025-10-06T00:00:00"/>
    <x v="2"/>
    <s v="CUST-1191"/>
    <s v="Customer 047"/>
    <x v="2"/>
    <x v="0"/>
    <x v="8"/>
    <x v="8"/>
    <n v="305532"/>
    <x v="3"/>
    <x v="184"/>
    <x v="1"/>
    <x v="2"/>
    <x v="67"/>
    <n v="84.9"/>
    <n v="9"/>
    <n v="0.2"/>
    <n v="24.57"/>
  </r>
  <r>
    <n v="997"/>
    <x v="996"/>
    <x v="375"/>
    <d v="2025-08-23T00:00:00"/>
    <x v="2"/>
    <s v="CUST-1257"/>
    <s v="Customer 065"/>
    <x v="1"/>
    <x v="0"/>
    <x v="9"/>
    <x v="9"/>
    <n v="828666"/>
    <x v="2"/>
    <x v="297"/>
    <x v="1"/>
    <x v="1"/>
    <x v="285"/>
    <n v="83.08"/>
    <n v="8"/>
    <n v="0.1"/>
    <n v="41.58"/>
  </r>
  <r>
    <n v="998"/>
    <x v="997"/>
    <x v="286"/>
    <d v="2024-11-21T00:00:00"/>
    <x v="2"/>
    <s v="CUST-1158"/>
    <s v="Customer 240"/>
    <x v="1"/>
    <x v="0"/>
    <x v="7"/>
    <x v="7"/>
    <n v="974634"/>
    <x v="4"/>
    <x v="586"/>
    <x v="1"/>
    <x v="2"/>
    <x v="296"/>
    <n v="131.72"/>
    <n v="9"/>
    <n v="0.2"/>
    <n v="24.74"/>
  </r>
  <r>
    <n v="999"/>
    <x v="998"/>
    <x v="534"/>
    <d v="2024-11-15T00:00:00"/>
    <x v="0"/>
    <s v="CUST-1168"/>
    <s v="Customer 103"/>
    <x v="1"/>
    <x v="0"/>
    <x v="3"/>
    <x v="3"/>
    <n v="592402"/>
    <x v="1"/>
    <x v="587"/>
    <x v="1"/>
    <x v="8"/>
    <x v="597"/>
    <n v="25.62"/>
    <n v="6"/>
    <n v="0.3"/>
    <n v="28.61"/>
  </r>
  <r>
    <n v="1000"/>
    <x v="999"/>
    <x v="123"/>
    <d v="2025-09-06T00:00:00"/>
    <x v="3"/>
    <s v="CUST-1000"/>
    <s v="Customer 269"/>
    <x v="1"/>
    <x v="0"/>
    <x v="6"/>
    <x v="6"/>
    <n v="973668"/>
    <x v="2"/>
    <x v="588"/>
    <x v="1"/>
    <x v="1"/>
    <x v="334"/>
    <n v="161.88999999999999"/>
    <n v="4"/>
    <n v="0.05"/>
    <n v="19.39"/>
  </r>
  <r>
    <n v="1001"/>
    <x v="1000"/>
    <x v="535"/>
    <d v="2024-11-30T00:00:00"/>
    <x v="3"/>
    <s v="CUST-1154"/>
    <s v="Customer 060"/>
    <x v="2"/>
    <x v="0"/>
    <x v="2"/>
    <x v="2"/>
    <n v="546590"/>
    <x v="2"/>
    <x v="589"/>
    <x v="1"/>
    <x v="1"/>
    <x v="368"/>
    <n v="164.12"/>
    <n v="7"/>
    <n v="0.3"/>
    <n v="-59.46"/>
  </r>
  <r>
    <n v="1002"/>
    <x v="1001"/>
    <x v="530"/>
    <d v="2025-07-06T00:00:00"/>
    <x v="3"/>
    <s v="CUST-1032"/>
    <s v="Customer 276"/>
    <x v="2"/>
    <x v="0"/>
    <x v="1"/>
    <x v="1"/>
    <n v="647929"/>
    <x v="1"/>
    <x v="377"/>
    <x v="0"/>
    <x v="9"/>
    <x v="308"/>
    <n v="128.68"/>
    <n v="9"/>
    <n v="0.1"/>
    <n v="37.36"/>
  </r>
  <r>
    <n v="1003"/>
    <x v="1002"/>
    <x v="105"/>
    <d v="2025-02-26T00:00:00"/>
    <x v="0"/>
    <s v="CUST-1219"/>
    <s v="Customer 379"/>
    <x v="1"/>
    <x v="0"/>
    <x v="3"/>
    <x v="3"/>
    <n v="207966"/>
    <x v="1"/>
    <x v="234"/>
    <x v="1"/>
    <x v="7"/>
    <x v="666"/>
    <n v="122.39"/>
    <n v="1"/>
    <n v="0.2"/>
    <n v="-20.98"/>
  </r>
  <r>
    <n v="1004"/>
    <x v="1003"/>
    <x v="524"/>
    <d v="2025-08-30T00:00:00"/>
    <x v="3"/>
    <s v="CUST-1215"/>
    <s v="Customer 213"/>
    <x v="0"/>
    <x v="0"/>
    <x v="9"/>
    <x v="9"/>
    <n v="259574"/>
    <x v="2"/>
    <x v="68"/>
    <x v="2"/>
    <x v="3"/>
    <x v="667"/>
    <n v="258.89999999999998"/>
    <n v="6"/>
    <n v="0.2"/>
    <n v="15.68"/>
  </r>
  <r>
    <n v="1005"/>
    <x v="1004"/>
    <x v="462"/>
    <d v="2024-04-07T00:00:00"/>
    <x v="3"/>
    <s v="CUST-1194"/>
    <s v="Customer 192"/>
    <x v="2"/>
    <x v="0"/>
    <x v="6"/>
    <x v="6"/>
    <n v="980369"/>
    <x v="2"/>
    <x v="80"/>
    <x v="1"/>
    <x v="2"/>
    <x v="668"/>
    <n v="88.99"/>
    <n v="8"/>
    <n v="0.05"/>
    <n v="-5"/>
  </r>
  <r>
    <n v="1006"/>
    <x v="1005"/>
    <x v="324"/>
    <d v="2025-08-06T00:00:00"/>
    <x v="3"/>
    <s v="CUST-1295"/>
    <s v="Customer 378"/>
    <x v="2"/>
    <x v="0"/>
    <x v="9"/>
    <x v="9"/>
    <n v="147565"/>
    <x v="2"/>
    <x v="126"/>
    <x v="1"/>
    <x v="8"/>
    <x v="383"/>
    <n v="71.37"/>
    <n v="8"/>
    <n v="0"/>
    <n v="15.42"/>
  </r>
  <r>
    <n v="1007"/>
    <x v="1006"/>
    <x v="165"/>
    <d v="2024-11-16T00:00:00"/>
    <x v="3"/>
    <s v="CUST-1136"/>
    <s v="Customer 279"/>
    <x v="1"/>
    <x v="0"/>
    <x v="7"/>
    <x v="7"/>
    <n v="449706"/>
    <x v="4"/>
    <x v="339"/>
    <x v="1"/>
    <x v="2"/>
    <x v="661"/>
    <n v="86.45"/>
    <n v="9"/>
    <n v="0.2"/>
    <n v="11.49"/>
  </r>
  <r>
    <n v="1008"/>
    <x v="1007"/>
    <x v="466"/>
    <d v="2024-08-25T00:00:00"/>
    <x v="2"/>
    <s v="CUST-1060"/>
    <s v="Customer 362"/>
    <x v="0"/>
    <x v="0"/>
    <x v="7"/>
    <x v="7"/>
    <n v="828493"/>
    <x v="4"/>
    <x v="488"/>
    <x v="1"/>
    <x v="7"/>
    <x v="669"/>
    <n v="55.16"/>
    <n v="2"/>
    <n v="0.1"/>
    <n v="27.28"/>
  </r>
  <r>
    <n v="1009"/>
    <x v="1008"/>
    <x v="536"/>
    <d v="2024-12-01T00:00:00"/>
    <x v="1"/>
    <s v="CUST-1239"/>
    <s v="Customer 257"/>
    <x v="1"/>
    <x v="0"/>
    <x v="0"/>
    <x v="0"/>
    <n v="905064"/>
    <x v="0"/>
    <x v="590"/>
    <x v="1"/>
    <x v="2"/>
    <x v="607"/>
    <n v="13.59"/>
    <n v="1"/>
    <n v="0"/>
    <n v="-61.13"/>
  </r>
  <r>
    <n v="1010"/>
    <x v="1009"/>
    <x v="363"/>
    <d v="2025-01-12T00:00:00"/>
    <x v="3"/>
    <s v="CUST-1003"/>
    <s v="Customer 237"/>
    <x v="1"/>
    <x v="0"/>
    <x v="2"/>
    <x v="2"/>
    <n v="309939"/>
    <x v="2"/>
    <x v="488"/>
    <x v="0"/>
    <x v="6"/>
    <x v="75"/>
    <n v="281.13"/>
    <n v="2"/>
    <n v="0"/>
    <n v="5.1100000000000003"/>
  </r>
  <r>
    <n v="1011"/>
    <x v="1010"/>
    <x v="12"/>
    <d v="2025-04-05T00:00:00"/>
    <x v="0"/>
    <s v="CUST-1132"/>
    <s v="Customer 238"/>
    <x v="0"/>
    <x v="0"/>
    <x v="3"/>
    <x v="3"/>
    <n v="918964"/>
    <x v="1"/>
    <x v="591"/>
    <x v="1"/>
    <x v="1"/>
    <x v="220"/>
    <n v="45.56"/>
    <n v="8"/>
    <n v="0.15"/>
    <n v="-25.5"/>
  </r>
  <r>
    <n v="1012"/>
    <x v="1011"/>
    <x v="517"/>
    <d v="2024-05-20T00:00:00"/>
    <x v="3"/>
    <s v="CUST-1087"/>
    <s v="Customer 203"/>
    <x v="2"/>
    <x v="0"/>
    <x v="5"/>
    <x v="5"/>
    <n v="937430"/>
    <x v="0"/>
    <x v="446"/>
    <x v="2"/>
    <x v="4"/>
    <x v="455"/>
    <n v="353.72"/>
    <n v="8"/>
    <n v="0.15"/>
    <n v="40.64"/>
  </r>
  <r>
    <n v="1013"/>
    <x v="1012"/>
    <x v="394"/>
    <d v="2025-08-11T00:00:00"/>
    <x v="1"/>
    <s v="CUST-1110"/>
    <s v="Customer 137"/>
    <x v="0"/>
    <x v="0"/>
    <x v="5"/>
    <x v="5"/>
    <n v="126515"/>
    <x v="0"/>
    <x v="323"/>
    <x v="2"/>
    <x v="3"/>
    <x v="670"/>
    <n v="541.09"/>
    <n v="8"/>
    <n v="0.15"/>
    <n v="31.6"/>
  </r>
  <r>
    <n v="1014"/>
    <x v="1013"/>
    <x v="122"/>
    <d v="2025-07-04T00:00:00"/>
    <x v="2"/>
    <s v="CUST-1229"/>
    <s v="Customer 077"/>
    <x v="2"/>
    <x v="0"/>
    <x v="3"/>
    <x v="3"/>
    <n v="548912"/>
    <x v="1"/>
    <x v="187"/>
    <x v="2"/>
    <x v="11"/>
    <x v="671"/>
    <n v="182.28"/>
    <n v="8"/>
    <n v="0.4"/>
    <n v="-1.8"/>
  </r>
  <r>
    <n v="1015"/>
    <x v="1014"/>
    <x v="315"/>
    <d v="2025-05-30T00:00:00"/>
    <x v="3"/>
    <s v="CUST-1267"/>
    <s v="Customer 397"/>
    <x v="2"/>
    <x v="0"/>
    <x v="1"/>
    <x v="1"/>
    <n v="662952"/>
    <x v="1"/>
    <x v="511"/>
    <x v="0"/>
    <x v="10"/>
    <x v="672"/>
    <n v="64.349999999999994"/>
    <n v="8"/>
    <n v="0.05"/>
    <n v="18.649999999999999"/>
  </r>
  <r>
    <n v="1016"/>
    <x v="1015"/>
    <x v="82"/>
    <d v="2024-10-24T00:00:00"/>
    <x v="1"/>
    <s v="CUST-1241"/>
    <s v="Customer 387"/>
    <x v="1"/>
    <x v="0"/>
    <x v="2"/>
    <x v="2"/>
    <n v="481610"/>
    <x v="2"/>
    <x v="592"/>
    <x v="0"/>
    <x v="0"/>
    <x v="673"/>
    <n v="113.5"/>
    <n v="2"/>
    <n v="0.2"/>
    <n v="-27.15"/>
  </r>
  <r>
    <n v="1017"/>
    <x v="1016"/>
    <x v="513"/>
    <d v="2024-11-17T00:00:00"/>
    <x v="0"/>
    <s v="CUST-1329"/>
    <s v="Customer 189"/>
    <x v="0"/>
    <x v="0"/>
    <x v="9"/>
    <x v="9"/>
    <n v="623324"/>
    <x v="2"/>
    <x v="402"/>
    <x v="1"/>
    <x v="1"/>
    <x v="151"/>
    <n v="89.95"/>
    <n v="5"/>
    <n v="0.1"/>
    <n v="-22.34"/>
  </r>
  <r>
    <n v="1018"/>
    <x v="1017"/>
    <x v="216"/>
    <d v="2025-07-29T00:00:00"/>
    <x v="0"/>
    <s v="CUST-1088"/>
    <s v="Customer 209"/>
    <x v="0"/>
    <x v="0"/>
    <x v="1"/>
    <x v="1"/>
    <n v="765508"/>
    <x v="1"/>
    <x v="71"/>
    <x v="0"/>
    <x v="9"/>
    <x v="674"/>
    <n v="92.96"/>
    <n v="3"/>
    <n v="0.2"/>
    <n v="33.65"/>
  </r>
  <r>
    <n v="1019"/>
    <x v="1018"/>
    <x v="202"/>
    <d v="2024-12-18T00:00:00"/>
    <x v="1"/>
    <s v="CUST-1349"/>
    <s v="Customer 336"/>
    <x v="1"/>
    <x v="0"/>
    <x v="4"/>
    <x v="4"/>
    <n v="123119"/>
    <x v="3"/>
    <x v="561"/>
    <x v="0"/>
    <x v="0"/>
    <x v="675"/>
    <n v="67.11"/>
    <n v="1"/>
    <n v="0.1"/>
    <n v="8.19"/>
  </r>
  <r>
    <n v="1020"/>
    <x v="1019"/>
    <x v="426"/>
    <d v="2024-08-19T00:00:00"/>
    <x v="3"/>
    <s v="CUST-1293"/>
    <s v="Customer 208"/>
    <x v="0"/>
    <x v="0"/>
    <x v="3"/>
    <x v="3"/>
    <n v="214090"/>
    <x v="1"/>
    <x v="129"/>
    <x v="2"/>
    <x v="11"/>
    <x v="120"/>
    <n v="828.14"/>
    <n v="3"/>
    <n v="0.15"/>
    <n v="39.869999999999997"/>
  </r>
  <r>
    <n v="1021"/>
    <x v="1020"/>
    <x v="76"/>
    <d v="2024-09-28T00:00:00"/>
    <x v="1"/>
    <s v="CUST-1270"/>
    <s v="Customer 354"/>
    <x v="1"/>
    <x v="0"/>
    <x v="9"/>
    <x v="9"/>
    <n v="144350"/>
    <x v="2"/>
    <x v="566"/>
    <x v="0"/>
    <x v="10"/>
    <x v="72"/>
    <n v="167.2"/>
    <n v="9"/>
    <n v="0.2"/>
    <n v="-6.73"/>
  </r>
  <r>
    <n v="1022"/>
    <x v="1021"/>
    <x v="537"/>
    <d v="2024-10-20T00:00:00"/>
    <x v="1"/>
    <s v="CUST-1042"/>
    <s v="Customer 313"/>
    <x v="1"/>
    <x v="0"/>
    <x v="5"/>
    <x v="5"/>
    <n v="982980"/>
    <x v="0"/>
    <x v="408"/>
    <x v="1"/>
    <x v="7"/>
    <x v="574"/>
    <n v="220.91"/>
    <n v="8"/>
    <n v="0.3"/>
    <n v="-20.85"/>
  </r>
  <r>
    <n v="1023"/>
    <x v="1022"/>
    <x v="83"/>
    <d v="2025-12-29T00:00:00"/>
    <x v="3"/>
    <s v="CUST-1184"/>
    <s v="Customer 055"/>
    <x v="0"/>
    <x v="0"/>
    <x v="8"/>
    <x v="8"/>
    <n v="881863"/>
    <x v="3"/>
    <x v="398"/>
    <x v="2"/>
    <x v="11"/>
    <x v="676"/>
    <n v="258.43"/>
    <n v="7"/>
    <n v="0.15"/>
    <n v="10.82"/>
  </r>
  <r>
    <n v="1024"/>
    <x v="1023"/>
    <x v="403"/>
    <d v="2024-06-15T00:00:00"/>
    <x v="1"/>
    <s v="CUST-1095"/>
    <s v="Customer 059"/>
    <x v="0"/>
    <x v="0"/>
    <x v="0"/>
    <x v="0"/>
    <n v="576848"/>
    <x v="0"/>
    <x v="420"/>
    <x v="2"/>
    <x v="3"/>
    <x v="677"/>
    <n v="138.19999999999999"/>
    <n v="7"/>
    <n v="0.4"/>
    <n v="-66.25"/>
  </r>
  <r>
    <n v="1025"/>
    <x v="1024"/>
    <x v="125"/>
    <d v="2024-01-07T00:00:00"/>
    <x v="1"/>
    <s v="CUST-1300"/>
    <s v="Customer 088"/>
    <x v="0"/>
    <x v="0"/>
    <x v="5"/>
    <x v="5"/>
    <n v="935422"/>
    <x v="0"/>
    <x v="5"/>
    <x v="2"/>
    <x v="11"/>
    <x v="503"/>
    <n v="411.29"/>
    <n v="3"/>
    <n v="0.15"/>
    <n v="14.3"/>
  </r>
  <r>
    <n v="1026"/>
    <x v="1025"/>
    <x v="107"/>
    <d v="2025-01-16T00:00:00"/>
    <x v="0"/>
    <s v="CUST-1178"/>
    <s v="Customer 125"/>
    <x v="2"/>
    <x v="0"/>
    <x v="2"/>
    <x v="2"/>
    <n v="634328"/>
    <x v="2"/>
    <x v="593"/>
    <x v="2"/>
    <x v="3"/>
    <x v="678"/>
    <n v="483.54"/>
    <n v="6"/>
    <n v="0.2"/>
    <n v="36.56"/>
  </r>
  <r>
    <n v="1027"/>
    <x v="1026"/>
    <x v="457"/>
    <d v="2024-03-21T00:00:00"/>
    <x v="3"/>
    <s v="CUST-1183"/>
    <s v="Customer 061"/>
    <x v="0"/>
    <x v="0"/>
    <x v="7"/>
    <x v="7"/>
    <n v="531600"/>
    <x v="4"/>
    <x v="594"/>
    <x v="0"/>
    <x v="6"/>
    <x v="322"/>
    <n v="105.88"/>
    <n v="6"/>
    <n v="0.15"/>
    <n v="4.8099999999999996"/>
  </r>
  <r>
    <n v="1028"/>
    <x v="1027"/>
    <x v="527"/>
    <d v="2025-02-14T00:00:00"/>
    <x v="0"/>
    <s v="CUST-1282"/>
    <s v="Customer 287"/>
    <x v="0"/>
    <x v="0"/>
    <x v="8"/>
    <x v="8"/>
    <n v="659268"/>
    <x v="3"/>
    <x v="595"/>
    <x v="2"/>
    <x v="3"/>
    <x v="679"/>
    <n v="806.25"/>
    <n v="7"/>
    <n v="0"/>
    <n v="200.34"/>
  </r>
  <r>
    <n v="1029"/>
    <x v="1028"/>
    <x v="117"/>
    <d v="2025-07-31T00:00:00"/>
    <x v="3"/>
    <s v="CUST-1203"/>
    <s v="Customer 176"/>
    <x v="1"/>
    <x v="0"/>
    <x v="0"/>
    <x v="0"/>
    <n v="174491"/>
    <x v="0"/>
    <x v="431"/>
    <x v="1"/>
    <x v="2"/>
    <x v="649"/>
    <n v="84.04"/>
    <n v="4"/>
    <n v="0.05"/>
    <n v="-31.41"/>
  </r>
  <r>
    <n v="1030"/>
    <x v="1029"/>
    <x v="409"/>
    <d v="2024-05-14T00:00:00"/>
    <x v="2"/>
    <s v="CUST-1249"/>
    <s v="Customer 227"/>
    <x v="0"/>
    <x v="0"/>
    <x v="0"/>
    <x v="0"/>
    <n v="629465"/>
    <x v="0"/>
    <x v="86"/>
    <x v="1"/>
    <x v="7"/>
    <x v="294"/>
    <n v="272.3"/>
    <n v="7"/>
    <n v="0.05"/>
    <n v="25.68"/>
  </r>
  <r>
    <n v="1031"/>
    <x v="1030"/>
    <x v="49"/>
    <d v="2025-08-27T00:00:00"/>
    <x v="1"/>
    <s v="CUST-1198"/>
    <s v="Customer 343"/>
    <x v="0"/>
    <x v="0"/>
    <x v="4"/>
    <x v="4"/>
    <n v="275225"/>
    <x v="3"/>
    <x v="244"/>
    <x v="0"/>
    <x v="6"/>
    <x v="586"/>
    <n v="397.87"/>
    <n v="8"/>
    <n v="0.1"/>
    <n v="5.83"/>
  </r>
  <r>
    <n v="1032"/>
    <x v="1031"/>
    <x v="389"/>
    <d v="2024-02-13T00:00:00"/>
    <x v="3"/>
    <s v="CUST-1000"/>
    <s v="Customer 161"/>
    <x v="0"/>
    <x v="0"/>
    <x v="4"/>
    <x v="4"/>
    <n v="683053"/>
    <x v="3"/>
    <x v="596"/>
    <x v="1"/>
    <x v="7"/>
    <x v="281"/>
    <n v="80.08"/>
    <n v="3"/>
    <n v="0.15"/>
    <n v="-40.64"/>
  </r>
  <r>
    <n v="1033"/>
    <x v="1032"/>
    <x v="538"/>
    <d v="2024-03-30T00:00:00"/>
    <x v="1"/>
    <s v="CUST-1172"/>
    <s v="Customer 088"/>
    <x v="1"/>
    <x v="0"/>
    <x v="6"/>
    <x v="6"/>
    <n v="279809"/>
    <x v="2"/>
    <x v="415"/>
    <x v="0"/>
    <x v="6"/>
    <x v="680"/>
    <n v="130.47"/>
    <n v="8"/>
    <n v="0.4"/>
    <n v="-33.270000000000003"/>
  </r>
  <r>
    <n v="1034"/>
    <x v="1033"/>
    <x v="71"/>
    <d v="2025-02-07T00:00:00"/>
    <x v="3"/>
    <s v="CUST-1256"/>
    <s v="Customer 398"/>
    <x v="0"/>
    <x v="0"/>
    <x v="5"/>
    <x v="5"/>
    <n v="784873"/>
    <x v="0"/>
    <x v="597"/>
    <x v="0"/>
    <x v="9"/>
    <x v="228"/>
    <n v="383.06"/>
    <n v="7"/>
    <n v="0"/>
    <n v="55.26"/>
  </r>
  <r>
    <n v="1035"/>
    <x v="1034"/>
    <x v="82"/>
    <d v="2024-10-25T00:00:00"/>
    <x v="1"/>
    <s v="CUST-1079"/>
    <s v="Customer 299"/>
    <x v="1"/>
    <x v="0"/>
    <x v="5"/>
    <x v="5"/>
    <n v="532329"/>
    <x v="0"/>
    <x v="309"/>
    <x v="1"/>
    <x v="2"/>
    <x v="89"/>
    <n v="41.59"/>
    <n v="1"/>
    <n v="0.15"/>
    <n v="-0.74"/>
  </r>
  <r>
    <n v="1036"/>
    <x v="1035"/>
    <x v="539"/>
    <d v="2024-10-25T00:00:00"/>
    <x v="3"/>
    <s v="CUST-1339"/>
    <s v="Customer 019"/>
    <x v="1"/>
    <x v="0"/>
    <x v="5"/>
    <x v="5"/>
    <n v="841449"/>
    <x v="0"/>
    <x v="228"/>
    <x v="2"/>
    <x v="5"/>
    <x v="475"/>
    <n v="1018.07"/>
    <n v="9"/>
    <n v="0.15"/>
    <n v="50.9"/>
  </r>
  <r>
    <n v="1037"/>
    <x v="1036"/>
    <x v="540"/>
    <d v="2025-09-13T00:00:00"/>
    <x v="0"/>
    <s v="CUST-1144"/>
    <s v="Customer 176"/>
    <x v="2"/>
    <x v="0"/>
    <x v="6"/>
    <x v="6"/>
    <n v="116375"/>
    <x v="2"/>
    <x v="194"/>
    <x v="1"/>
    <x v="1"/>
    <x v="681"/>
    <n v="82.81"/>
    <n v="4"/>
    <n v="0.15"/>
    <n v="3.14"/>
  </r>
  <r>
    <n v="1038"/>
    <x v="1037"/>
    <x v="429"/>
    <d v="2025-06-12T00:00:00"/>
    <x v="1"/>
    <s v="CUST-1115"/>
    <s v="Customer 102"/>
    <x v="1"/>
    <x v="0"/>
    <x v="1"/>
    <x v="1"/>
    <n v="134510"/>
    <x v="1"/>
    <x v="212"/>
    <x v="2"/>
    <x v="5"/>
    <x v="682"/>
    <n v="209.68"/>
    <n v="2"/>
    <n v="0.4"/>
    <n v="-39.03"/>
  </r>
  <r>
    <n v="1039"/>
    <x v="1038"/>
    <x v="132"/>
    <d v="2025-11-25T00:00:00"/>
    <x v="2"/>
    <s v="CUST-1238"/>
    <s v="Customer 317"/>
    <x v="0"/>
    <x v="0"/>
    <x v="0"/>
    <x v="0"/>
    <n v="155313"/>
    <x v="0"/>
    <x v="236"/>
    <x v="0"/>
    <x v="6"/>
    <x v="683"/>
    <n v="421.08"/>
    <n v="3"/>
    <n v="0.15"/>
    <n v="41.15"/>
  </r>
  <r>
    <n v="1040"/>
    <x v="1039"/>
    <x v="541"/>
    <d v="2025-09-30T00:00:00"/>
    <x v="1"/>
    <s v="CUST-1122"/>
    <s v="Customer 058"/>
    <x v="0"/>
    <x v="0"/>
    <x v="8"/>
    <x v="8"/>
    <n v="761950"/>
    <x v="3"/>
    <x v="598"/>
    <x v="2"/>
    <x v="3"/>
    <x v="684"/>
    <n v="316.76"/>
    <n v="3"/>
    <n v="0.4"/>
    <n v="-40.67"/>
  </r>
  <r>
    <n v="1041"/>
    <x v="1040"/>
    <x v="232"/>
    <d v="2025-02-28T00:00:00"/>
    <x v="2"/>
    <s v="CUST-1095"/>
    <s v="Customer 107"/>
    <x v="2"/>
    <x v="0"/>
    <x v="2"/>
    <x v="2"/>
    <n v="748869"/>
    <x v="2"/>
    <x v="183"/>
    <x v="1"/>
    <x v="7"/>
    <x v="431"/>
    <n v="139.85"/>
    <n v="4"/>
    <n v="0.2"/>
    <n v="-10.46"/>
  </r>
  <r>
    <n v="1042"/>
    <x v="1041"/>
    <x v="337"/>
    <d v="2024-01-25T00:00:00"/>
    <x v="3"/>
    <s v="CUST-1167"/>
    <s v="Customer 263"/>
    <x v="2"/>
    <x v="0"/>
    <x v="0"/>
    <x v="0"/>
    <n v="999054"/>
    <x v="0"/>
    <x v="599"/>
    <x v="1"/>
    <x v="1"/>
    <x v="118"/>
    <n v="68.739999999999995"/>
    <n v="2"/>
    <n v="0.15"/>
    <n v="43.31"/>
  </r>
  <r>
    <n v="1043"/>
    <x v="1042"/>
    <x v="133"/>
    <d v="2025-08-01T00:00:00"/>
    <x v="2"/>
    <s v="CUST-1326"/>
    <s v="Customer 252"/>
    <x v="0"/>
    <x v="0"/>
    <x v="4"/>
    <x v="4"/>
    <n v="966195"/>
    <x v="3"/>
    <x v="233"/>
    <x v="1"/>
    <x v="7"/>
    <x v="86"/>
    <n v="153.58000000000001"/>
    <n v="9"/>
    <n v="0.2"/>
    <n v="-11.83"/>
  </r>
  <r>
    <n v="1044"/>
    <x v="1043"/>
    <x v="290"/>
    <d v="2024-05-25T00:00:00"/>
    <x v="1"/>
    <s v="CUST-1064"/>
    <s v="Customer 062"/>
    <x v="2"/>
    <x v="0"/>
    <x v="9"/>
    <x v="9"/>
    <n v="147361"/>
    <x v="2"/>
    <x v="600"/>
    <x v="0"/>
    <x v="10"/>
    <x v="565"/>
    <n v="250.12"/>
    <n v="8"/>
    <n v="0.1"/>
    <n v="14.83"/>
  </r>
  <r>
    <n v="1045"/>
    <x v="1044"/>
    <x v="293"/>
    <d v="2025-10-28T00:00:00"/>
    <x v="1"/>
    <s v="CUST-1278"/>
    <s v="Customer 080"/>
    <x v="2"/>
    <x v="0"/>
    <x v="7"/>
    <x v="7"/>
    <n v="553682"/>
    <x v="4"/>
    <x v="565"/>
    <x v="0"/>
    <x v="9"/>
    <x v="159"/>
    <n v="124.88"/>
    <n v="2"/>
    <n v="0.2"/>
    <n v="42.24"/>
  </r>
  <r>
    <n v="1046"/>
    <x v="1045"/>
    <x v="437"/>
    <d v="2024-05-26T00:00:00"/>
    <x v="1"/>
    <s v="CUST-1342"/>
    <s v="Customer 061"/>
    <x v="2"/>
    <x v="0"/>
    <x v="6"/>
    <x v="6"/>
    <n v="530898"/>
    <x v="2"/>
    <x v="165"/>
    <x v="2"/>
    <x v="3"/>
    <x v="685"/>
    <n v="362.36"/>
    <n v="5"/>
    <n v="0.2"/>
    <n v="33.82"/>
  </r>
  <r>
    <n v="1047"/>
    <x v="1046"/>
    <x v="154"/>
    <d v="2024-08-15T00:00:00"/>
    <x v="0"/>
    <s v="CUST-1152"/>
    <s v="Customer 196"/>
    <x v="1"/>
    <x v="0"/>
    <x v="3"/>
    <x v="3"/>
    <n v="534610"/>
    <x v="1"/>
    <x v="601"/>
    <x v="0"/>
    <x v="10"/>
    <x v="72"/>
    <n v="189.86"/>
    <n v="8"/>
    <n v="0.2"/>
    <n v="16.23"/>
  </r>
  <r>
    <n v="1048"/>
    <x v="1047"/>
    <x v="115"/>
    <d v="2025-05-20T00:00:00"/>
    <x v="0"/>
    <s v="CUST-1398"/>
    <s v="Customer 032"/>
    <x v="2"/>
    <x v="0"/>
    <x v="9"/>
    <x v="9"/>
    <n v="242228"/>
    <x v="2"/>
    <x v="597"/>
    <x v="1"/>
    <x v="7"/>
    <x v="686"/>
    <n v="141.94"/>
    <n v="6"/>
    <n v="0.15"/>
    <n v="8.25"/>
  </r>
  <r>
    <n v="1049"/>
    <x v="1048"/>
    <x v="540"/>
    <d v="2025-09-10T00:00:00"/>
    <x v="2"/>
    <s v="CUST-1365"/>
    <s v="Customer 082"/>
    <x v="2"/>
    <x v="0"/>
    <x v="2"/>
    <x v="2"/>
    <n v="687582"/>
    <x v="2"/>
    <x v="363"/>
    <x v="0"/>
    <x v="6"/>
    <x v="687"/>
    <n v="234.87"/>
    <n v="7"/>
    <n v="0.1"/>
    <n v="41.24"/>
  </r>
  <r>
    <n v="1050"/>
    <x v="1049"/>
    <x v="233"/>
    <d v="2024-04-18T00:00:00"/>
    <x v="0"/>
    <s v="CUST-1021"/>
    <s v="Customer 083"/>
    <x v="0"/>
    <x v="0"/>
    <x v="5"/>
    <x v="5"/>
    <n v="204919"/>
    <x v="0"/>
    <x v="602"/>
    <x v="1"/>
    <x v="1"/>
    <x v="2"/>
    <n v="100.38"/>
    <n v="7"/>
    <n v="0.15"/>
    <n v="17.64"/>
  </r>
  <r>
    <n v="1051"/>
    <x v="1050"/>
    <x v="281"/>
    <d v="2024-02-10T00:00:00"/>
    <x v="2"/>
    <s v="CUST-1340"/>
    <s v="Customer 224"/>
    <x v="1"/>
    <x v="0"/>
    <x v="4"/>
    <x v="4"/>
    <n v="557582"/>
    <x v="3"/>
    <x v="603"/>
    <x v="1"/>
    <x v="8"/>
    <x v="229"/>
    <n v="139.82"/>
    <n v="3"/>
    <n v="0.4"/>
    <n v="-4.3499999999999996"/>
  </r>
  <r>
    <n v="1052"/>
    <x v="1051"/>
    <x v="195"/>
    <d v="2024-07-18T00:00:00"/>
    <x v="2"/>
    <s v="CUST-1084"/>
    <s v="Customer 302"/>
    <x v="1"/>
    <x v="0"/>
    <x v="4"/>
    <x v="4"/>
    <n v="289927"/>
    <x v="3"/>
    <x v="604"/>
    <x v="0"/>
    <x v="6"/>
    <x v="42"/>
    <n v="160.04"/>
    <n v="5"/>
    <n v="0.2"/>
    <n v="-2.52"/>
  </r>
  <r>
    <n v="1053"/>
    <x v="1052"/>
    <x v="148"/>
    <d v="2025-10-10T00:00:00"/>
    <x v="2"/>
    <s v="CUST-1143"/>
    <s v="Customer 256"/>
    <x v="0"/>
    <x v="0"/>
    <x v="4"/>
    <x v="4"/>
    <n v="685745"/>
    <x v="3"/>
    <x v="605"/>
    <x v="1"/>
    <x v="2"/>
    <x v="493"/>
    <n v="169.16"/>
    <n v="9"/>
    <n v="0.4"/>
    <n v="-36.24"/>
  </r>
  <r>
    <n v="1054"/>
    <x v="1053"/>
    <x v="542"/>
    <d v="2025-08-06T00:00:00"/>
    <x v="3"/>
    <s v="CUST-1135"/>
    <s v="Customer 019"/>
    <x v="2"/>
    <x v="0"/>
    <x v="5"/>
    <x v="5"/>
    <n v="414856"/>
    <x v="0"/>
    <x v="606"/>
    <x v="2"/>
    <x v="5"/>
    <x v="15"/>
    <n v="250.36"/>
    <n v="1"/>
    <n v="0.15"/>
    <n v="20.07"/>
  </r>
  <r>
    <n v="1055"/>
    <x v="1054"/>
    <x v="543"/>
    <d v="2025-01-27T00:00:00"/>
    <x v="3"/>
    <s v="CUST-1322"/>
    <s v="Customer 261"/>
    <x v="2"/>
    <x v="0"/>
    <x v="3"/>
    <x v="3"/>
    <n v="704789"/>
    <x v="1"/>
    <x v="607"/>
    <x v="2"/>
    <x v="3"/>
    <x v="115"/>
    <n v="313.97000000000003"/>
    <n v="9"/>
    <n v="0.3"/>
    <n v="-16.579999999999998"/>
  </r>
  <r>
    <n v="1056"/>
    <x v="1055"/>
    <x v="544"/>
    <d v="2024-06-30T00:00:00"/>
    <x v="2"/>
    <s v="CUST-1245"/>
    <s v="Customer 267"/>
    <x v="0"/>
    <x v="0"/>
    <x v="6"/>
    <x v="6"/>
    <n v="511476"/>
    <x v="2"/>
    <x v="462"/>
    <x v="2"/>
    <x v="11"/>
    <x v="688"/>
    <n v="68.959999999999994"/>
    <n v="6"/>
    <n v="0.15"/>
    <n v="-21.02"/>
  </r>
  <r>
    <n v="1057"/>
    <x v="1056"/>
    <x v="130"/>
    <d v="2025-07-09T00:00:00"/>
    <x v="0"/>
    <s v="CUST-1136"/>
    <s v="Customer 077"/>
    <x v="2"/>
    <x v="0"/>
    <x v="9"/>
    <x v="9"/>
    <n v="698813"/>
    <x v="2"/>
    <x v="608"/>
    <x v="0"/>
    <x v="6"/>
    <x v="605"/>
    <n v="217.22"/>
    <n v="1"/>
    <n v="0.2"/>
    <n v="-17.84"/>
  </r>
  <r>
    <n v="1058"/>
    <x v="1057"/>
    <x v="545"/>
    <d v="2025-03-26T00:00:00"/>
    <x v="1"/>
    <s v="CUST-1045"/>
    <s v="Customer 070"/>
    <x v="0"/>
    <x v="0"/>
    <x v="5"/>
    <x v="5"/>
    <n v="668323"/>
    <x v="0"/>
    <x v="220"/>
    <x v="0"/>
    <x v="9"/>
    <x v="689"/>
    <n v="150.75"/>
    <n v="7"/>
    <n v="0.1"/>
    <n v="-13.1"/>
  </r>
  <r>
    <n v="1059"/>
    <x v="1058"/>
    <x v="406"/>
    <d v="2025-05-17T00:00:00"/>
    <x v="2"/>
    <s v="CUST-1261"/>
    <s v="Customer 216"/>
    <x v="2"/>
    <x v="0"/>
    <x v="2"/>
    <x v="2"/>
    <n v="757559"/>
    <x v="2"/>
    <x v="348"/>
    <x v="0"/>
    <x v="0"/>
    <x v="690"/>
    <n v="163.85"/>
    <n v="9"/>
    <n v="0.1"/>
    <n v="25.37"/>
  </r>
  <r>
    <n v="1060"/>
    <x v="1059"/>
    <x v="93"/>
    <d v="2024-01-18T00:00:00"/>
    <x v="1"/>
    <s v="CUST-1359"/>
    <s v="Customer 089"/>
    <x v="1"/>
    <x v="0"/>
    <x v="6"/>
    <x v="6"/>
    <n v="321120"/>
    <x v="2"/>
    <x v="609"/>
    <x v="0"/>
    <x v="6"/>
    <x v="106"/>
    <n v="108.96"/>
    <n v="9"/>
    <n v="0.1"/>
    <n v="-7.2"/>
  </r>
  <r>
    <n v="1061"/>
    <x v="1060"/>
    <x v="504"/>
    <d v="2025-09-16T00:00:00"/>
    <x v="3"/>
    <s v="CUST-1396"/>
    <s v="Customer 274"/>
    <x v="2"/>
    <x v="0"/>
    <x v="2"/>
    <x v="2"/>
    <n v="321141"/>
    <x v="2"/>
    <x v="578"/>
    <x v="0"/>
    <x v="10"/>
    <x v="511"/>
    <n v="113.22"/>
    <n v="4"/>
    <n v="0.15"/>
    <n v="35.270000000000003"/>
  </r>
  <r>
    <n v="1062"/>
    <x v="1061"/>
    <x v="546"/>
    <d v="2025-11-01T00:00:00"/>
    <x v="1"/>
    <s v="CUST-1131"/>
    <s v="Customer 139"/>
    <x v="2"/>
    <x v="0"/>
    <x v="6"/>
    <x v="6"/>
    <n v="727943"/>
    <x v="2"/>
    <x v="472"/>
    <x v="1"/>
    <x v="7"/>
    <x v="389"/>
    <n v="75.19"/>
    <n v="1"/>
    <n v="0.3"/>
    <n v="-12.95"/>
  </r>
  <r>
    <n v="1063"/>
    <x v="1062"/>
    <x v="106"/>
    <d v="2024-10-18T00:00:00"/>
    <x v="2"/>
    <s v="CUST-1157"/>
    <s v="Customer 360"/>
    <x v="0"/>
    <x v="0"/>
    <x v="3"/>
    <x v="3"/>
    <n v="446336"/>
    <x v="1"/>
    <x v="255"/>
    <x v="1"/>
    <x v="2"/>
    <x v="267"/>
    <n v="38.119999999999997"/>
    <n v="3"/>
    <n v="0.05"/>
    <n v="21.5"/>
  </r>
  <r>
    <n v="1064"/>
    <x v="1063"/>
    <x v="547"/>
    <d v="2025-04-26T00:00:00"/>
    <x v="0"/>
    <s v="CUST-1157"/>
    <s v="Customer 311"/>
    <x v="0"/>
    <x v="0"/>
    <x v="7"/>
    <x v="7"/>
    <n v="994199"/>
    <x v="4"/>
    <x v="132"/>
    <x v="2"/>
    <x v="11"/>
    <x v="651"/>
    <n v="629.05999999999995"/>
    <n v="9"/>
    <n v="0.3"/>
    <n v="-22.36"/>
  </r>
  <r>
    <n v="1065"/>
    <x v="1064"/>
    <x v="109"/>
    <d v="2024-08-21T00:00:00"/>
    <x v="1"/>
    <s v="CUST-1075"/>
    <s v="Customer 243"/>
    <x v="2"/>
    <x v="0"/>
    <x v="2"/>
    <x v="2"/>
    <n v="214433"/>
    <x v="2"/>
    <x v="610"/>
    <x v="2"/>
    <x v="3"/>
    <x v="489"/>
    <n v="287.22000000000003"/>
    <n v="4"/>
    <n v="0.15"/>
    <n v="38.450000000000003"/>
  </r>
  <r>
    <n v="1066"/>
    <x v="1065"/>
    <x v="231"/>
    <d v="2025-02-28T00:00:00"/>
    <x v="2"/>
    <s v="CUST-1206"/>
    <s v="Customer 215"/>
    <x v="2"/>
    <x v="0"/>
    <x v="5"/>
    <x v="5"/>
    <n v="403700"/>
    <x v="0"/>
    <x v="539"/>
    <x v="1"/>
    <x v="8"/>
    <x v="549"/>
    <n v="142.88999999999999"/>
    <n v="9"/>
    <n v="0.05"/>
    <n v="-10.16"/>
  </r>
  <r>
    <n v="1067"/>
    <x v="1066"/>
    <x v="92"/>
    <d v="2024-06-09T00:00:00"/>
    <x v="1"/>
    <s v="CUST-1190"/>
    <s v="Customer 290"/>
    <x v="0"/>
    <x v="0"/>
    <x v="6"/>
    <x v="6"/>
    <n v="887567"/>
    <x v="2"/>
    <x v="66"/>
    <x v="0"/>
    <x v="10"/>
    <x v="691"/>
    <n v="168.58"/>
    <n v="7"/>
    <n v="0.1"/>
    <n v="29.27"/>
  </r>
  <r>
    <n v="1068"/>
    <x v="1067"/>
    <x v="530"/>
    <d v="2025-07-06T00:00:00"/>
    <x v="1"/>
    <s v="CUST-1271"/>
    <s v="Customer 201"/>
    <x v="1"/>
    <x v="0"/>
    <x v="4"/>
    <x v="4"/>
    <n v="968287"/>
    <x v="3"/>
    <x v="136"/>
    <x v="1"/>
    <x v="8"/>
    <x v="692"/>
    <n v="76.790000000000006"/>
    <n v="8"/>
    <n v="0.2"/>
    <n v="51.08"/>
  </r>
  <r>
    <n v="1069"/>
    <x v="1068"/>
    <x v="428"/>
    <d v="2025-03-18T00:00:00"/>
    <x v="3"/>
    <s v="CUST-1043"/>
    <s v="Customer 020"/>
    <x v="2"/>
    <x v="0"/>
    <x v="0"/>
    <x v="0"/>
    <n v="314646"/>
    <x v="0"/>
    <x v="611"/>
    <x v="0"/>
    <x v="9"/>
    <x v="693"/>
    <n v="45.48"/>
    <n v="5"/>
    <n v="0.15"/>
    <n v="64.83"/>
  </r>
  <r>
    <n v="1070"/>
    <x v="1069"/>
    <x v="548"/>
    <d v="2024-04-09T00:00:00"/>
    <x v="2"/>
    <s v="CUST-1251"/>
    <s v="Customer 324"/>
    <x v="2"/>
    <x v="0"/>
    <x v="4"/>
    <x v="4"/>
    <n v="530569"/>
    <x v="3"/>
    <x v="290"/>
    <x v="0"/>
    <x v="10"/>
    <x v="694"/>
    <n v="819.13"/>
    <n v="1"/>
    <n v="0.1"/>
    <n v="63.08"/>
  </r>
  <r>
    <n v="1071"/>
    <x v="1070"/>
    <x v="163"/>
    <d v="2025-02-15T00:00:00"/>
    <x v="0"/>
    <s v="CUST-1256"/>
    <s v="Customer 075"/>
    <x v="1"/>
    <x v="0"/>
    <x v="1"/>
    <x v="1"/>
    <n v="413485"/>
    <x v="1"/>
    <x v="213"/>
    <x v="2"/>
    <x v="4"/>
    <x v="82"/>
    <n v="275.12"/>
    <n v="2"/>
    <n v="0.1"/>
    <n v="35.65"/>
  </r>
  <r>
    <n v="1072"/>
    <x v="1071"/>
    <x v="106"/>
    <d v="2024-10-19T00:00:00"/>
    <x v="3"/>
    <s v="CUST-1366"/>
    <s v="Customer 133"/>
    <x v="1"/>
    <x v="0"/>
    <x v="7"/>
    <x v="7"/>
    <n v="869212"/>
    <x v="4"/>
    <x v="193"/>
    <x v="2"/>
    <x v="5"/>
    <x v="9"/>
    <n v="713.89"/>
    <n v="6"/>
    <n v="0.05"/>
    <n v="83.89"/>
  </r>
  <r>
    <n v="1073"/>
    <x v="1072"/>
    <x v="218"/>
    <d v="2024-09-13T00:00:00"/>
    <x v="1"/>
    <s v="CUST-1192"/>
    <s v="Customer 062"/>
    <x v="2"/>
    <x v="0"/>
    <x v="7"/>
    <x v="7"/>
    <n v="984426"/>
    <x v="4"/>
    <x v="332"/>
    <x v="1"/>
    <x v="2"/>
    <x v="630"/>
    <n v="266.95"/>
    <n v="2"/>
    <n v="0.1"/>
    <n v="73.42"/>
  </r>
  <r>
    <n v="1074"/>
    <x v="1073"/>
    <x v="301"/>
    <d v="2024-07-16T00:00:00"/>
    <x v="0"/>
    <s v="CUST-1343"/>
    <s v="Customer 302"/>
    <x v="2"/>
    <x v="0"/>
    <x v="4"/>
    <x v="4"/>
    <n v="154895"/>
    <x v="3"/>
    <x v="34"/>
    <x v="0"/>
    <x v="6"/>
    <x v="13"/>
    <n v="149.9"/>
    <n v="6"/>
    <n v="0.15"/>
    <n v="1.1100000000000001"/>
  </r>
  <r>
    <n v="1075"/>
    <x v="1074"/>
    <x v="549"/>
    <d v="2025-08-23T00:00:00"/>
    <x v="0"/>
    <s v="CUST-1271"/>
    <s v="Customer 153"/>
    <x v="2"/>
    <x v="0"/>
    <x v="9"/>
    <x v="9"/>
    <n v="862183"/>
    <x v="2"/>
    <x v="563"/>
    <x v="1"/>
    <x v="2"/>
    <x v="331"/>
    <n v="59.6"/>
    <n v="2"/>
    <n v="0.4"/>
    <n v="30.25"/>
  </r>
  <r>
    <n v="1076"/>
    <x v="1075"/>
    <x v="338"/>
    <d v="2025-06-11T00:00:00"/>
    <x v="2"/>
    <s v="CUST-1372"/>
    <s v="Customer 285"/>
    <x v="2"/>
    <x v="0"/>
    <x v="3"/>
    <x v="3"/>
    <n v="770392"/>
    <x v="1"/>
    <x v="401"/>
    <x v="1"/>
    <x v="8"/>
    <x v="514"/>
    <n v="131.84"/>
    <n v="9"/>
    <n v="0.3"/>
    <n v="2.89"/>
  </r>
  <r>
    <n v="1077"/>
    <x v="1076"/>
    <x v="401"/>
    <d v="2025-06-03T00:00:00"/>
    <x v="1"/>
    <s v="CUST-1137"/>
    <s v="Customer 362"/>
    <x v="0"/>
    <x v="0"/>
    <x v="2"/>
    <x v="2"/>
    <n v="672551"/>
    <x v="2"/>
    <x v="455"/>
    <x v="0"/>
    <x v="0"/>
    <x v="487"/>
    <n v="175.3"/>
    <n v="5"/>
    <n v="0.3"/>
    <n v="12.93"/>
  </r>
  <r>
    <n v="1078"/>
    <x v="1077"/>
    <x v="550"/>
    <d v="2025-10-01T00:00:00"/>
    <x v="3"/>
    <s v="CUST-1398"/>
    <s v="Customer 326"/>
    <x v="1"/>
    <x v="0"/>
    <x v="5"/>
    <x v="5"/>
    <n v="487900"/>
    <x v="0"/>
    <x v="134"/>
    <x v="1"/>
    <x v="2"/>
    <x v="311"/>
    <n v="28.06"/>
    <n v="8"/>
    <n v="0.15"/>
    <n v="44.52"/>
  </r>
  <r>
    <n v="1079"/>
    <x v="1078"/>
    <x v="316"/>
    <d v="2024-04-28T00:00:00"/>
    <x v="2"/>
    <s v="CUST-1277"/>
    <s v="Customer 083"/>
    <x v="0"/>
    <x v="0"/>
    <x v="7"/>
    <x v="7"/>
    <n v="193005"/>
    <x v="4"/>
    <x v="27"/>
    <x v="0"/>
    <x v="9"/>
    <x v="695"/>
    <n v="228.62"/>
    <n v="5"/>
    <n v="0.3"/>
    <n v="-22.52"/>
  </r>
  <r>
    <n v="1080"/>
    <x v="1079"/>
    <x v="551"/>
    <d v="2024-06-11T00:00:00"/>
    <x v="2"/>
    <s v="CUST-1001"/>
    <s v="Customer 383"/>
    <x v="2"/>
    <x v="0"/>
    <x v="4"/>
    <x v="4"/>
    <n v="993242"/>
    <x v="3"/>
    <x v="317"/>
    <x v="0"/>
    <x v="0"/>
    <x v="114"/>
    <n v="586.88"/>
    <n v="4"/>
    <n v="0.2"/>
    <n v="-74.17"/>
  </r>
  <r>
    <n v="1081"/>
    <x v="1080"/>
    <x v="510"/>
    <d v="2024-08-17T00:00:00"/>
    <x v="0"/>
    <s v="CUST-1288"/>
    <s v="Customer 332"/>
    <x v="1"/>
    <x v="0"/>
    <x v="4"/>
    <x v="4"/>
    <n v="738412"/>
    <x v="3"/>
    <x v="612"/>
    <x v="1"/>
    <x v="1"/>
    <x v="696"/>
    <n v="84.75"/>
    <n v="2"/>
    <n v="0.1"/>
    <n v="18.88"/>
  </r>
  <r>
    <n v="1082"/>
    <x v="1081"/>
    <x v="499"/>
    <d v="2024-08-06T00:00:00"/>
    <x v="0"/>
    <s v="CUST-1170"/>
    <s v="Customer 021"/>
    <x v="0"/>
    <x v="0"/>
    <x v="3"/>
    <x v="3"/>
    <n v="814952"/>
    <x v="1"/>
    <x v="68"/>
    <x v="0"/>
    <x v="0"/>
    <x v="697"/>
    <n v="164.45"/>
    <n v="5"/>
    <n v="0.2"/>
    <n v="-47.02"/>
  </r>
  <r>
    <n v="1083"/>
    <x v="1082"/>
    <x v="482"/>
    <d v="2025-11-30T00:00:00"/>
    <x v="2"/>
    <s v="CUST-1145"/>
    <s v="Customer 333"/>
    <x v="2"/>
    <x v="0"/>
    <x v="3"/>
    <x v="3"/>
    <n v="161321"/>
    <x v="1"/>
    <x v="383"/>
    <x v="0"/>
    <x v="6"/>
    <x v="698"/>
    <n v="144.31"/>
    <n v="7"/>
    <n v="0.15"/>
    <n v="-10.35"/>
  </r>
  <r>
    <n v="1084"/>
    <x v="1083"/>
    <x v="93"/>
    <d v="2024-01-18T00:00:00"/>
    <x v="3"/>
    <s v="CUST-1299"/>
    <s v="Customer 028"/>
    <x v="1"/>
    <x v="0"/>
    <x v="8"/>
    <x v="8"/>
    <n v="459282"/>
    <x v="3"/>
    <x v="389"/>
    <x v="2"/>
    <x v="11"/>
    <x v="153"/>
    <n v="433.14"/>
    <n v="6"/>
    <n v="0.1"/>
    <n v="-48.46"/>
  </r>
  <r>
    <n v="1085"/>
    <x v="1084"/>
    <x v="92"/>
    <d v="2024-06-08T00:00:00"/>
    <x v="0"/>
    <s v="CUST-1149"/>
    <s v="Customer 376"/>
    <x v="2"/>
    <x v="0"/>
    <x v="8"/>
    <x v="8"/>
    <n v="288996"/>
    <x v="3"/>
    <x v="69"/>
    <x v="0"/>
    <x v="10"/>
    <x v="699"/>
    <n v="136.78"/>
    <n v="9"/>
    <n v="0.05"/>
    <n v="-26.69"/>
  </r>
  <r>
    <n v="1086"/>
    <x v="1085"/>
    <x v="97"/>
    <d v="2025-10-12T00:00:00"/>
    <x v="3"/>
    <s v="CUST-1350"/>
    <s v="Customer 195"/>
    <x v="0"/>
    <x v="0"/>
    <x v="9"/>
    <x v="9"/>
    <n v="932961"/>
    <x v="2"/>
    <x v="554"/>
    <x v="1"/>
    <x v="8"/>
    <x v="620"/>
    <n v="65.64"/>
    <n v="5"/>
    <n v="0.2"/>
    <n v="37.270000000000003"/>
  </r>
  <r>
    <n v="1087"/>
    <x v="1086"/>
    <x v="531"/>
    <d v="2024-09-21T00:00:00"/>
    <x v="1"/>
    <s v="CUST-1364"/>
    <s v="Customer 016"/>
    <x v="2"/>
    <x v="0"/>
    <x v="9"/>
    <x v="9"/>
    <n v="759650"/>
    <x v="2"/>
    <x v="54"/>
    <x v="1"/>
    <x v="7"/>
    <x v="700"/>
    <n v="35.200000000000003"/>
    <n v="1"/>
    <n v="0.1"/>
    <n v="22.74"/>
  </r>
  <r>
    <n v="1088"/>
    <x v="1087"/>
    <x v="92"/>
    <d v="2024-06-08T00:00:00"/>
    <x v="0"/>
    <s v="CUST-1004"/>
    <s v="Customer 145"/>
    <x v="2"/>
    <x v="0"/>
    <x v="1"/>
    <x v="1"/>
    <n v="542957"/>
    <x v="1"/>
    <x v="613"/>
    <x v="1"/>
    <x v="2"/>
    <x v="701"/>
    <n v="145.12"/>
    <n v="9"/>
    <n v="0.05"/>
    <n v="43.25"/>
  </r>
  <r>
    <n v="1089"/>
    <x v="1088"/>
    <x v="303"/>
    <d v="2024-02-20T00:00:00"/>
    <x v="0"/>
    <s v="CUST-1226"/>
    <s v="Customer 236"/>
    <x v="1"/>
    <x v="0"/>
    <x v="9"/>
    <x v="9"/>
    <n v="581072"/>
    <x v="2"/>
    <x v="339"/>
    <x v="1"/>
    <x v="7"/>
    <x v="669"/>
    <n v="117.05"/>
    <n v="1"/>
    <n v="0.05"/>
    <n v="-23.93"/>
  </r>
  <r>
    <n v="1090"/>
    <x v="1089"/>
    <x v="552"/>
    <d v="2024-11-22T00:00:00"/>
    <x v="3"/>
    <s v="CUST-1295"/>
    <s v="Customer 211"/>
    <x v="2"/>
    <x v="0"/>
    <x v="6"/>
    <x v="6"/>
    <n v="687283"/>
    <x v="2"/>
    <x v="432"/>
    <x v="0"/>
    <x v="6"/>
    <x v="293"/>
    <n v="93.88"/>
    <n v="7"/>
    <n v="0.1"/>
    <n v="-3.42"/>
  </r>
  <r>
    <n v="1091"/>
    <x v="1090"/>
    <x v="284"/>
    <d v="2025-11-16T00:00:00"/>
    <x v="3"/>
    <s v="CUST-1281"/>
    <s v="Customer 335"/>
    <x v="1"/>
    <x v="0"/>
    <x v="3"/>
    <x v="3"/>
    <n v="552827"/>
    <x v="1"/>
    <x v="167"/>
    <x v="0"/>
    <x v="0"/>
    <x v="702"/>
    <n v="72.66"/>
    <n v="8"/>
    <n v="0.1"/>
    <n v="30.35"/>
  </r>
  <r>
    <n v="1092"/>
    <x v="1091"/>
    <x v="184"/>
    <d v="2024-05-10T00:00:00"/>
    <x v="2"/>
    <s v="CUST-1351"/>
    <s v="Customer 339"/>
    <x v="1"/>
    <x v="0"/>
    <x v="5"/>
    <x v="5"/>
    <n v="675883"/>
    <x v="0"/>
    <x v="614"/>
    <x v="2"/>
    <x v="11"/>
    <x v="645"/>
    <n v="228.43"/>
    <n v="3"/>
    <n v="0.15"/>
    <n v="-4.5"/>
  </r>
  <r>
    <n v="1093"/>
    <x v="1092"/>
    <x v="163"/>
    <d v="2025-02-15T00:00:00"/>
    <x v="3"/>
    <s v="CUST-1310"/>
    <s v="Customer 168"/>
    <x v="1"/>
    <x v="0"/>
    <x v="6"/>
    <x v="6"/>
    <n v="881345"/>
    <x v="2"/>
    <x v="408"/>
    <x v="0"/>
    <x v="0"/>
    <x v="119"/>
    <n v="109.77"/>
    <n v="8"/>
    <n v="0.05"/>
    <n v="3.39"/>
  </r>
  <r>
    <n v="1094"/>
    <x v="1093"/>
    <x v="462"/>
    <d v="2024-04-07T00:00:00"/>
    <x v="0"/>
    <s v="CUST-1142"/>
    <s v="Customer 097"/>
    <x v="2"/>
    <x v="0"/>
    <x v="2"/>
    <x v="2"/>
    <n v="491568"/>
    <x v="2"/>
    <x v="179"/>
    <x v="0"/>
    <x v="10"/>
    <x v="430"/>
    <n v="267.33"/>
    <n v="6"/>
    <n v="0.2"/>
    <n v="-41.39"/>
  </r>
  <r>
    <n v="1095"/>
    <x v="1094"/>
    <x v="553"/>
    <d v="2025-09-23T00:00:00"/>
    <x v="2"/>
    <s v="CUST-1077"/>
    <s v="Customer 324"/>
    <x v="2"/>
    <x v="0"/>
    <x v="4"/>
    <x v="4"/>
    <n v="128604"/>
    <x v="3"/>
    <x v="614"/>
    <x v="1"/>
    <x v="1"/>
    <x v="703"/>
    <n v="244.02"/>
    <n v="9"/>
    <n v="0.3"/>
    <n v="5.99"/>
  </r>
  <r>
    <n v="1096"/>
    <x v="1095"/>
    <x v="554"/>
    <d v="2024-10-23T00:00:00"/>
    <x v="3"/>
    <s v="CUST-1157"/>
    <s v="Customer 146"/>
    <x v="1"/>
    <x v="0"/>
    <x v="9"/>
    <x v="9"/>
    <n v="159668"/>
    <x v="2"/>
    <x v="43"/>
    <x v="0"/>
    <x v="0"/>
    <x v="367"/>
    <n v="378.51"/>
    <n v="6"/>
    <n v="0.1"/>
    <n v="25"/>
  </r>
  <r>
    <n v="1097"/>
    <x v="1096"/>
    <x v="157"/>
    <d v="2024-10-12T00:00:00"/>
    <x v="0"/>
    <s v="CUST-1019"/>
    <s v="Customer 064"/>
    <x v="2"/>
    <x v="0"/>
    <x v="4"/>
    <x v="4"/>
    <n v="601328"/>
    <x v="3"/>
    <x v="615"/>
    <x v="0"/>
    <x v="10"/>
    <x v="176"/>
    <n v="86.78"/>
    <n v="4"/>
    <n v="0.05"/>
    <n v="5.41"/>
  </r>
  <r>
    <n v="1098"/>
    <x v="1097"/>
    <x v="330"/>
    <d v="2024-03-13T00:00:00"/>
    <x v="3"/>
    <s v="CUST-1084"/>
    <s v="Customer 390"/>
    <x v="0"/>
    <x v="0"/>
    <x v="7"/>
    <x v="7"/>
    <n v="641620"/>
    <x v="4"/>
    <x v="433"/>
    <x v="0"/>
    <x v="0"/>
    <x v="367"/>
    <n v="330.19"/>
    <n v="7"/>
    <n v="0.05"/>
    <n v="-16.399999999999999"/>
  </r>
  <r>
    <n v="1099"/>
    <x v="1098"/>
    <x v="203"/>
    <d v="2025-10-23T00:00:00"/>
    <x v="1"/>
    <s v="CUST-1196"/>
    <s v="Customer 262"/>
    <x v="0"/>
    <x v="0"/>
    <x v="1"/>
    <x v="1"/>
    <n v="134370"/>
    <x v="1"/>
    <x v="616"/>
    <x v="1"/>
    <x v="8"/>
    <x v="704"/>
    <n v="222.79"/>
    <n v="2"/>
    <n v="0.3"/>
    <n v="3.81"/>
  </r>
  <r>
    <n v="1100"/>
    <x v="1099"/>
    <x v="555"/>
    <d v="2024-01-15T00:00:00"/>
    <x v="0"/>
    <s v="CUST-1217"/>
    <s v="Customer 284"/>
    <x v="1"/>
    <x v="0"/>
    <x v="7"/>
    <x v="7"/>
    <n v="271481"/>
    <x v="4"/>
    <x v="403"/>
    <x v="1"/>
    <x v="2"/>
    <x v="705"/>
    <n v="108.96"/>
    <n v="5"/>
    <n v="0.2"/>
    <n v="-0.01"/>
  </r>
  <r>
    <n v="1101"/>
    <x v="1100"/>
    <x v="218"/>
    <d v="2024-09-16T00:00:00"/>
    <x v="3"/>
    <s v="CUST-1366"/>
    <s v="Customer 076"/>
    <x v="2"/>
    <x v="0"/>
    <x v="1"/>
    <x v="1"/>
    <n v="666687"/>
    <x v="1"/>
    <x v="373"/>
    <x v="2"/>
    <x v="3"/>
    <x v="706"/>
    <n v="198.17"/>
    <n v="9"/>
    <n v="0.1"/>
    <n v="42.7"/>
  </r>
  <r>
    <n v="1102"/>
    <x v="1101"/>
    <x v="530"/>
    <d v="2025-07-07T00:00:00"/>
    <x v="3"/>
    <s v="CUST-1101"/>
    <s v="Customer 291"/>
    <x v="1"/>
    <x v="0"/>
    <x v="8"/>
    <x v="8"/>
    <n v="310121"/>
    <x v="3"/>
    <x v="37"/>
    <x v="0"/>
    <x v="6"/>
    <x v="687"/>
    <n v="83.97"/>
    <n v="8"/>
    <n v="0.1"/>
    <n v="15.9"/>
  </r>
  <r>
    <n v="1103"/>
    <x v="1102"/>
    <x v="422"/>
    <d v="2024-05-15T00:00:00"/>
    <x v="0"/>
    <s v="CUST-1066"/>
    <s v="Customer 347"/>
    <x v="0"/>
    <x v="0"/>
    <x v="4"/>
    <x v="4"/>
    <n v="923509"/>
    <x v="3"/>
    <x v="449"/>
    <x v="1"/>
    <x v="7"/>
    <x v="707"/>
    <n v="104.06"/>
    <n v="6"/>
    <n v="0"/>
    <n v="58.55"/>
  </r>
  <r>
    <n v="1104"/>
    <x v="1103"/>
    <x v="556"/>
    <d v="2025-12-16T00:00:00"/>
    <x v="3"/>
    <s v="CUST-1074"/>
    <s v="Customer 241"/>
    <x v="0"/>
    <x v="0"/>
    <x v="1"/>
    <x v="1"/>
    <n v="805576"/>
    <x v="1"/>
    <x v="45"/>
    <x v="0"/>
    <x v="9"/>
    <x v="708"/>
    <n v="216.83"/>
    <n v="1"/>
    <n v="0.3"/>
    <n v="-3.34"/>
  </r>
  <r>
    <n v="1105"/>
    <x v="1104"/>
    <x v="337"/>
    <d v="2024-01-26T00:00:00"/>
    <x v="0"/>
    <s v="CUST-1234"/>
    <s v="Customer 325"/>
    <x v="2"/>
    <x v="0"/>
    <x v="0"/>
    <x v="0"/>
    <n v="263396"/>
    <x v="0"/>
    <x v="307"/>
    <x v="2"/>
    <x v="4"/>
    <x v="191"/>
    <n v="100.99"/>
    <n v="1"/>
    <n v="0.1"/>
    <n v="21.65"/>
  </r>
  <r>
    <n v="1106"/>
    <x v="1105"/>
    <x v="53"/>
    <d v="2024-12-13T00:00:00"/>
    <x v="3"/>
    <s v="CUST-1160"/>
    <s v="Customer 233"/>
    <x v="0"/>
    <x v="0"/>
    <x v="6"/>
    <x v="6"/>
    <n v="712114"/>
    <x v="2"/>
    <x v="617"/>
    <x v="1"/>
    <x v="2"/>
    <x v="413"/>
    <n v="120.8"/>
    <n v="4"/>
    <n v="0.1"/>
    <n v="22.29"/>
  </r>
  <r>
    <n v="1107"/>
    <x v="1106"/>
    <x v="263"/>
    <d v="2024-10-31T00:00:00"/>
    <x v="3"/>
    <s v="CUST-1065"/>
    <s v="Customer 257"/>
    <x v="0"/>
    <x v="0"/>
    <x v="1"/>
    <x v="1"/>
    <n v="590899"/>
    <x v="1"/>
    <x v="41"/>
    <x v="1"/>
    <x v="2"/>
    <x v="709"/>
    <n v="105.2"/>
    <n v="3"/>
    <n v="0.2"/>
    <n v="-18.02"/>
  </r>
  <r>
    <n v="1108"/>
    <x v="1107"/>
    <x v="505"/>
    <d v="2024-12-31T00:00:00"/>
    <x v="0"/>
    <s v="CUST-1067"/>
    <s v="Customer 107"/>
    <x v="0"/>
    <x v="0"/>
    <x v="1"/>
    <x v="1"/>
    <n v="783206"/>
    <x v="1"/>
    <x v="219"/>
    <x v="2"/>
    <x v="5"/>
    <x v="710"/>
    <n v="334.82"/>
    <n v="4"/>
    <n v="0.3"/>
    <n v="-0.54"/>
  </r>
  <r>
    <n v="1109"/>
    <x v="1108"/>
    <x v="378"/>
    <d v="2025-02-01T00:00:00"/>
    <x v="2"/>
    <s v="CUST-1159"/>
    <s v="Customer 173"/>
    <x v="2"/>
    <x v="0"/>
    <x v="6"/>
    <x v="6"/>
    <n v="377961"/>
    <x v="2"/>
    <x v="618"/>
    <x v="1"/>
    <x v="1"/>
    <x v="285"/>
    <n v="66.33"/>
    <n v="1"/>
    <n v="0.15"/>
    <n v="-14.15"/>
  </r>
  <r>
    <n v="1110"/>
    <x v="1109"/>
    <x v="126"/>
    <d v="2024-08-09T00:00:00"/>
    <x v="0"/>
    <s v="CUST-1137"/>
    <s v="Customer 270"/>
    <x v="0"/>
    <x v="0"/>
    <x v="4"/>
    <x v="4"/>
    <n v="144067"/>
    <x v="3"/>
    <x v="498"/>
    <x v="1"/>
    <x v="1"/>
    <x v="118"/>
    <n v="83.08"/>
    <n v="1"/>
    <n v="0"/>
    <n v="-43.99"/>
  </r>
  <r>
    <n v="1111"/>
    <x v="1110"/>
    <x v="557"/>
    <d v="2024-05-23T00:00:00"/>
    <x v="2"/>
    <s v="CUST-1349"/>
    <s v="Customer 340"/>
    <x v="1"/>
    <x v="0"/>
    <x v="4"/>
    <x v="4"/>
    <n v="295985"/>
    <x v="3"/>
    <x v="133"/>
    <x v="0"/>
    <x v="0"/>
    <x v="253"/>
    <n v="628.98"/>
    <n v="9"/>
    <n v="0.15"/>
    <n v="-8.16"/>
  </r>
  <r>
    <n v="1112"/>
    <x v="1111"/>
    <x v="540"/>
    <d v="2025-09-10T00:00:00"/>
    <x v="0"/>
    <s v="CUST-1117"/>
    <s v="Customer 282"/>
    <x v="1"/>
    <x v="0"/>
    <x v="6"/>
    <x v="6"/>
    <n v="746868"/>
    <x v="2"/>
    <x v="1"/>
    <x v="1"/>
    <x v="7"/>
    <x v="387"/>
    <n v="314.61"/>
    <n v="6"/>
    <n v="0.15"/>
    <n v="-9.09"/>
  </r>
  <r>
    <n v="1113"/>
    <x v="1112"/>
    <x v="558"/>
    <d v="2024-07-31T00:00:00"/>
    <x v="1"/>
    <s v="CUST-1386"/>
    <s v="Customer 285"/>
    <x v="1"/>
    <x v="0"/>
    <x v="7"/>
    <x v="7"/>
    <n v="471007"/>
    <x v="4"/>
    <x v="389"/>
    <x v="1"/>
    <x v="2"/>
    <x v="192"/>
    <n v="51.1"/>
    <n v="5"/>
    <n v="0.05"/>
    <n v="6.46"/>
  </r>
  <r>
    <n v="1114"/>
    <x v="1113"/>
    <x v="504"/>
    <d v="2025-09-19T00:00:00"/>
    <x v="0"/>
    <s v="CUST-1085"/>
    <s v="Customer 285"/>
    <x v="1"/>
    <x v="0"/>
    <x v="0"/>
    <x v="0"/>
    <n v="829692"/>
    <x v="0"/>
    <x v="312"/>
    <x v="1"/>
    <x v="7"/>
    <x v="711"/>
    <n v="105.36"/>
    <n v="1"/>
    <n v="0.2"/>
    <n v="-6.71"/>
  </r>
  <r>
    <n v="1115"/>
    <x v="1114"/>
    <x v="540"/>
    <d v="2025-09-09T00:00:00"/>
    <x v="0"/>
    <s v="CUST-1255"/>
    <s v="Customer 223"/>
    <x v="2"/>
    <x v="0"/>
    <x v="5"/>
    <x v="5"/>
    <n v="484691"/>
    <x v="0"/>
    <x v="586"/>
    <x v="1"/>
    <x v="8"/>
    <x v="545"/>
    <n v="43.04"/>
    <n v="5"/>
    <n v="0.1"/>
    <n v="-7.96"/>
  </r>
  <r>
    <n v="1116"/>
    <x v="1115"/>
    <x v="559"/>
    <d v="2025-11-18T00:00:00"/>
    <x v="0"/>
    <s v="CUST-1391"/>
    <s v="Customer 243"/>
    <x v="1"/>
    <x v="0"/>
    <x v="2"/>
    <x v="2"/>
    <n v="763110"/>
    <x v="2"/>
    <x v="352"/>
    <x v="2"/>
    <x v="5"/>
    <x v="138"/>
    <n v="670.22"/>
    <n v="7"/>
    <n v="0.15"/>
    <n v="73.78"/>
  </r>
  <r>
    <n v="1117"/>
    <x v="1116"/>
    <x v="27"/>
    <d v="2025-04-10T00:00:00"/>
    <x v="1"/>
    <s v="CUST-1011"/>
    <s v="Customer 166"/>
    <x v="0"/>
    <x v="0"/>
    <x v="0"/>
    <x v="0"/>
    <n v="669489"/>
    <x v="0"/>
    <x v="619"/>
    <x v="2"/>
    <x v="4"/>
    <x v="318"/>
    <n v="230.72"/>
    <n v="2"/>
    <n v="0.2"/>
    <n v="53.01"/>
  </r>
  <r>
    <n v="1118"/>
    <x v="1117"/>
    <x v="560"/>
    <d v="2024-12-25T00:00:00"/>
    <x v="1"/>
    <s v="CUST-1141"/>
    <s v="Customer 385"/>
    <x v="2"/>
    <x v="0"/>
    <x v="4"/>
    <x v="4"/>
    <n v="662912"/>
    <x v="3"/>
    <x v="541"/>
    <x v="0"/>
    <x v="9"/>
    <x v="712"/>
    <n v="667.67"/>
    <n v="6"/>
    <n v="0.1"/>
    <n v="64.739999999999995"/>
  </r>
  <r>
    <n v="1119"/>
    <x v="1118"/>
    <x v="552"/>
    <d v="2024-11-22T00:00:00"/>
    <x v="1"/>
    <s v="CUST-1017"/>
    <s v="Customer 355"/>
    <x v="2"/>
    <x v="0"/>
    <x v="5"/>
    <x v="5"/>
    <n v="303154"/>
    <x v="0"/>
    <x v="620"/>
    <x v="2"/>
    <x v="4"/>
    <x v="713"/>
    <n v="164.92"/>
    <n v="6"/>
    <n v="0.2"/>
    <n v="36.659999999999997"/>
  </r>
  <r>
    <n v="1120"/>
    <x v="1119"/>
    <x v="391"/>
    <d v="2024-05-15T00:00:00"/>
    <x v="3"/>
    <s v="CUST-1318"/>
    <s v="Customer 128"/>
    <x v="0"/>
    <x v="0"/>
    <x v="8"/>
    <x v="8"/>
    <n v="528665"/>
    <x v="3"/>
    <x v="621"/>
    <x v="0"/>
    <x v="6"/>
    <x v="714"/>
    <n v="78.75"/>
    <n v="2"/>
    <n v="0.4"/>
    <n v="-38.409999999999997"/>
  </r>
  <r>
    <n v="1121"/>
    <x v="1120"/>
    <x v="313"/>
    <d v="2024-05-08T00:00:00"/>
    <x v="3"/>
    <s v="CUST-1134"/>
    <s v="Customer 233"/>
    <x v="2"/>
    <x v="0"/>
    <x v="9"/>
    <x v="9"/>
    <n v="858849"/>
    <x v="2"/>
    <x v="416"/>
    <x v="1"/>
    <x v="7"/>
    <x v="426"/>
    <n v="46.79"/>
    <n v="5"/>
    <n v="0.05"/>
    <n v="8.3000000000000007"/>
  </r>
  <r>
    <n v="1122"/>
    <x v="1121"/>
    <x v="68"/>
    <d v="2024-04-16T00:00:00"/>
    <x v="0"/>
    <s v="CUST-1266"/>
    <s v="Customer 278"/>
    <x v="0"/>
    <x v="0"/>
    <x v="1"/>
    <x v="1"/>
    <n v="160796"/>
    <x v="1"/>
    <x v="249"/>
    <x v="1"/>
    <x v="2"/>
    <x v="668"/>
    <n v="94.89"/>
    <n v="2"/>
    <n v="0.4"/>
    <n v="-40.049999999999997"/>
  </r>
  <r>
    <n v="1123"/>
    <x v="1122"/>
    <x v="309"/>
    <d v="2025-08-29T00:00:00"/>
    <x v="3"/>
    <s v="CUST-1284"/>
    <s v="Customer 164"/>
    <x v="2"/>
    <x v="0"/>
    <x v="6"/>
    <x v="6"/>
    <n v="493576"/>
    <x v="2"/>
    <x v="618"/>
    <x v="1"/>
    <x v="2"/>
    <x v="162"/>
    <n v="319.88"/>
    <n v="8"/>
    <n v="0.15"/>
    <n v="47.91"/>
  </r>
  <r>
    <n v="1124"/>
    <x v="1123"/>
    <x v="561"/>
    <d v="2025-01-14T00:00:00"/>
    <x v="1"/>
    <s v="CUST-1153"/>
    <s v="Customer 053"/>
    <x v="1"/>
    <x v="0"/>
    <x v="6"/>
    <x v="6"/>
    <n v="614879"/>
    <x v="2"/>
    <x v="166"/>
    <x v="1"/>
    <x v="2"/>
    <x v="3"/>
    <n v="41.1"/>
    <n v="3"/>
    <n v="0.3"/>
    <n v="3.74"/>
  </r>
  <r>
    <n v="1125"/>
    <x v="1124"/>
    <x v="292"/>
    <d v="2024-02-25T00:00:00"/>
    <x v="3"/>
    <s v="CUST-1042"/>
    <s v="Customer 352"/>
    <x v="0"/>
    <x v="0"/>
    <x v="1"/>
    <x v="1"/>
    <n v="639700"/>
    <x v="1"/>
    <x v="372"/>
    <x v="1"/>
    <x v="7"/>
    <x v="454"/>
    <n v="61.44"/>
    <n v="4"/>
    <n v="0.2"/>
    <n v="-19.37"/>
  </r>
  <r>
    <n v="1126"/>
    <x v="1125"/>
    <x v="402"/>
    <d v="2024-01-30T00:00:00"/>
    <x v="1"/>
    <s v="CUST-1261"/>
    <s v="Customer 379"/>
    <x v="2"/>
    <x v="0"/>
    <x v="9"/>
    <x v="9"/>
    <n v="218222"/>
    <x v="2"/>
    <x v="102"/>
    <x v="0"/>
    <x v="10"/>
    <x v="715"/>
    <n v="472.13"/>
    <n v="3"/>
    <n v="0.15"/>
    <n v="-33.99"/>
  </r>
  <r>
    <n v="1127"/>
    <x v="1126"/>
    <x v="78"/>
    <d v="2025-04-08T00:00:00"/>
    <x v="2"/>
    <s v="CUST-1354"/>
    <s v="Customer 309"/>
    <x v="0"/>
    <x v="0"/>
    <x v="2"/>
    <x v="2"/>
    <n v="248044"/>
    <x v="2"/>
    <x v="622"/>
    <x v="2"/>
    <x v="5"/>
    <x v="12"/>
    <n v="235.2"/>
    <n v="5"/>
    <n v="0.2"/>
    <n v="31.45"/>
  </r>
  <r>
    <n v="1128"/>
    <x v="1127"/>
    <x v="82"/>
    <d v="2024-10-25T00:00:00"/>
    <x v="2"/>
    <s v="CUST-1046"/>
    <s v="Customer 005"/>
    <x v="1"/>
    <x v="0"/>
    <x v="9"/>
    <x v="9"/>
    <n v="409203"/>
    <x v="2"/>
    <x v="29"/>
    <x v="0"/>
    <x v="9"/>
    <x v="716"/>
    <n v="104.95"/>
    <n v="2"/>
    <n v="0.3"/>
    <n v="29.61"/>
  </r>
  <r>
    <n v="1129"/>
    <x v="1128"/>
    <x v="562"/>
    <d v="2024-10-25T00:00:00"/>
    <x v="3"/>
    <s v="CUST-1357"/>
    <s v="Customer 020"/>
    <x v="0"/>
    <x v="0"/>
    <x v="5"/>
    <x v="5"/>
    <n v="681845"/>
    <x v="0"/>
    <x v="74"/>
    <x v="1"/>
    <x v="8"/>
    <x v="14"/>
    <n v="44.58"/>
    <n v="9"/>
    <n v="0.15"/>
    <n v="-9.9700000000000006"/>
  </r>
  <r>
    <n v="1130"/>
    <x v="1129"/>
    <x v="121"/>
    <d v="2025-12-29T00:00:00"/>
    <x v="3"/>
    <s v="CUST-1009"/>
    <s v="Customer 149"/>
    <x v="1"/>
    <x v="0"/>
    <x v="9"/>
    <x v="9"/>
    <n v="386881"/>
    <x v="2"/>
    <x v="433"/>
    <x v="0"/>
    <x v="0"/>
    <x v="164"/>
    <n v="185.56"/>
    <n v="2"/>
    <n v="0.1"/>
    <n v="-48.2"/>
  </r>
  <r>
    <n v="1131"/>
    <x v="1130"/>
    <x v="116"/>
    <d v="2025-02-15T00:00:00"/>
    <x v="3"/>
    <s v="CUST-1248"/>
    <s v="Customer 329"/>
    <x v="2"/>
    <x v="0"/>
    <x v="5"/>
    <x v="5"/>
    <n v="209844"/>
    <x v="0"/>
    <x v="623"/>
    <x v="1"/>
    <x v="2"/>
    <x v="325"/>
    <n v="237.07"/>
    <n v="1"/>
    <n v="0.2"/>
    <n v="22.88"/>
  </r>
  <r>
    <n v="1132"/>
    <x v="1131"/>
    <x v="123"/>
    <d v="2025-09-09T00:00:00"/>
    <x v="0"/>
    <s v="CUST-1324"/>
    <s v="Customer 111"/>
    <x v="0"/>
    <x v="0"/>
    <x v="9"/>
    <x v="9"/>
    <n v="339066"/>
    <x v="2"/>
    <x v="624"/>
    <x v="2"/>
    <x v="11"/>
    <x v="173"/>
    <n v="172.06"/>
    <n v="1"/>
    <n v="0.2"/>
    <n v="38.619999999999997"/>
  </r>
  <r>
    <n v="1133"/>
    <x v="1132"/>
    <x v="451"/>
    <d v="2025-02-09T00:00:00"/>
    <x v="1"/>
    <s v="CUST-1239"/>
    <s v="Customer 226"/>
    <x v="1"/>
    <x v="0"/>
    <x v="2"/>
    <x v="2"/>
    <n v="190159"/>
    <x v="2"/>
    <x v="181"/>
    <x v="1"/>
    <x v="7"/>
    <x v="31"/>
    <n v="54.98"/>
    <n v="4"/>
    <n v="0.2"/>
    <n v="-29.32"/>
  </r>
  <r>
    <n v="1134"/>
    <x v="1133"/>
    <x v="53"/>
    <d v="2024-12-13T00:00:00"/>
    <x v="1"/>
    <s v="CUST-1323"/>
    <s v="Customer 089"/>
    <x v="2"/>
    <x v="0"/>
    <x v="2"/>
    <x v="2"/>
    <n v="471021"/>
    <x v="2"/>
    <x v="70"/>
    <x v="1"/>
    <x v="1"/>
    <x v="314"/>
    <n v="46.01"/>
    <n v="1"/>
    <n v="0"/>
    <n v="20.8"/>
  </r>
  <r>
    <n v="1135"/>
    <x v="1134"/>
    <x v="563"/>
    <d v="2025-09-18T00:00:00"/>
    <x v="1"/>
    <s v="CUST-1133"/>
    <s v="Customer 220"/>
    <x v="0"/>
    <x v="0"/>
    <x v="4"/>
    <x v="4"/>
    <n v="444165"/>
    <x v="3"/>
    <x v="417"/>
    <x v="1"/>
    <x v="7"/>
    <x v="59"/>
    <n v="38.46"/>
    <n v="7"/>
    <n v="0.05"/>
    <n v="42.4"/>
  </r>
  <r>
    <n v="1136"/>
    <x v="1135"/>
    <x v="231"/>
    <d v="2025-02-26T00:00:00"/>
    <x v="0"/>
    <s v="CUST-1229"/>
    <s v="Customer 137"/>
    <x v="0"/>
    <x v="0"/>
    <x v="1"/>
    <x v="1"/>
    <n v="391288"/>
    <x v="1"/>
    <x v="625"/>
    <x v="1"/>
    <x v="8"/>
    <x v="717"/>
    <n v="38.200000000000003"/>
    <n v="2"/>
    <n v="0.3"/>
    <n v="13.34"/>
  </r>
  <r>
    <n v="1137"/>
    <x v="1136"/>
    <x v="411"/>
    <d v="2024-07-01T00:00:00"/>
    <x v="0"/>
    <s v="CUST-1247"/>
    <s v="Customer 103"/>
    <x v="0"/>
    <x v="0"/>
    <x v="2"/>
    <x v="2"/>
    <n v="138599"/>
    <x v="2"/>
    <x v="239"/>
    <x v="1"/>
    <x v="7"/>
    <x v="718"/>
    <n v="47.41"/>
    <n v="7"/>
    <n v="0.1"/>
    <n v="44.88"/>
  </r>
  <r>
    <n v="1138"/>
    <x v="1137"/>
    <x v="419"/>
    <d v="2024-01-03T00:00:00"/>
    <x v="2"/>
    <s v="CUST-1351"/>
    <s v="Customer 326"/>
    <x v="1"/>
    <x v="0"/>
    <x v="5"/>
    <x v="5"/>
    <n v="232192"/>
    <x v="0"/>
    <x v="626"/>
    <x v="1"/>
    <x v="2"/>
    <x v="719"/>
    <n v="47.38"/>
    <n v="2"/>
    <n v="0.2"/>
    <n v="0.96"/>
  </r>
  <r>
    <n v="1139"/>
    <x v="1138"/>
    <x v="41"/>
    <d v="2025-07-22T00:00:00"/>
    <x v="0"/>
    <s v="CUST-1384"/>
    <s v="Customer 259"/>
    <x v="1"/>
    <x v="0"/>
    <x v="2"/>
    <x v="2"/>
    <n v="314480"/>
    <x v="2"/>
    <x v="498"/>
    <x v="1"/>
    <x v="8"/>
    <x v="71"/>
    <n v="127.59"/>
    <n v="9"/>
    <n v="0"/>
    <n v="14.58"/>
  </r>
  <r>
    <n v="1140"/>
    <x v="1139"/>
    <x v="564"/>
    <d v="2025-01-08T00:00:00"/>
    <x v="3"/>
    <s v="CUST-1116"/>
    <s v="Customer 207"/>
    <x v="2"/>
    <x v="0"/>
    <x v="4"/>
    <x v="4"/>
    <n v="363648"/>
    <x v="3"/>
    <x v="627"/>
    <x v="1"/>
    <x v="1"/>
    <x v="533"/>
    <n v="35.78"/>
    <n v="3"/>
    <n v="0.15"/>
    <n v="-6.23"/>
  </r>
  <r>
    <n v="1141"/>
    <x v="1140"/>
    <x v="565"/>
    <d v="2025-10-24T00:00:00"/>
    <x v="1"/>
    <s v="CUST-1254"/>
    <s v="Customer 009"/>
    <x v="0"/>
    <x v="0"/>
    <x v="6"/>
    <x v="6"/>
    <n v="867877"/>
    <x v="2"/>
    <x v="195"/>
    <x v="1"/>
    <x v="1"/>
    <x v="285"/>
    <n v="59.47"/>
    <n v="2"/>
    <n v="0.3"/>
    <n v="13.46"/>
  </r>
  <r>
    <n v="1142"/>
    <x v="1141"/>
    <x v="566"/>
    <d v="2025-03-10T00:00:00"/>
    <x v="1"/>
    <s v="CUST-1295"/>
    <s v="Customer 202"/>
    <x v="1"/>
    <x v="0"/>
    <x v="5"/>
    <x v="5"/>
    <n v="551758"/>
    <x v="0"/>
    <x v="462"/>
    <x v="2"/>
    <x v="5"/>
    <x v="475"/>
    <n v="647.1"/>
    <n v="6"/>
    <n v="0.05"/>
    <n v="83.76"/>
  </r>
  <r>
    <n v="1143"/>
    <x v="1142"/>
    <x v="19"/>
    <d v="2024-11-06T00:00:00"/>
    <x v="3"/>
    <s v="CUST-1173"/>
    <s v="Customer 330"/>
    <x v="0"/>
    <x v="0"/>
    <x v="4"/>
    <x v="4"/>
    <n v="758166"/>
    <x v="3"/>
    <x v="381"/>
    <x v="0"/>
    <x v="6"/>
    <x v="714"/>
    <n v="786.37"/>
    <n v="9"/>
    <n v="0.15"/>
    <n v="29.46"/>
  </r>
  <r>
    <n v="1144"/>
    <x v="1143"/>
    <x v="517"/>
    <d v="2024-05-21T00:00:00"/>
    <x v="0"/>
    <s v="CUST-1093"/>
    <s v="Customer 008"/>
    <x v="0"/>
    <x v="0"/>
    <x v="7"/>
    <x v="7"/>
    <n v="753570"/>
    <x v="4"/>
    <x v="594"/>
    <x v="0"/>
    <x v="6"/>
    <x v="528"/>
    <n v="446.48"/>
    <n v="6"/>
    <n v="0.15"/>
    <n v="-8.59"/>
  </r>
  <r>
    <n v="1145"/>
    <x v="1144"/>
    <x v="75"/>
    <d v="2024-07-24T00:00:00"/>
    <x v="0"/>
    <s v="CUST-1029"/>
    <s v="Customer 295"/>
    <x v="1"/>
    <x v="0"/>
    <x v="7"/>
    <x v="7"/>
    <n v="681690"/>
    <x v="4"/>
    <x v="628"/>
    <x v="0"/>
    <x v="10"/>
    <x v="278"/>
    <n v="52.39"/>
    <n v="6"/>
    <n v="0.1"/>
    <n v="-3.69"/>
  </r>
  <r>
    <n v="1146"/>
    <x v="1145"/>
    <x v="1"/>
    <d v="2025-03-17T00:00:00"/>
    <x v="3"/>
    <s v="CUST-1332"/>
    <s v="Customer 393"/>
    <x v="2"/>
    <x v="0"/>
    <x v="8"/>
    <x v="8"/>
    <n v="130568"/>
    <x v="3"/>
    <x v="629"/>
    <x v="0"/>
    <x v="10"/>
    <x v="28"/>
    <n v="167.98"/>
    <n v="4"/>
    <n v="0.15"/>
    <n v="22.25"/>
  </r>
  <r>
    <n v="1147"/>
    <x v="1146"/>
    <x v="567"/>
    <d v="2024-11-11T00:00:00"/>
    <x v="2"/>
    <s v="CUST-1126"/>
    <s v="Customer 169"/>
    <x v="1"/>
    <x v="0"/>
    <x v="9"/>
    <x v="9"/>
    <n v="275477"/>
    <x v="2"/>
    <x v="529"/>
    <x v="1"/>
    <x v="7"/>
    <x v="382"/>
    <n v="76.150000000000006"/>
    <n v="3"/>
    <n v="0.15"/>
    <n v="9.43"/>
  </r>
  <r>
    <n v="1148"/>
    <x v="1147"/>
    <x v="312"/>
    <d v="2024-05-02T00:00:00"/>
    <x v="0"/>
    <s v="CUST-1352"/>
    <s v="Customer 262"/>
    <x v="0"/>
    <x v="0"/>
    <x v="1"/>
    <x v="1"/>
    <n v="168590"/>
    <x v="1"/>
    <x v="517"/>
    <x v="1"/>
    <x v="8"/>
    <x v="720"/>
    <n v="145.22"/>
    <n v="4"/>
    <n v="0.1"/>
    <n v="-30.72"/>
  </r>
  <r>
    <n v="1149"/>
    <x v="1148"/>
    <x v="500"/>
    <d v="2025-10-31T00:00:00"/>
    <x v="2"/>
    <s v="CUST-1246"/>
    <s v="Customer 300"/>
    <x v="0"/>
    <x v="0"/>
    <x v="3"/>
    <x v="3"/>
    <n v="535128"/>
    <x v="1"/>
    <x v="7"/>
    <x v="1"/>
    <x v="7"/>
    <x v="477"/>
    <n v="80.06"/>
    <n v="9"/>
    <n v="0.2"/>
    <n v="5.59"/>
  </r>
  <r>
    <n v="1150"/>
    <x v="1149"/>
    <x v="133"/>
    <d v="2025-08-01T00:00:00"/>
    <x v="1"/>
    <s v="CUST-1265"/>
    <s v="Customer 378"/>
    <x v="1"/>
    <x v="0"/>
    <x v="0"/>
    <x v="0"/>
    <n v="682187"/>
    <x v="0"/>
    <x v="433"/>
    <x v="0"/>
    <x v="10"/>
    <x v="721"/>
    <n v="516.28"/>
    <n v="7"/>
    <n v="0.3"/>
    <n v="-67.95"/>
  </r>
  <r>
    <n v="1151"/>
    <x v="1150"/>
    <x v="42"/>
    <d v="2024-09-05T00:00:00"/>
    <x v="1"/>
    <s v="CUST-1011"/>
    <s v="Customer 050"/>
    <x v="2"/>
    <x v="0"/>
    <x v="4"/>
    <x v="4"/>
    <n v="320408"/>
    <x v="3"/>
    <x v="630"/>
    <x v="2"/>
    <x v="3"/>
    <x v="722"/>
    <n v="398.81"/>
    <n v="1"/>
    <n v="0.15"/>
    <n v="22.02"/>
  </r>
  <r>
    <n v="1152"/>
    <x v="1151"/>
    <x v="507"/>
    <d v="2025-06-23T00:00:00"/>
    <x v="1"/>
    <s v="CUST-1392"/>
    <s v="Customer 052"/>
    <x v="1"/>
    <x v="0"/>
    <x v="6"/>
    <x v="6"/>
    <n v="725782"/>
    <x v="2"/>
    <x v="631"/>
    <x v="2"/>
    <x v="3"/>
    <x v="592"/>
    <n v="469.55"/>
    <n v="2"/>
    <n v="0.3"/>
    <n v="-52.49"/>
  </r>
  <r>
    <n v="1153"/>
    <x v="1152"/>
    <x v="356"/>
    <d v="2025-08-25T00:00:00"/>
    <x v="3"/>
    <s v="CUST-1045"/>
    <s v="Customer 094"/>
    <x v="1"/>
    <x v="0"/>
    <x v="0"/>
    <x v="0"/>
    <n v="509180"/>
    <x v="0"/>
    <x v="440"/>
    <x v="0"/>
    <x v="6"/>
    <x v="723"/>
    <n v="407.17"/>
    <n v="5"/>
    <n v="0.1"/>
    <n v="17.899999999999999"/>
  </r>
  <r>
    <n v="1154"/>
    <x v="1153"/>
    <x v="361"/>
    <d v="2024-03-17T00:00:00"/>
    <x v="3"/>
    <s v="CUST-1152"/>
    <s v="Customer 239"/>
    <x v="2"/>
    <x v="0"/>
    <x v="6"/>
    <x v="6"/>
    <n v="335787"/>
    <x v="2"/>
    <x v="336"/>
    <x v="2"/>
    <x v="11"/>
    <x v="724"/>
    <n v="888.96"/>
    <n v="1"/>
    <n v="0.3"/>
    <n v="2.86"/>
  </r>
  <r>
    <n v="1155"/>
    <x v="1154"/>
    <x v="23"/>
    <d v="2025-01-26T00:00:00"/>
    <x v="1"/>
    <s v="CUST-1187"/>
    <s v="Customer 323"/>
    <x v="2"/>
    <x v="0"/>
    <x v="0"/>
    <x v="0"/>
    <n v="934385"/>
    <x v="0"/>
    <x v="394"/>
    <x v="2"/>
    <x v="11"/>
    <x v="420"/>
    <n v="617.48"/>
    <n v="8"/>
    <n v="0.1"/>
    <n v="50.16"/>
  </r>
  <r>
    <n v="1156"/>
    <x v="1155"/>
    <x v="558"/>
    <d v="2024-08-03T00:00:00"/>
    <x v="0"/>
    <s v="CUST-1046"/>
    <s v="Customer 199"/>
    <x v="2"/>
    <x v="0"/>
    <x v="4"/>
    <x v="4"/>
    <n v="312243"/>
    <x v="3"/>
    <x v="632"/>
    <x v="1"/>
    <x v="1"/>
    <x v="353"/>
    <n v="56.22"/>
    <n v="4"/>
    <n v="0.1"/>
    <n v="-27.09"/>
  </r>
  <r>
    <n v="1157"/>
    <x v="1156"/>
    <x v="32"/>
    <d v="2025-04-25T00:00:00"/>
    <x v="0"/>
    <s v="CUST-1045"/>
    <s v="Customer 168"/>
    <x v="2"/>
    <x v="0"/>
    <x v="3"/>
    <x v="3"/>
    <n v="848141"/>
    <x v="1"/>
    <x v="162"/>
    <x v="1"/>
    <x v="8"/>
    <x v="437"/>
    <n v="88.63"/>
    <n v="6"/>
    <n v="0.3"/>
    <n v="-28.1"/>
  </r>
  <r>
    <n v="1158"/>
    <x v="1157"/>
    <x v="357"/>
    <d v="2025-02-23T00:00:00"/>
    <x v="0"/>
    <s v="CUST-1231"/>
    <s v="Customer 186"/>
    <x v="1"/>
    <x v="0"/>
    <x v="0"/>
    <x v="0"/>
    <n v="330582"/>
    <x v="0"/>
    <x v="380"/>
    <x v="0"/>
    <x v="10"/>
    <x v="725"/>
    <n v="373.93"/>
    <n v="7"/>
    <n v="0.2"/>
    <n v="29.41"/>
  </r>
  <r>
    <n v="1159"/>
    <x v="1158"/>
    <x v="568"/>
    <d v="2024-12-14T00:00:00"/>
    <x v="1"/>
    <s v="CUST-1182"/>
    <s v="Customer 391"/>
    <x v="2"/>
    <x v="0"/>
    <x v="4"/>
    <x v="4"/>
    <n v="637476"/>
    <x v="3"/>
    <x v="145"/>
    <x v="2"/>
    <x v="5"/>
    <x v="726"/>
    <n v="901.55"/>
    <n v="1"/>
    <n v="0.15"/>
    <n v="60.22"/>
  </r>
  <r>
    <n v="1160"/>
    <x v="1159"/>
    <x v="569"/>
    <d v="2025-06-17T00:00:00"/>
    <x v="0"/>
    <s v="CUST-1060"/>
    <s v="Customer 166"/>
    <x v="0"/>
    <x v="0"/>
    <x v="2"/>
    <x v="2"/>
    <n v="251015"/>
    <x v="2"/>
    <x v="632"/>
    <x v="0"/>
    <x v="0"/>
    <x v="727"/>
    <n v="117.04"/>
    <n v="5"/>
    <n v="0.05"/>
    <n v="15.51"/>
  </r>
  <r>
    <n v="1161"/>
    <x v="1160"/>
    <x v="150"/>
    <d v="2025-10-03T00:00:00"/>
    <x v="1"/>
    <s v="CUST-1160"/>
    <s v="Customer 229"/>
    <x v="1"/>
    <x v="0"/>
    <x v="3"/>
    <x v="3"/>
    <n v="664312"/>
    <x v="1"/>
    <x v="503"/>
    <x v="2"/>
    <x v="5"/>
    <x v="138"/>
    <n v="230.34"/>
    <n v="2"/>
    <n v="0.15"/>
    <n v="17.22"/>
  </r>
  <r>
    <n v="1162"/>
    <x v="1161"/>
    <x v="544"/>
    <d v="2024-06-28T00:00:00"/>
    <x v="2"/>
    <s v="CUST-1250"/>
    <s v="Customer 386"/>
    <x v="0"/>
    <x v="0"/>
    <x v="5"/>
    <x v="5"/>
    <n v="133677"/>
    <x v="0"/>
    <x v="633"/>
    <x v="1"/>
    <x v="2"/>
    <x v="701"/>
    <n v="10.66"/>
    <n v="4"/>
    <n v="0"/>
    <n v="8.61"/>
  </r>
  <r>
    <n v="1163"/>
    <x v="1162"/>
    <x v="411"/>
    <d v="2024-07-04T00:00:00"/>
    <x v="0"/>
    <s v="CUST-1249"/>
    <s v="Customer 222"/>
    <x v="0"/>
    <x v="0"/>
    <x v="6"/>
    <x v="6"/>
    <n v="367401"/>
    <x v="2"/>
    <x v="634"/>
    <x v="0"/>
    <x v="0"/>
    <x v="299"/>
    <n v="139.52000000000001"/>
    <n v="3"/>
    <n v="0.3"/>
    <n v="-17.55"/>
  </r>
  <r>
    <n v="1164"/>
    <x v="1163"/>
    <x v="16"/>
    <d v="2025-10-29T00:00:00"/>
    <x v="3"/>
    <s v="CUST-1056"/>
    <s v="Customer 102"/>
    <x v="2"/>
    <x v="0"/>
    <x v="7"/>
    <x v="7"/>
    <n v="322172"/>
    <x v="4"/>
    <x v="635"/>
    <x v="0"/>
    <x v="9"/>
    <x v="728"/>
    <n v="333.34"/>
    <n v="2"/>
    <n v="0.2"/>
    <n v="-16.32"/>
  </r>
  <r>
    <n v="1165"/>
    <x v="1164"/>
    <x v="383"/>
    <d v="2024-01-28T00:00:00"/>
    <x v="2"/>
    <s v="CUST-1291"/>
    <s v="Customer 394"/>
    <x v="1"/>
    <x v="0"/>
    <x v="9"/>
    <x v="9"/>
    <n v="610452"/>
    <x v="2"/>
    <x v="83"/>
    <x v="0"/>
    <x v="9"/>
    <x v="729"/>
    <n v="64.41"/>
    <n v="3"/>
    <n v="0.15"/>
    <n v="-54.12"/>
  </r>
  <r>
    <n v="1166"/>
    <x v="1165"/>
    <x v="339"/>
    <d v="2024-07-01T00:00:00"/>
    <x v="1"/>
    <s v="CUST-1315"/>
    <s v="Customer 185"/>
    <x v="1"/>
    <x v="0"/>
    <x v="7"/>
    <x v="7"/>
    <n v="427716"/>
    <x v="4"/>
    <x v="397"/>
    <x v="2"/>
    <x v="11"/>
    <x v="133"/>
    <n v="190.89"/>
    <n v="4"/>
    <n v="0.15"/>
    <n v="46"/>
  </r>
  <r>
    <n v="1167"/>
    <x v="1166"/>
    <x v="162"/>
    <d v="2025-12-15T00:00:00"/>
    <x v="2"/>
    <s v="CUST-1387"/>
    <s v="Customer 188"/>
    <x v="1"/>
    <x v="0"/>
    <x v="3"/>
    <x v="3"/>
    <n v="484560"/>
    <x v="1"/>
    <x v="448"/>
    <x v="1"/>
    <x v="1"/>
    <x v="558"/>
    <n v="40.049999999999997"/>
    <n v="4"/>
    <n v="0.1"/>
    <n v="15.62"/>
  </r>
  <r>
    <n v="1168"/>
    <x v="1167"/>
    <x v="360"/>
    <d v="2025-05-16T00:00:00"/>
    <x v="1"/>
    <s v="CUST-1263"/>
    <s v="Customer 295"/>
    <x v="0"/>
    <x v="0"/>
    <x v="5"/>
    <x v="5"/>
    <n v="177354"/>
    <x v="0"/>
    <x v="62"/>
    <x v="1"/>
    <x v="1"/>
    <x v="32"/>
    <n v="33.340000000000003"/>
    <n v="2"/>
    <n v="0.1"/>
    <n v="24.84"/>
  </r>
  <r>
    <n v="1169"/>
    <x v="1168"/>
    <x v="26"/>
    <d v="2024-06-12T00:00:00"/>
    <x v="0"/>
    <s v="CUST-1175"/>
    <s v="Customer 116"/>
    <x v="0"/>
    <x v="0"/>
    <x v="6"/>
    <x v="6"/>
    <n v="358845"/>
    <x v="2"/>
    <x v="134"/>
    <x v="1"/>
    <x v="1"/>
    <x v="151"/>
    <n v="30.58"/>
    <n v="7"/>
    <n v="0.05"/>
    <n v="-18.32"/>
  </r>
  <r>
    <n v="1170"/>
    <x v="1169"/>
    <x v="377"/>
    <d v="2024-06-27T00:00:00"/>
    <x v="1"/>
    <s v="CUST-1392"/>
    <s v="Customer 009"/>
    <x v="2"/>
    <x v="0"/>
    <x v="5"/>
    <x v="5"/>
    <n v="523831"/>
    <x v="0"/>
    <x v="401"/>
    <x v="2"/>
    <x v="4"/>
    <x v="298"/>
    <n v="385.09"/>
    <n v="7"/>
    <n v="0.2"/>
    <n v="5.21"/>
  </r>
  <r>
    <n v="1171"/>
    <x v="1170"/>
    <x v="329"/>
    <d v="2024-10-13T00:00:00"/>
    <x v="3"/>
    <s v="CUST-1394"/>
    <s v="Customer 134"/>
    <x v="1"/>
    <x v="0"/>
    <x v="0"/>
    <x v="0"/>
    <n v="462022"/>
    <x v="0"/>
    <x v="489"/>
    <x v="0"/>
    <x v="10"/>
    <x v="730"/>
    <n v="341.91"/>
    <n v="9"/>
    <n v="0"/>
    <n v="27.26"/>
  </r>
  <r>
    <n v="1172"/>
    <x v="1171"/>
    <x v="99"/>
    <d v="2024-03-05T00:00:00"/>
    <x v="3"/>
    <s v="CUST-1289"/>
    <s v="Customer 076"/>
    <x v="1"/>
    <x v="0"/>
    <x v="6"/>
    <x v="6"/>
    <n v="976265"/>
    <x v="2"/>
    <x v="114"/>
    <x v="0"/>
    <x v="6"/>
    <x v="731"/>
    <n v="180.86"/>
    <n v="3"/>
    <n v="0.3"/>
    <n v="-20.69"/>
  </r>
  <r>
    <n v="1173"/>
    <x v="1172"/>
    <x v="18"/>
    <d v="2025-10-26T00:00:00"/>
    <x v="3"/>
    <s v="CUST-1119"/>
    <s v="Customer 225"/>
    <x v="1"/>
    <x v="0"/>
    <x v="0"/>
    <x v="0"/>
    <n v="951198"/>
    <x v="0"/>
    <x v="489"/>
    <x v="1"/>
    <x v="7"/>
    <x v="732"/>
    <n v="87.21"/>
    <n v="8"/>
    <n v="0"/>
    <n v="-10.119999999999999"/>
  </r>
  <r>
    <n v="1174"/>
    <x v="1173"/>
    <x v="500"/>
    <d v="2025-10-29T00:00:00"/>
    <x v="3"/>
    <s v="CUST-1084"/>
    <s v="Customer 284"/>
    <x v="1"/>
    <x v="0"/>
    <x v="4"/>
    <x v="4"/>
    <n v="875299"/>
    <x v="3"/>
    <x v="500"/>
    <x v="0"/>
    <x v="0"/>
    <x v="733"/>
    <n v="206.64"/>
    <n v="3"/>
    <n v="0.3"/>
    <n v="-35.82"/>
  </r>
  <r>
    <n v="1175"/>
    <x v="1174"/>
    <x v="570"/>
    <d v="2024-06-05T00:00:00"/>
    <x v="1"/>
    <s v="CUST-1382"/>
    <s v="Customer 366"/>
    <x v="0"/>
    <x v="0"/>
    <x v="3"/>
    <x v="3"/>
    <n v="746762"/>
    <x v="1"/>
    <x v="197"/>
    <x v="0"/>
    <x v="10"/>
    <x v="286"/>
    <n v="524.1"/>
    <n v="4"/>
    <n v="0.1"/>
    <n v="9.44"/>
  </r>
  <r>
    <n v="1176"/>
    <x v="1175"/>
    <x v="384"/>
    <d v="2025-04-17T00:00:00"/>
    <x v="0"/>
    <s v="CUST-1205"/>
    <s v="Customer 264"/>
    <x v="0"/>
    <x v="0"/>
    <x v="4"/>
    <x v="4"/>
    <n v="909818"/>
    <x v="3"/>
    <x v="449"/>
    <x v="1"/>
    <x v="2"/>
    <x v="252"/>
    <n v="49.95"/>
    <n v="4"/>
    <n v="0.05"/>
    <n v="45.46"/>
  </r>
  <r>
    <n v="1177"/>
    <x v="1176"/>
    <x v="256"/>
    <d v="2024-02-21T00:00:00"/>
    <x v="3"/>
    <s v="CUST-1103"/>
    <s v="Customer 015"/>
    <x v="1"/>
    <x v="0"/>
    <x v="8"/>
    <x v="8"/>
    <n v="310590"/>
    <x v="3"/>
    <x v="636"/>
    <x v="1"/>
    <x v="1"/>
    <x v="6"/>
    <n v="72.680000000000007"/>
    <n v="6"/>
    <n v="0.05"/>
    <n v="22.04"/>
  </r>
  <r>
    <n v="1178"/>
    <x v="1177"/>
    <x v="571"/>
    <d v="2024-03-26T00:00:00"/>
    <x v="3"/>
    <s v="CUST-1274"/>
    <s v="Customer 105"/>
    <x v="0"/>
    <x v="0"/>
    <x v="5"/>
    <x v="5"/>
    <n v="864323"/>
    <x v="0"/>
    <x v="145"/>
    <x v="0"/>
    <x v="9"/>
    <x v="734"/>
    <n v="212.85"/>
    <n v="9"/>
    <n v="0.2"/>
    <n v="-13.59"/>
  </r>
  <r>
    <n v="1179"/>
    <x v="1178"/>
    <x v="418"/>
    <d v="2024-12-31T00:00:00"/>
    <x v="1"/>
    <s v="CUST-1303"/>
    <s v="Customer 340"/>
    <x v="1"/>
    <x v="0"/>
    <x v="0"/>
    <x v="0"/>
    <n v="742757"/>
    <x v="0"/>
    <x v="310"/>
    <x v="0"/>
    <x v="6"/>
    <x v="203"/>
    <n v="273.8"/>
    <n v="3"/>
    <n v="0.1"/>
    <n v="31.85"/>
  </r>
  <r>
    <n v="1180"/>
    <x v="1179"/>
    <x v="368"/>
    <d v="2025-11-21T00:00:00"/>
    <x v="1"/>
    <s v="CUST-1248"/>
    <s v="Customer 127"/>
    <x v="1"/>
    <x v="0"/>
    <x v="2"/>
    <x v="2"/>
    <n v="957111"/>
    <x v="2"/>
    <x v="637"/>
    <x v="0"/>
    <x v="6"/>
    <x v="474"/>
    <n v="77.260000000000005"/>
    <n v="5"/>
    <n v="0.1"/>
    <n v="12.44"/>
  </r>
  <r>
    <n v="1181"/>
    <x v="1180"/>
    <x v="205"/>
    <d v="2024-05-29T00:00:00"/>
    <x v="2"/>
    <s v="CUST-1393"/>
    <s v="Customer 283"/>
    <x v="0"/>
    <x v="0"/>
    <x v="4"/>
    <x v="4"/>
    <n v="437247"/>
    <x v="3"/>
    <x v="333"/>
    <x v="1"/>
    <x v="2"/>
    <x v="391"/>
    <n v="65.98"/>
    <n v="4"/>
    <n v="0.4"/>
    <n v="-0.37"/>
  </r>
  <r>
    <n v="1182"/>
    <x v="1181"/>
    <x v="572"/>
    <d v="2025-09-24T00:00:00"/>
    <x v="1"/>
    <s v="CUST-1179"/>
    <s v="Customer 186"/>
    <x v="0"/>
    <x v="0"/>
    <x v="8"/>
    <x v="8"/>
    <n v="861720"/>
    <x v="3"/>
    <x v="638"/>
    <x v="0"/>
    <x v="6"/>
    <x v="642"/>
    <n v="98.75"/>
    <n v="8"/>
    <n v="0.3"/>
    <n v="-25.51"/>
  </r>
  <r>
    <n v="1183"/>
    <x v="1182"/>
    <x v="297"/>
    <d v="2024-12-09T00:00:00"/>
    <x v="1"/>
    <s v="CUST-1144"/>
    <s v="Customer 330"/>
    <x v="2"/>
    <x v="0"/>
    <x v="1"/>
    <x v="1"/>
    <n v="634421"/>
    <x v="1"/>
    <x v="639"/>
    <x v="1"/>
    <x v="2"/>
    <x v="225"/>
    <n v="141.26"/>
    <n v="8"/>
    <n v="0.05"/>
    <n v="13.84"/>
  </r>
  <r>
    <n v="1184"/>
    <x v="1183"/>
    <x v="36"/>
    <d v="2025-04-23T00:00:00"/>
    <x v="2"/>
    <s v="CUST-1323"/>
    <s v="Customer 140"/>
    <x v="2"/>
    <x v="0"/>
    <x v="7"/>
    <x v="7"/>
    <n v="466014"/>
    <x v="4"/>
    <x v="640"/>
    <x v="0"/>
    <x v="6"/>
    <x v="735"/>
    <n v="359.87"/>
    <n v="2"/>
    <n v="0.2"/>
    <n v="-43.1"/>
  </r>
  <r>
    <n v="1185"/>
    <x v="1184"/>
    <x v="99"/>
    <d v="2024-03-05T00:00:00"/>
    <x v="0"/>
    <s v="CUST-1215"/>
    <s v="Customer 197"/>
    <x v="0"/>
    <x v="0"/>
    <x v="6"/>
    <x v="6"/>
    <n v="984588"/>
    <x v="2"/>
    <x v="91"/>
    <x v="1"/>
    <x v="7"/>
    <x v="736"/>
    <n v="100.51"/>
    <n v="1"/>
    <n v="0"/>
    <n v="52.5"/>
  </r>
  <r>
    <n v="1186"/>
    <x v="1185"/>
    <x v="5"/>
    <d v="2025-12-04T00:00:00"/>
    <x v="3"/>
    <s v="CUST-1208"/>
    <s v="Customer 381"/>
    <x v="0"/>
    <x v="0"/>
    <x v="8"/>
    <x v="8"/>
    <n v="183404"/>
    <x v="3"/>
    <x v="7"/>
    <x v="1"/>
    <x v="8"/>
    <x v="348"/>
    <n v="40.11"/>
    <n v="4"/>
    <n v="0.2"/>
    <n v="-0.59"/>
  </r>
  <r>
    <n v="1187"/>
    <x v="1186"/>
    <x v="481"/>
    <d v="2024-12-28T00:00:00"/>
    <x v="1"/>
    <s v="CUST-1250"/>
    <s v="Customer 387"/>
    <x v="1"/>
    <x v="0"/>
    <x v="3"/>
    <x v="3"/>
    <n v="662922"/>
    <x v="1"/>
    <x v="627"/>
    <x v="0"/>
    <x v="6"/>
    <x v="135"/>
    <n v="193.62"/>
    <n v="4"/>
    <n v="0.15"/>
    <n v="-31.8"/>
  </r>
  <r>
    <n v="1188"/>
    <x v="1187"/>
    <x v="31"/>
    <d v="2025-07-16T00:00:00"/>
    <x v="3"/>
    <s v="CUST-1249"/>
    <s v="Customer 293"/>
    <x v="2"/>
    <x v="0"/>
    <x v="4"/>
    <x v="4"/>
    <n v="401355"/>
    <x v="3"/>
    <x v="641"/>
    <x v="1"/>
    <x v="1"/>
    <x v="737"/>
    <n v="43.05"/>
    <n v="1"/>
    <n v="0.3"/>
    <n v="11.94"/>
  </r>
  <r>
    <n v="1189"/>
    <x v="1188"/>
    <x v="407"/>
    <d v="2024-11-25T00:00:00"/>
    <x v="0"/>
    <s v="CUST-1107"/>
    <s v="Customer 316"/>
    <x v="1"/>
    <x v="0"/>
    <x v="3"/>
    <x v="3"/>
    <n v="250694"/>
    <x v="1"/>
    <x v="642"/>
    <x v="2"/>
    <x v="4"/>
    <x v="738"/>
    <n v="359.58"/>
    <n v="3"/>
    <n v="0.1"/>
    <n v="43.48"/>
  </r>
  <r>
    <n v="1190"/>
    <x v="1189"/>
    <x v="557"/>
    <d v="2024-05-23T00:00:00"/>
    <x v="2"/>
    <s v="CUST-1329"/>
    <s v="Customer 144"/>
    <x v="1"/>
    <x v="0"/>
    <x v="7"/>
    <x v="7"/>
    <n v="644903"/>
    <x v="4"/>
    <x v="643"/>
    <x v="1"/>
    <x v="8"/>
    <x v="559"/>
    <n v="84.96"/>
    <n v="6"/>
    <n v="0.15"/>
    <n v="1.17"/>
  </r>
  <r>
    <n v="1191"/>
    <x v="1190"/>
    <x v="10"/>
    <d v="2024-08-04T00:00:00"/>
    <x v="1"/>
    <s v="CUST-1269"/>
    <s v="Customer 017"/>
    <x v="2"/>
    <x v="0"/>
    <x v="2"/>
    <x v="2"/>
    <n v="551420"/>
    <x v="2"/>
    <x v="644"/>
    <x v="1"/>
    <x v="1"/>
    <x v="739"/>
    <n v="80.17"/>
    <n v="4"/>
    <n v="0.1"/>
    <n v="-3.1"/>
  </r>
  <r>
    <n v="1192"/>
    <x v="1191"/>
    <x v="327"/>
    <d v="2025-03-12T00:00:00"/>
    <x v="2"/>
    <s v="CUST-1097"/>
    <s v="Customer 370"/>
    <x v="0"/>
    <x v="0"/>
    <x v="5"/>
    <x v="5"/>
    <n v="902717"/>
    <x v="0"/>
    <x v="47"/>
    <x v="2"/>
    <x v="5"/>
    <x v="740"/>
    <n v="750.34"/>
    <n v="1"/>
    <n v="0.15"/>
    <n v="58.17"/>
  </r>
  <r>
    <n v="1193"/>
    <x v="1192"/>
    <x v="573"/>
    <d v="2025-12-25T00:00:00"/>
    <x v="1"/>
    <s v="CUST-1175"/>
    <s v="Customer 327"/>
    <x v="2"/>
    <x v="0"/>
    <x v="5"/>
    <x v="5"/>
    <n v="107131"/>
    <x v="0"/>
    <x v="645"/>
    <x v="1"/>
    <x v="2"/>
    <x v="67"/>
    <n v="45.77"/>
    <n v="2"/>
    <n v="0.05"/>
    <n v="-11.13"/>
  </r>
  <r>
    <n v="1194"/>
    <x v="1193"/>
    <x v="165"/>
    <d v="2024-11-17T00:00:00"/>
    <x v="3"/>
    <s v="CUST-1261"/>
    <s v="Customer 173"/>
    <x v="0"/>
    <x v="0"/>
    <x v="3"/>
    <x v="3"/>
    <n v="385574"/>
    <x v="1"/>
    <x v="42"/>
    <x v="1"/>
    <x v="7"/>
    <x v="741"/>
    <n v="131.21"/>
    <n v="7"/>
    <n v="0.05"/>
    <n v="36.81"/>
  </r>
  <r>
    <n v="1195"/>
    <x v="1194"/>
    <x v="574"/>
    <d v="2024-02-04T00:00:00"/>
    <x v="1"/>
    <s v="CUST-1062"/>
    <s v="Customer 029"/>
    <x v="2"/>
    <x v="0"/>
    <x v="0"/>
    <x v="0"/>
    <n v="739340"/>
    <x v="0"/>
    <x v="646"/>
    <x v="2"/>
    <x v="11"/>
    <x v="531"/>
    <n v="267.10000000000002"/>
    <n v="1"/>
    <n v="0.1"/>
    <n v="30.74"/>
  </r>
  <r>
    <n v="1196"/>
    <x v="1195"/>
    <x v="246"/>
    <d v="2025-11-02T00:00:00"/>
    <x v="0"/>
    <s v="CUST-1345"/>
    <s v="Customer 067"/>
    <x v="2"/>
    <x v="0"/>
    <x v="2"/>
    <x v="2"/>
    <n v="432744"/>
    <x v="2"/>
    <x v="86"/>
    <x v="0"/>
    <x v="0"/>
    <x v="611"/>
    <n v="106.12"/>
    <n v="3"/>
    <n v="0"/>
    <n v="-24.61"/>
  </r>
  <r>
    <n v="1197"/>
    <x v="1196"/>
    <x v="329"/>
    <d v="2024-10-15T00:00:00"/>
    <x v="3"/>
    <s v="CUST-1015"/>
    <s v="Customer 277"/>
    <x v="2"/>
    <x v="0"/>
    <x v="5"/>
    <x v="5"/>
    <n v="768130"/>
    <x v="0"/>
    <x v="599"/>
    <x v="1"/>
    <x v="8"/>
    <x v="94"/>
    <n v="163.31"/>
    <n v="9"/>
    <n v="0.2"/>
    <n v="-38.43"/>
  </r>
  <r>
    <n v="1198"/>
    <x v="1197"/>
    <x v="298"/>
    <d v="2024-11-03T00:00:00"/>
    <x v="0"/>
    <s v="CUST-1244"/>
    <s v="Customer 359"/>
    <x v="2"/>
    <x v="0"/>
    <x v="2"/>
    <x v="2"/>
    <n v="453198"/>
    <x v="2"/>
    <x v="209"/>
    <x v="1"/>
    <x v="7"/>
    <x v="742"/>
    <n v="28.98"/>
    <n v="2"/>
    <n v="0.2"/>
    <n v="8.91"/>
  </r>
  <r>
    <n v="1199"/>
    <x v="1198"/>
    <x v="575"/>
    <d v="2025-03-06T00:00:00"/>
    <x v="1"/>
    <s v="CUST-1356"/>
    <s v="Customer 215"/>
    <x v="2"/>
    <x v="0"/>
    <x v="8"/>
    <x v="8"/>
    <n v="171035"/>
    <x v="3"/>
    <x v="617"/>
    <x v="0"/>
    <x v="6"/>
    <x v="129"/>
    <n v="254.5"/>
    <n v="1"/>
    <n v="0.15"/>
    <n v="17.82"/>
  </r>
  <r>
    <n v="1200"/>
    <x v="1199"/>
    <x v="69"/>
    <d v="2025-04-25T00:00:00"/>
    <x v="0"/>
    <s v="CUST-1164"/>
    <s v="Customer 116"/>
    <x v="1"/>
    <x v="0"/>
    <x v="2"/>
    <x v="2"/>
    <n v="656549"/>
    <x v="2"/>
    <x v="647"/>
    <x v="2"/>
    <x v="11"/>
    <x v="743"/>
    <n v="354.58"/>
    <n v="6"/>
    <n v="0.2"/>
    <n v="36.57"/>
  </r>
  <r>
    <n v="1201"/>
    <x v="1200"/>
    <x v="576"/>
    <d v="2024-10-18T00:00:00"/>
    <x v="0"/>
    <s v="CUST-1084"/>
    <s v="Customer 262"/>
    <x v="2"/>
    <x v="0"/>
    <x v="9"/>
    <x v="9"/>
    <n v="495151"/>
    <x v="2"/>
    <x v="648"/>
    <x v="2"/>
    <x v="3"/>
    <x v="679"/>
    <n v="450.24"/>
    <n v="1"/>
    <n v="0.1"/>
    <n v="101.9"/>
  </r>
  <r>
    <n v="1202"/>
    <x v="1201"/>
    <x v="196"/>
    <d v="2024-05-24T00:00:00"/>
    <x v="3"/>
    <s v="CUST-1128"/>
    <s v="Customer 323"/>
    <x v="2"/>
    <x v="0"/>
    <x v="7"/>
    <x v="7"/>
    <n v="989572"/>
    <x v="4"/>
    <x v="167"/>
    <x v="0"/>
    <x v="6"/>
    <x v="744"/>
    <n v="231.05"/>
    <n v="5"/>
    <n v="0.3"/>
    <n v="-0.48"/>
  </r>
  <r>
    <n v="1203"/>
    <x v="1202"/>
    <x v="577"/>
    <d v="2025-03-01T00:00:00"/>
    <x v="3"/>
    <s v="CUST-1302"/>
    <s v="Customer 235"/>
    <x v="1"/>
    <x v="0"/>
    <x v="5"/>
    <x v="5"/>
    <n v="279913"/>
    <x v="0"/>
    <x v="293"/>
    <x v="0"/>
    <x v="10"/>
    <x v="463"/>
    <n v="256.85000000000002"/>
    <n v="1"/>
    <n v="0.05"/>
    <n v="65.17"/>
  </r>
  <r>
    <n v="1204"/>
    <x v="1203"/>
    <x v="376"/>
    <d v="2024-01-21T00:00:00"/>
    <x v="2"/>
    <s v="CUST-1060"/>
    <s v="Customer 105"/>
    <x v="2"/>
    <x v="0"/>
    <x v="2"/>
    <x v="2"/>
    <n v="160941"/>
    <x v="2"/>
    <x v="399"/>
    <x v="1"/>
    <x v="1"/>
    <x v="300"/>
    <n v="40.159999999999997"/>
    <n v="3"/>
    <n v="0.4"/>
    <n v="-41.86"/>
  </r>
  <r>
    <n v="1205"/>
    <x v="1204"/>
    <x v="271"/>
    <d v="2024-01-21T00:00:00"/>
    <x v="1"/>
    <s v="CUST-1066"/>
    <s v="Customer 178"/>
    <x v="1"/>
    <x v="0"/>
    <x v="3"/>
    <x v="3"/>
    <n v="884118"/>
    <x v="1"/>
    <x v="439"/>
    <x v="2"/>
    <x v="5"/>
    <x v="323"/>
    <n v="1226.55"/>
    <n v="6"/>
    <n v="0.05"/>
    <n v="159.94999999999999"/>
  </r>
  <r>
    <n v="1206"/>
    <x v="1205"/>
    <x v="578"/>
    <d v="2025-08-16T00:00:00"/>
    <x v="0"/>
    <s v="CUST-1207"/>
    <s v="Customer 356"/>
    <x v="0"/>
    <x v="0"/>
    <x v="1"/>
    <x v="1"/>
    <n v="335281"/>
    <x v="1"/>
    <x v="635"/>
    <x v="1"/>
    <x v="7"/>
    <x v="389"/>
    <n v="74.09"/>
    <n v="5"/>
    <n v="0.3"/>
    <n v="-16.79"/>
  </r>
  <r>
    <n v="1207"/>
    <x v="1206"/>
    <x v="564"/>
    <d v="2025-01-09T00:00:00"/>
    <x v="3"/>
    <s v="CUST-1135"/>
    <s v="Customer 143"/>
    <x v="0"/>
    <x v="0"/>
    <x v="9"/>
    <x v="9"/>
    <n v="703986"/>
    <x v="2"/>
    <x v="184"/>
    <x v="2"/>
    <x v="5"/>
    <x v="15"/>
    <n v="399.59"/>
    <n v="2"/>
    <n v="0.05"/>
    <n v="24.18"/>
  </r>
  <r>
    <n v="1208"/>
    <x v="1207"/>
    <x v="579"/>
    <d v="2024-06-26T00:00:00"/>
    <x v="1"/>
    <s v="CUST-1359"/>
    <s v="Customer 065"/>
    <x v="2"/>
    <x v="0"/>
    <x v="9"/>
    <x v="9"/>
    <n v="505234"/>
    <x v="2"/>
    <x v="544"/>
    <x v="2"/>
    <x v="11"/>
    <x v="412"/>
    <n v="576.85"/>
    <n v="7"/>
    <n v="0.15"/>
    <n v="64.430000000000007"/>
  </r>
  <r>
    <n v="1209"/>
    <x v="1208"/>
    <x v="400"/>
    <d v="2024-07-14T00:00:00"/>
    <x v="0"/>
    <s v="CUST-1060"/>
    <s v="Customer 041"/>
    <x v="2"/>
    <x v="0"/>
    <x v="0"/>
    <x v="0"/>
    <n v="161282"/>
    <x v="0"/>
    <x v="604"/>
    <x v="0"/>
    <x v="9"/>
    <x v="745"/>
    <n v="212.17"/>
    <n v="2"/>
    <n v="0.05"/>
    <n v="12.68"/>
  </r>
  <r>
    <n v="1210"/>
    <x v="1209"/>
    <x v="436"/>
    <d v="2025-05-18T00:00:00"/>
    <x v="2"/>
    <s v="CUST-1257"/>
    <s v="Customer 139"/>
    <x v="2"/>
    <x v="0"/>
    <x v="2"/>
    <x v="2"/>
    <n v="278874"/>
    <x v="2"/>
    <x v="649"/>
    <x v="0"/>
    <x v="6"/>
    <x v="10"/>
    <n v="78.62"/>
    <n v="7"/>
    <n v="0.05"/>
    <n v="31.61"/>
  </r>
  <r>
    <n v="1211"/>
    <x v="1210"/>
    <x v="173"/>
    <d v="2024-04-24T00:00:00"/>
    <x v="3"/>
    <s v="CUST-1132"/>
    <s v="Customer 033"/>
    <x v="2"/>
    <x v="0"/>
    <x v="0"/>
    <x v="0"/>
    <n v="907503"/>
    <x v="0"/>
    <x v="650"/>
    <x v="1"/>
    <x v="7"/>
    <x v="746"/>
    <n v="139.86000000000001"/>
    <n v="6"/>
    <n v="0.1"/>
    <n v="12.94"/>
  </r>
  <r>
    <n v="1212"/>
    <x v="1211"/>
    <x v="580"/>
    <d v="2024-04-26T00:00:00"/>
    <x v="2"/>
    <s v="CUST-1245"/>
    <s v="Customer 011"/>
    <x v="1"/>
    <x v="0"/>
    <x v="0"/>
    <x v="0"/>
    <n v="397691"/>
    <x v="0"/>
    <x v="496"/>
    <x v="1"/>
    <x v="8"/>
    <x v="747"/>
    <n v="109.2"/>
    <n v="6"/>
    <n v="0.1"/>
    <n v="17.55"/>
  </r>
  <r>
    <n v="1213"/>
    <x v="1212"/>
    <x v="581"/>
    <d v="2024-08-11T00:00:00"/>
    <x v="3"/>
    <s v="CUST-1028"/>
    <s v="Customer 030"/>
    <x v="1"/>
    <x v="0"/>
    <x v="1"/>
    <x v="1"/>
    <n v="504255"/>
    <x v="1"/>
    <x v="612"/>
    <x v="1"/>
    <x v="1"/>
    <x v="739"/>
    <n v="392.29"/>
    <n v="4"/>
    <n v="0.15"/>
    <n v="56.33"/>
  </r>
  <r>
    <n v="1214"/>
    <x v="1213"/>
    <x v="582"/>
    <d v="2025-11-11T00:00:00"/>
    <x v="2"/>
    <s v="CUST-1088"/>
    <s v="Customer 212"/>
    <x v="2"/>
    <x v="0"/>
    <x v="8"/>
    <x v="8"/>
    <n v="597981"/>
    <x v="3"/>
    <x v="631"/>
    <x v="1"/>
    <x v="2"/>
    <x v="235"/>
    <n v="113.49"/>
    <n v="8"/>
    <n v="0"/>
    <n v="65.06"/>
  </r>
  <r>
    <n v="1215"/>
    <x v="1214"/>
    <x v="583"/>
    <d v="2025-10-07T00:00:00"/>
    <x v="2"/>
    <s v="CUST-1179"/>
    <s v="Customer 184"/>
    <x v="0"/>
    <x v="0"/>
    <x v="2"/>
    <x v="2"/>
    <n v="374371"/>
    <x v="2"/>
    <x v="391"/>
    <x v="1"/>
    <x v="2"/>
    <x v="270"/>
    <n v="120.71"/>
    <n v="9"/>
    <n v="0.2"/>
    <n v="-4.3"/>
  </r>
  <r>
    <n v="1216"/>
    <x v="1215"/>
    <x v="300"/>
    <d v="2024-09-23T00:00:00"/>
    <x v="1"/>
    <s v="CUST-1268"/>
    <s v="Customer 157"/>
    <x v="1"/>
    <x v="0"/>
    <x v="4"/>
    <x v="4"/>
    <n v="692237"/>
    <x v="3"/>
    <x v="311"/>
    <x v="0"/>
    <x v="9"/>
    <x v="748"/>
    <n v="122.56"/>
    <n v="6"/>
    <n v="0.05"/>
    <n v="26.86"/>
  </r>
  <r>
    <n v="1217"/>
    <x v="1216"/>
    <x v="584"/>
    <d v="2024-02-27T00:00:00"/>
    <x v="1"/>
    <s v="CUST-1095"/>
    <s v="Customer 195"/>
    <x v="1"/>
    <x v="0"/>
    <x v="5"/>
    <x v="5"/>
    <n v="756334"/>
    <x v="0"/>
    <x v="137"/>
    <x v="1"/>
    <x v="2"/>
    <x v="56"/>
    <n v="68.17"/>
    <n v="7"/>
    <n v="0.4"/>
    <n v="-30.74"/>
  </r>
  <r>
    <n v="1218"/>
    <x v="1217"/>
    <x v="124"/>
    <d v="2025-10-06T00:00:00"/>
    <x v="0"/>
    <s v="CUST-1337"/>
    <s v="Customer 037"/>
    <x v="1"/>
    <x v="0"/>
    <x v="0"/>
    <x v="0"/>
    <n v="620715"/>
    <x v="0"/>
    <x v="651"/>
    <x v="1"/>
    <x v="8"/>
    <x v="154"/>
    <n v="86.85"/>
    <n v="9"/>
    <n v="0.4"/>
    <n v="-33.9"/>
  </r>
  <r>
    <n v="1219"/>
    <x v="1218"/>
    <x v="454"/>
    <d v="2025-04-05T00:00:00"/>
    <x v="2"/>
    <s v="CUST-1351"/>
    <s v="Customer 044"/>
    <x v="0"/>
    <x v="0"/>
    <x v="7"/>
    <x v="7"/>
    <n v="861177"/>
    <x v="4"/>
    <x v="142"/>
    <x v="2"/>
    <x v="5"/>
    <x v="15"/>
    <n v="328.27"/>
    <n v="3"/>
    <n v="0.2"/>
    <n v="0.17"/>
  </r>
  <r>
    <n v="1220"/>
    <x v="1219"/>
    <x v="74"/>
    <d v="2024-06-13T00:00:00"/>
    <x v="1"/>
    <s v="CUST-1276"/>
    <s v="Customer 072"/>
    <x v="2"/>
    <x v="0"/>
    <x v="6"/>
    <x v="6"/>
    <n v="463877"/>
    <x v="2"/>
    <x v="183"/>
    <x v="1"/>
    <x v="1"/>
    <x v="219"/>
    <n v="60.27"/>
    <n v="2"/>
    <n v="0.2"/>
    <n v="-31.93"/>
  </r>
  <r>
    <n v="1221"/>
    <x v="1220"/>
    <x v="89"/>
    <d v="2025-01-16T00:00:00"/>
    <x v="2"/>
    <s v="CUST-1085"/>
    <s v="Customer 180"/>
    <x v="1"/>
    <x v="0"/>
    <x v="7"/>
    <x v="7"/>
    <n v="953707"/>
    <x v="4"/>
    <x v="652"/>
    <x v="2"/>
    <x v="4"/>
    <x v="488"/>
    <n v="566.01"/>
    <n v="6"/>
    <n v="0.4"/>
    <n v="-23.22"/>
  </r>
  <r>
    <n v="1222"/>
    <x v="1221"/>
    <x v="585"/>
    <d v="2024-03-30T00:00:00"/>
    <x v="1"/>
    <s v="CUST-1063"/>
    <s v="Customer 042"/>
    <x v="0"/>
    <x v="0"/>
    <x v="1"/>
    <x v="1"/>
    <n v="421660"/>
    <x v="1"/>
    <x v="653"/>
    <x v="0"/>
    <x v="10"/>
    <x v="205"/>
    <n v="105.91"/>
    <n v="9"/>
    <n v="0.05"/>
    <n v="31.28"/>
  </r>
  <r>
    <n v="1223"/>
    <x v="1222"/>
    <x v="584"/>
    <d v="2024-02-26T00:00:00"/>
    <x v="0"/>
    <s v="CUST-1124"/>
    <s v="Customer 256"/>
    <x v="0"/>
    <x v="0"/>
    <x v="1"/>
    <x v="1"/>
    <n v="616929"/>
    <x v="1"/>
    <x v="178"/>
    <x v="1"/>
    <x v="1"/>
    <x v="368"/>
    <n v="90.54"/>
    <n v="4"/>
    <n v="0.15"/>
    <n v="15.77"/>
  </r>
  <r>
    <n v="1224"/>
    <x v="1223"/>
    <x v="36"/>
    <d v="2025-04-23T00:00:00"/>
    <x v="1"/>
    <s v="CUST-1123"/>
    <s v="Customer 057"/>
    <x v="1"/>
    <x v="0"/>
    <x v="3"/>
    <x v="3"/>
    <n v="908391"/>
    <x v="1"/>
    <x v="285"/>
    <x v="2"/>
    <x v="3"/>
    <x v="184"/>
    <n v="316.7"/>
    <n v="4"/>
    <n v="0.2"/>
    <n v="23.81"/>
  </r>
  <r>
    <n v="1225"/>
    <x v="1224"/>
    <x v="434"/>
    <d v="2024-06-30T00:00:00"/>
    <x v="1"/>
    <s v="CUST-1119"/>
    <s v="Customer 326"/>
    <x v="2"/>
    <x v="0"/>
    <x v="8"/>
    <x v="8"/>
    <n v="871280"/>
    <x v="3"/>
    <x v="507"/>
    <x v="2"/>
    <x v="11"/>
    <x v="313"/>
    <n v="453.86"/>
    <n v="7"/>
    <n v="0.4"/>
    <n v="-44.25"/>
  </r>
  <r>
    <n v="1226"/>
    <x v="1225"/>
    <x v="543"/>
    <d v="2025-01-31T00:00:00"/>
    <x v="2"/>
    <s v="CUST-1037"/>
    <s v="Customer 359"/>
    <x v="1"/>
    <x v="0"/>
    <x v="5"/>
    <x v="5"/>
    <n v="943976"/>
    <x v="0"/>
    <x v="351"/>
    <x v="1"/>
    <x v="8"/>
    <x v="749"/>
    <n v="127.73"/>
    <n v="1"/>
    <n v="0.2"/>
    <n v="7.77"/>
  </r>
  <r>
    <n v="1227"/>
    <x v="1226"/>
    <x v="202"/>
    <d v="2024-12-17T00:00:00"/>
    <x v="1"/>
    <s v="CUST-1352"/>
    <s v="Customer 005"/>
    <x v="2"/>
    <x v="0"/>
    <x v="0"/>
    <x v="0"/>
    <n v="485383"/>
    <x v="0"/>
    <x v="379"/>
    <x v="1"/>
    <x v="8"/>
    <x v="443"/>
    <n v="238.83"/>
    <n v="4"/>
    <n v="0.15"/>
    <n v="14.73"/>
  </r>
  <r>
    <n v="1228"/>
    <x v="1227"/>
    <x v="433"/>
    <d v="2024-01-11T00:00:00"/>
    <x v="3"/>
    <s v="CUST-1213"/>
    <s v="Customer 149"/>
    <x v="1"/>
    <x v="0"/>
    <x v="7"/>
    <x v="7"/>
    <n v="282992"/>
    <x v="4"/>
    <x v="654"/>
    <x v="2"/>
    <x v="3"/>
    <x v="750"/>
    <n v="417.02"/>
    <n v="4"/>
    <n v="0.1"/>
    <n v="37.479999999999997"/>
  </r>
  <r>
    <n v="1229"/>
    <x v="1228"/>
    <x v="567"/>
    <d v="2024-11-11T00:00:00"/>
    <x v="2"/>
    <s v="CUST-1243"/>
    <s v="Customer 017"/>
    <x v="0"/>
    <x v="0"/>
    <x v="6"/>
    <x v="6"/>
    <n v="283097"/>
    <x v="2"/>
    <x v="379"/>
    <x v="1"/>
    <x v="7"/>
    <x v="86"/>
    <n v="166.44"/>
    <n v="6"/>
    <n v="0.1"/>
    <n v="0.31"/>
  </r>
  <r>
    <n v="1230"/>
    <x v="1229"/>
    <x v="514"/>
    <d v="2025-03-23T00:00:00"/>
    <x v="3"/>
    <s v="CUST-1229"/>
    <s v="Customer 102"/>
    <x v="1"/>
    <x v="0"/>
    <x v="1"/>
    <x v="1"/>
    <n v="293399"/>
    <x v="1"/>
    <x v="373"/>
    <x v="0"/>
    <x v="0"/>
    <x v="751"/>
    <n v="160"/>
    <n v="5"/>
    <n v="0.15"/>
    <n v="30.34"/>
  </r>
  <r>
    <n v="1231"/>
    <x v="1230"/>
    <x v="586"/>
    <d v="2024-11-26T00:00:00"/>
    <x v="2"/>
    <s v="CUST-1292"/>
    <s v="Customer 374"/>
    <x v="2"/>
    <x v="0"/>
    <x v="1"/>
    <x v="1"/>
    <n v="238721"/>
    <x v="1"/>
    <x v="655"/>
    <x v="0"/>
    <x v="10"/>
    <x v="372"/>
    <n v="261.55"/>
    <n v="8"/>
    <n v="0.2"/>
    <n v="12.59"/>
  </r>
  <r>
    <n v="1232"/>
    <x v="1231"/>
    <x v="227"/>
    <d v="2024-02-27T00:00:00"/>
    <x v="2"/>
    <s v="CUST-1236"/>
    <s v="Customer 032"/>
    <x v="2"/>
    <x v="0"/>
    <x v="8"/>
    <x v="8"/>
    <n v="587043"/>
    <x v="3"/>
    <x v="345"/>
    <x v="1"/>
    <x v="2"/>
    <x v="450"/>
    <n v="93.72"/>
    <n v="9"/>
    <n v="0.2"/>
    <n v="-0.44"/>
  </r>
  <r>
    <n v="1233"/>
    <x v="1232"/>
    <x v="448"/>
    <d v="2024-08-29T00:00:00"/>
    <x v="3"/>
    <s v="CUST-1040"/>
    <s v="Customer 300"/>
    <x v="2"/>
    <x v="0"/>
    <x v="6"/>
    <x v="6"/>
    <n v="262198"/>
    <x v="2"/>
    <x v="652"/>
    <x v="1"/>
    <x v="2"/>
    <x v="440"/>
    <n v="42.62"/>
    <n v="9"/>
    <n v="0.15"/>
    <n v="48.9"/>
  </r>
  <r>
    <n v="1234"/>
    <x v="1233"/>
    <x v="426"/>
    <d v="2024-08-21T00:00:00"/>
    <x v="0"/>
    <s v="CUST-1338"/>
    <s v="Customer 369"/>
    <x v="1"/>
    <x v="0"/>
    <x v="6"/>
    <x v="6"/>
    <n v="517236"/>
    <x v="2"/>
    <x v="656"/>
    <x v="0"/>
    <x v="10"/>
    <x v="752"/>
    <n v="102.9"/>
    <n v="7"/>
    <n v="0.15"/>
    <n v="-42.46"/>
  </r>
  <r>
    <n v="1235"/>
    <x v="1234"/>
    <x v="542"/>
    <d v="2025-08-06T00:00:00"/>
    <x v="2"/>
    <s v="CUST-1323"/>
    <s v="Customer 329"/>
    <x v="1"/>
    <x v="0"/>
    <x v="8"/>
    <x v="8"/>
    <n v="157564"/>
    <x v="3"/>
    <x v="186"/>
    <x v="1"/>
    <x v="2"/>
    <x v="231"/>
    <n v="113.17"/>
    <n v="9"/>
    <n v="0.3"/>
    <n v="-34.67"/>
  </r>
  <r>
    <n v="1236"/>
    <x v="1235"/>
    <x v="292"/>
    <d v="2024-02-22T00:00:00"/>
    <x v="0"/>
    <s v="CUST-1128"/>
    <s v="Customer 108"/>
    <x v="2"/>
    <x v="0"/>
    <x v="1"/>
    <x v="1"/>
    <n v="665672"/>
    <x v="1"/>
    <x v="657"/>
    <x v="1"/>
    <x v="2"/>
    <x v="371"/>
    <n v="104.8"/>
    <n v="4"/>
    <n v="0"/>
    <n v="37.43"/>
  </r>
  <r>
    <n v="1237"/>
    <x v="1236"/>
    <x v="197"/>
    <d v="2025-09-01T00:00:00"/>
    <x v="1"/>
    <s v="CUST-1206"/>
    <s v="Customer 320"/>
    <x v="0"/>
    <x v="0"/>
    <x v="5"/>
    <x v="5"/>
    <n v="314589"/>
    <x v="0"/>
    <x v="658"/>
    <x v="2"/>
    <x v="11"/>
    <x v="47"/>
    <n v="515.1"/>
    <n v="2"/>
    <n v="0.1"/>
    <n v="2.23"/>
  </r>
  <r>
    <n v="1238"/>
    <x v="1237"/>
    <x v="309"/>
    <d v="2025-08-29T00:00:00"/>
    <x v="1"/>
    <s v="CUST-1277"/>
    <s v="Customer 163"/>
    <x v="2"/>
    <x v="0"/>
    <x v="2"/>
    <x v="2"/>
    <n v="707563"/>
    <x v="2"/>
    <x v="194"/>
    <x v="2"/>
    <x v="5"/>
    <x v="507"/>
    <n v="220.2"/>
    <n v="2"/>
    <n v="0"/>
    <n v="49.04"/>
  </r>
  <r>
    <n v="1239"/>
    <x v="1238"/>
    <x v="300"/>
    <d v="2024-09-24T00:00:00"/>
    <x v="2"/>
    <s v="CUST-1112"/>
    <s v="Customer 030"/>
    <x v="2"/>
    <x v="0"/>
    <x v="2"/>
    <x v="2"/>
    <n v="707198"/>
    <x v="2"/>
    <x v="62"/>
    <x v="2"/>
    <x v="11"/>
    <x v="572"/>
    <n v="127.77"/>
    <n v="4"/>
    <n v="0"/>
    <n v="4.76"/>
  </r>
  <r>
    <n v="1240"/>
    <x v="1239"/>
    <x v="357"/>
    <d v="2025-02-23T00:00:00"/>
    <x v="1"/>
    <s v="CUST-1083"/>
    <s v="Customer 328"/>
    <x v="0"/>
    <x v="0"/>
    <x v="8"/>
    <x v="8"/>
    <n v="311168"/>
    <x v="3"/>
    <x v="119"/>
    <x v="1"/>
    <x v="2"/>
    <x v="753"/>
    <n v="147.32"/>
    <n v="2"/>
    <n v="0.1"/>
    <n v="10.7"/>
  </r>
  <r>
    <n v="1241"/>
    <x v="1240"/>
    <x v="136"/>
    <d v="2024-04-08T00:00:00"/>
    <x v="1"/>
    <s v="CUST-1209"/>
    <s v="Customer 153"/>
    <x v="1"/>
    <x v="0"/>
    <x v="6"/>
    <x v="6"/>
    <n v="279012"/>
    <x v="2"/>
    <x v="659"/>
    <x v="1"/>
    <x v="8"/>
    <x v="754"/>
    <n v="59.38"/>
    <n v="5"/>
    <n v="0.15"/>
    <n v="-4.1100000000000003"/>
  </r>
  <r>
    <n v="1242"/>
    <x v="1241"/>
    <x v="13"/>
    <d v="2024-03-30T00:00:00"/>
    <x v="3"/>
    <s v="CUST-1180"/>
    <s v="Customer 262"/>
    <x v="2"/>
    <x v="0"/>
    <x v="0"/>
    <x v="0"/>
    <n v="167484"/>
    <x v="0"/>
    <x v="319"/>
    <x v="1"/>
    <x v="8"/>
    <x v="94"/>
    <n v="37.33"/>
    <n v="4"/>
    <n v="0"/>
    <n v="39.340000000000003"/>
  </r>
  <r>
    <n v="1243"/>
    <x v="1242"/>
    <x v="457"/>
    <d v="2024-03-21T00:00:00"/>
    <x v="0"/>
    <s v="CUST-1021"/>
    <s v="Customer 244"/>
    <x v="0"/>
    <x v="0"/>
    <x v="8"/>
    <x v="8"/>
    <n v="865230"/>
    <x v="3"/>
    <x v="660"/>
    <x v="1"/>
    <x v="7"/>
    <x v="108"/>
    <n v="109.77"/>
    <n v="4"/>
    <n v="0.1"/>
    <n v="7.21"/>
  </r>
  <r>
    <n v="1244"/>
    <x v="1243"/>
    <x v="275"/>
    <d v="2024-10-17T00:00:00"/>
    <x v="0"/>
    <s v="CUST-1266"/>
    <s v="Customer 269"/>
    <x v="2"/>
    <x v="0"/>
    <x v="5"/>
    <x v="5"/>
    <n v="821841"/>
    <x v="0"/>
    <x v="661"/>
    <x v="1"/>
    <x v="8"/>
    <x v="146"/>
    <n v="147.68"/>
    <n v="6"/>
    <n v="0.1"/>
    <n v="18.239999999999998"/>
  </r>
  <r>
    <n v="1245"/>
    <x v="1244"/>
    <x v="228"/>
    <d v="2024-05-02T00:00:00"/>
    <x v="0"/>
    <s v="CUST-1344"/>
    <s v="Customer 210"/>
    <x v="1"/>
    <x v="0"/>
    <x v="8"/>
    <x v="8"/>
    <n v="763582"/>
    <x v="3"/>
    <x v="112"/>
    <x v="2"/>
    <x v="4"/>
    <x v="540"/>
    <n v="915.16"/>
    <n v="7"/>
    <n v="0.1"/>
    <n v="114.1"/>
  </r>
  <r>
    <n v="1246"/>
    <x v="1245"/>
    <x v="587"/>
    <d v="2025-05-08T00:00:00"/>
    <x v="1"/>
    <s v="CUST-1334"/>
    <s v="Customer 114"/>
    <x v="2"/>
    <x v="0"/>
    <x v="9"/>
    <x v="9"/>
    <n v="348492"/>
    <x v="2"/>
    <x v="253"/>
    <x v="0"/>
    <x v="0"/>
    <x v="755"/>
    <n v="229.06"/>
    <n v="3"/>
    <n v="0.3"/>
    <n v="-30.78"/>
  </r>
  <r>
    <n v="1247"/>
    <x v="1246"/>
    <x v="588"/>
    <d v="2025-03-30T00:00:00"/>
    <x v="2"/>
    <s v="CUST-1201"/>
    <s v="Customer 090"/>
    <x v="2"/>
    <x v="0"/>
    <x v="7"/>
    <x v="7"/>
    <n v="901204"/>
    <x v="4"/>
    <x v="500"/>
    <x v="0"/>
    <x v="10"/>
    <x v="756"/>
    <n v="431.05"/>
    <n v="6"/>
    <n v="0.1"/>
    <n v="52.61"/>
  </r>
  <r>
    <n v="1248"/>
    <x v="1247"/>
    <x v="406"/>
    <d v="2025-05-17T00:00:00"/>
    <x v="3"/>
    <s v="CUST-1270"/>
    <s v="Customer 100"/>
    <x v="2"/>
    <x v="0"/>
    <x v="6"/>
    <x v="6"/>
    <n v="484910"/>
    <x v="2"/>
    <x v="662"/>
    <x v="0"/>
    <x v="9"/>
    <x v="693"/>
    <n v="163.36000000000001"/>
    <n v="6"/>
    <n v="0.2"/>
    <n v="-24.99"/>
  </r>
  <r>
    <n v="1249"/>
    <x v="1248"/>
    <x v="403"/>
    <d v="2024-06-15T00:00:00"/>
    <x v="1"/>
    <s v="CUST-1258"/>
    <s v="Customer 360"/>
    <x v="2"/>
    <x v="0"/>
    <x v="3"/>
    <x v="3"/>
    <n v="714427"/>
    <x v="1"/>
    <x v="663"/>
    <x v="1"/>
    <x v="1"/>
    <x v="334"/>
    <n v="33.729999999999997"/>
    <n v="2"/>
    <n v="0.05"/>
    <n v="25.97"/>
  </r>
  <r>
    <n v="1250"/>
    <x v="1249"/>
    <x v="411"/>
    <d v="2024-07-02T00:00:00"/>
    <x v="2"/>
    <s v="CUST-1006"/>
    <s v="Customer 232"/>
    <x v="0"/>
    <x v="0"/>
    <x v="3"/>
    <x v="3"/>
    <n v="341245"/>
    <x v="1"/>
    <x v="158"/>
    <x v="1"/>
    <x v="2"/>
    <x v="757"/>
    <n v="34.78"/>
    <n v="8"/>
    <n v="0.2"/>
    <n v="0.64"/>
  </r>
  <r>
    <n v="1251"/>
    <x v="1250"/>
    <x v="384"/>
    <d v="2025-04-16T00:00:00"/>
    <x v="3"/>
    <s v="CUST-1037"/>
    <s v="Customer 395"/>
    <x v="2"/>
    <x v="0"/>
    <x v="6"/>
    <x v="6"/>
    <n v="903603"/>
    <x v="2"/>
    <x v="245"/>
    <x v="0"/>
    <x v="0"/>
    <x v="245"/>
    <n v="130.91999999999999"/>
    <n v="3"/>
    <n v="0.15"/>
    <n v="-41.71"/>
  </r>
  <r>
    <n v="1252"/>
    <x v="1251"/>
    <x v="502"/>
    <d v="2024-01-08T00:00:00"/>
    <x v="2"/>
    <s v="CUST-1166"/>
    <s v="Customer 122"/>
    <x v="2"/>
    <x v="0"/>
    <x v="5"/>
    <x v="5"/>
    <n v="775799"/>
    <x v="0"/>
    <x v="27"/>
    <x v="0"/>
    <x v="10"/>
    <x v="273"/>
    <n v="222.36"/>
    <n v="2"/>
    <n v="0.05"/>
    <n v="-11.51"/>
  </r>
  <r>
    <n v="1253"/>
    <x v="1252"/>
    <x v="430"/>
    <d v="2024-11-28T00:00:00"/>
    <x v="3"/>
    <s v="CUST-1074"/>
    <s v="Customer 102"/>
    <x v="2"/>
    <x v="0"/>
    <x v="9"/>
    <x v="9"/>
    <n v="869709"/>
    <x v="2"/>
    <x v="12"/>
    <x v="1"/>
    <x v="1"/>
    <x v="758"/>
    <n v="42.07"/>
    <n v="3"/>
    <n v="0.15"/>
    <n v="17.43"/>
  </r>
  <r>
    <n v="1254"/>
    <x v="1253"/>
    <x v="229"/>
    <d v="2025-11-04T00:00:00"/>
    <x v="2"/>
    <s v="CUST-1117"/>
    <s v="Customer 100"/>
    <x v="1"/>
    <x v="0"/>
    <x v="9"/>
    <x v="9"/>
    <n v="451406"/>
    <x v="2"/>
    <x v="11"/>
    <x v="0"/>
    <x v="10"/>
    <x v="393"/>
    <n v="367.89"/>
    <n v="4"/>
    <n v="0.15"/>
    <n v="12.2"/>
  </r>
  <r>
    <n v="1255"/>
    <x v="1254"/>
    <x v="210"/>
    <d v="2024-06-02T00:00:00"/>
    <x v="1"/>
    <s v="CUST-1054"/>
    <s v="Customer 344"/>
    <x v="2"/>
    <x v="0"/>
    <x v="1"/>
    <x v="1"/>
    <n v="231692"/>
    <x v="1"/>
    <x v="358"/>
    <x v="2"/>
    <x v="5"/>
    <x v="473"/>
    <n v="493.97"/>
    <n v="6"/>
    <n v="0.1"/>
    <n v="12.9"/>
  </r>
  <r>
    <n v="1256"/>
    <x v="1255"/>
    <x v="456"/>
    <d v="2024-03-31T00:00:00"/>
    <x v="3"/>
    <s v="CUST-1227"/>
    <s v="Customer 169"/>
    <x v="0"/>
    <x v="0"/>
    <x v="7"/>
    <x v="7"/>
    <n v="386965"/>
    <x v="4"/>
    <x v="109"/>
    <x v="0"/>
    <x v="6"/>
    <x v="759"/>
    <n v="738.35"/>
    <n v="6"/>
    <n v="0.05"/>
    <n v="45.18"/>
  </r>
  <r>
    <n v="1257"/>
    <x v="1256"/>
    <x v="204"/>
    <d v="2024-05-27T00:00:00"/>
    <x v="3"/>
    <s v="CUST-1041"/>
    <s v="Customer 249"/>
    <x v="1"/>
    <x v="0"/>
    <x v="2"/>
    <x v="2"/>
    <n v="125979"/>
    <x v="2"/>
    <x v="359"/>
    <x v="2"/>
    <x v="5"/>
    <x v="682"/>
    <n v="910.05"/>
    <n v="7"/>
    <n v="0.2"/>
    <n v="7.43"/>
  </r>
  <r>
    <n v="1258"/>
    <x v="1257"/>
    <x v="215"/>
    <d v="2025-09-17T00:00:00"/>
    <x v="3"/>
    <s v="CUST-1390"/>
    <s v="Customer 133"/>
    <x v="0"/>
    <x v="0"/>
    <x v="4"/>
    <x v="4"/>
    <n v="839378"/>
    <x v="3"/>
    <x v="345"/>
    <x v="1"/>
    <x v="8"/>
    <x v="760"/>
    <n v="21.66"/>
    <n v="9"/>
    <n v="0.15"/>
    <n v="9.9600000000000009"/>
  </r>
  <r>
    <n v="1259"/>
    <x v="1258"/>
    <x v="589"/>
    <d v="2025-01-20T00:00:00"/>
    <x v="2"/>
    <s v="CUST-1095"/>
    <s v="Customer 106"/>
    <x v="0"/>
    <x v="0"/>
    <x v="5"/>
    <x v="5"/>
    <n v="473413"/>
    <x v="0"/>
    <x v="664"/>
    <x v="2"/>
    <x v="11"/>
    <x v="572"/>
    <n v="350.72"/>
    <n v="9"/>
    <n v="0.05"/>
    <n v="42.98"/>
  </r>
  <r>
    <n v="1260"/>
    <x v="1259"/>
    <x v="369"/>
    <d v="2025-07-03T00:00:00"/>
    <x v="1"/>
    <s v="CUST-1296"/>
    <s v="Customer 057"/>
    <x v="1"/>
    <x v="0"/>
    <x v="4"/>
    <x v="4"/>
    <n v="435482"/>
    <x v="3"/>
    <x v="665"/>
    <x v="0"/>
    <x v="0"/>
    <x v="761"/>
    <n v="162"/>
    <n v="8"/>
    <n v="0.05"/>
    <n v="-0.83"/>
  </r>
  <r>
    <n v="1261"/>
    <x v="1260"/>
    <x v="329"/>
    <d v="2024-10-15T00:00:00"/>
    <x v="2"/>
    <s v="CUST-1026"/>
    <s v="Customer 183"/>
    <x v="1"/>
    <x v="0"/>
    <x v="4"/>
    <x v="4"/>
    <n v="757374"/>
    <x v="3"/>
    <x v="177"/>
    <x v="0"/>
    <x v="10"/>
    <x v="762"/>
    <n v="426.91"/>
    <n v="7"/>
    <n v="0.1"/>
    <n v="36.85"/>
  </r>
  <r>
    <n v="1262"/>
    <x v="1261"/>
    <x v="37"/>
    <d v="2025-12-01T00:00:00"/>
    <x v="3"/>
    <s v="CUST-1236"/>
    <s v="Customer 122"/>
    <x v="2"/>
    <x v="0"/>
    <x v="6"/>
    <x v="6"/>
    <n v="820406"/>
    <x v="2"/>
    <x v="409"/>
    <x v="1"/>
    <x v="2"/>
    <x v="452"/>
    <n v="47.48"/>
    <n v="4"/>
    <n v="0.2"/>
    <n v="51.89"/>
  </r>
  <r>
    <n v="1263"/>
    <x v="1262"/>
    <x v="590"/>
    <d v="2024-03-24T00:00:00"/>
    <x v="3"/>
    <s v="CUST-1279"/>
    <s v="Customer 088"/>
    <x v="2"/>
    <x v="0"/>
    <x v="3"/>
    <x v="3"/>
    <n v="230512"/>
    <x v="1"/>
    <x v="313"/>
    <x v="2"/>
    <x v="3"/>
    <x v="763"/>
    <n v="1431.84"/>
    <n v="6"/>
    <n v="0.4"/>
    <n v="-58.39"/>
  </r>
  <r>
    <n v="1264"/>
    <x v="1263"/>
    <x v="591"/>
    <d v="2025-06-01T00:00:00"/>
    <x v="3"/>
    <s v="CUST-1179"/>
    <s v="Customer 031"/>
    <x v="2"/>
    <x v="0"/>
    <x v="3"/>
    <x v="3"/>
    <n v="406732"/>
    <x v="1"/>
    <x v="309"/>
    <x v="2"/>
    <x v="5"/>
    <x v="764"/>
    <n v="162.24"/>
    <n v="6"/>
    <n v="0.15"/>
    <n v="-2.57"/>
  </r>
  <r>
    <n v="1265"/>
    <x v="1264"/>
    <x v="441"/>
    <d v="2025-12-13T00:00:00"/>
    <x v="2"/>
    <s v="CUST-1056"/>
    <s v="Customer 322"/>
    <x v="2"/>
    <x v="0"/>
    <x v="2"/>
    <x v="2"/>
    <n v="863421"/>
    <x v="2"/>
    <x v="666"/>
    <x v="2"/>
    <x v="11"/>
    <x v="137"/>
    <n v="1997.58"/>
    <n v="3"/>
    <n v="0.15"/>
    <n v="139.69999999999999"/>
  </r>
  <r>
    <n v="1266"/>
    <x v="1265"/>
    <x v="592"/>
    <d v="2025-06-09T00:00:00"/>
    <x v="3"/>
    <s v="CUST-1090"/>
    <s v="Customer 089"/>
    <x v="0"/>
    <x v="0"/>
    <x v="6"/>
    <x v="6"/>
    <n v="980219"/>
    <x v="2"/>
    <x v="667"/>
    <x v="2"/>
    <x v="5"/>
    <x v="765"/>
    <n v="815.27"/>
    <n v="4"/>
    <n v="0"/>
    <n v="131.91"/>
  </r>
  <r>
    <n v="1267"/>
    <x v="1266"/>
    <x v="23"/>
    <d v="2025-01-23T00:00:00"/>
    <x v="1"/>
    <s v="CUST-1380"/>
    <s v="Customer 272"/>
    <x v="2"/>
    <x v="0"/>
    <x v="4"/>
    <x v="4"/>
    <n v="568668"/>
    <x v="3"/>
    <x v="433"/>
    <x v="2"/>
    <x v="3"/>
    <x v="766"/>
    <n v="465.26"/>
    <n v="9"/>
    <n v="0.4"/>
    <n v="-27.95"/>
  </r>
  <r>
    <n v="1268"/>
    <x v="1267"/>
    <x v="593"/>
    <d v="2025-12-09T00:00:00"/>
    <x v="3"/>
    <s v="CUST-1062"/>
    <s v="Customer 171"/>
    <x v="0"/>
    <x v="0"/>
    <x v="0"/>
    <x v="0"/>
    <n v="692633"/>
    <x v="0"/>
    <x v="62"/>
    <x v="1"/>
    <x v="1"/>
    <x v="767"/>
    <n v="494.03"/>
    <n v="8"/>
    <n v="0"/>
    <n v="101.21"/>
  </r>
  <r>
    <n v="1269"/>
    <x v="1268"/>
    <x v="289"/>
    <d v="2025-04-20T00:00:00"/>
    <x v="3"/>
    <s v="CUST-1142"/>
    <s v="Customer 118"/>
    <x v="0"/>
    <x v="0"/>
    <x v="3"/>
    <x v="3"/>
    <n v="813297"/>
    <x v="1"/>
    <x v="350"/>
    <x v="2"/>
    <x v="3"/>
    <x v="615"/>
    <n v="240.21"/>
    <n v="8"/>
    <n v="0.15"/>
    <n v="7.17"/>
  </r>
  <r>
    <n v="1270"/>
    <x v="1269"/>
    <x v="445"/>
    <d v="2024-05-01T00:00:00"/>
    <x v="1"/>
    <s v="CUST-1323"/>
    <s v="Customer 171"/>
    <x v="0"/>
    <x v="0"/>
    <x v="5"/>
    <x v="5"/>
    <n v="796771"/>
    <x v="0"/>
    <x v="668"/>
    <x v="2"/>
    <x v="5"/>
    <x v="435"/>
    <n v="128.25"/>
    <n v="7"/>
    <n v="0"/>
    <n v="49.33"/>
  </r>
  <r>
    <n v="1271"/>
    <x v="1270"/>
    <x v="378"/>
    <d v="2025-02-02T00:00:00"/>
    <x v="2"/>
    <s v="CUST-1361"/>
    <s v="Customer 284"/>
    <x v="0"/>
    <x v="0"/>
    <x v="5"/>
    <x v="5"/>
    <n v="744615"/>
    <x v="0"/>
    <x v="311"/>
    <x v="1"/>
    <x v="2"/>
    <x v="371"/>
    <n v="47.83"/>
    <n v="4"/>
    <n v="0.2"/>
    <n v="38.07"/>
  </r>
  <r>
    <n v="1272"/>
    <x v="1271"/>
    <x v="427"/>
    <d v="2025-06-18T00:00:00"/>
    <x v="3"/>
    <s v="CUST-1388"/>
    <s v="Customer 321"/>
    <x v="1"/>
    <x v="0"/>
    <x v="1"/>
    <x v="1"/>
    <n v="838322"/>
    <x v="1"/>
    <x v="669"/>
    <x v="0"/>
    <x v="0"/>
    <x v="621"/>
    <n v="113.69"/>
    <n v="9"/>
    <n v="0.05"/>
    <n v="-16.18"/>
  </r>
  <r>
    <n v="1273"/>
    <x v="1272"/>
    <x v="531"/>
    <d v="2024-09-21T00:00:00"/>
    <x v="0"/>
    <s v="CUST-1354"/>
    <s v="Customer 210"/>
    <x v="0"/>
    <x v="0"/>
    <x v="8"/>
    <x v="8"/>
    <n v="140131"/>
    <x v="3"/>
    <x v="393"/>
    <x v="0"/>
    <x v="0"/>
    <x v="119"/>
    <n v="88.06"/>
    <n v="2"/>
    <n v="0.2"/>
    <n v="0.27"/>
  </r>
  <r>
    <n v="1274"/>
    <x v="1273"/>
    <x v="268"/>
    <d v="2024-09-17T00:00:00"/>
    <x v="1"/>
    <s v="CUST-1004"/>
    <s v="Customer 166"/>
    <x v="1"/>
    <x v="0"/>
    <x v="0"/>
    <x v="0"/>
    <n v="642744"/>
    <x v="0"/>
    <x v="670"/>
    <x v="0"/>
    <x v="10"/>
    <x v="699"/>
    <n v="97.9"/>
    <n v="6"/>
    <n v="0.15"/>
    <n v="-14.01"/>
  </r>
  <r>
    <n v="1275"/>
    <x v="1274"/>
    <x v="252"/>
    <d v="2024-08-15T00:00:00"/>
    <x v="0"/>
    <s v="CUST-1054"/>
    <s v="Customer 133"/>
    <x v="2"/>
    <x v="0"/>
    <x v="3"/>
    <x v="3"/>
    <n v="349596"/>
    <x v="1"/>
    <x v="601"/>
    <x v="1"/>
    <x v="7"/>
    <x v="534"/>
    <n v="210.41"/>
    <n v="6"/>
    <n v="0.3"/>
    <n v="-20.04"/>
  </r>
  <r>
    <n v="1276"/>
    <x v="1275"/>
    <x v="86"/>
    <d v="2024-02-26T00:00:00"/>
    <x v="3"/>
    <s v="CUST-1078"/>
    <s v="Customer 279"/>
    <x v="2"/>
    <x v="0"/>
    <x v="9"/>
    <x v="9"/>
    <n v="862017"/>
    <x v="2"/>
    <x v="425"/>
    <x v="2"/>
    <x v="5"/>
    <x v="768"/>
    <n v="235.24"/>
    <n v="2"/>
    <n v="0.1"/>
    <n v="43.3"/>
  </r>
  <r>
    <n v="1277"/>
    <x v="1276"/>
    <x v="406"/>
    <d v="2025-05-16T00:00:00"/>
    <x v="1"/>
    <s v="CUST-1085"/>
    <s v="Customer 295"/>
    <x v="2"/>
    <x v="0"/>
    <x v="3"/>
    <x v="3"/>
    <n v="620751"/>
    <x v="1"/>
    <x v="210"/>
    <x v="1"/>
    <x v="1"/>
    <x v="513"/>
    <n v="49.81"/>
    <n v="3"/>
    <n v="0.3"/>
    <n v="0.99"/>
  </r>
  <r>
    <n v="1278"/>
    <x v="1277"/>
    <x v="151"/>
    <d v="2025-05-22T00:00:00"/>
    <x v="3"/>
    <s v="CUST-1393"/>
    <s v="Customer 284"/>
    <x v="1"/>
    <x v="0"/>
    <x v="1"/>
    <x v="1"/>
    <n v="750222"/>
    <x v="1"/>
    <x v="596"/>
    <x v="1"/>
    <x v="1"/>
    <x v="737"/>
    <n v="131.76"/>
    <n v="2"/>
    <n v="0.1"/>
    <n v="60.9"/>
  </r>
  <r>
    <n v="1279"/>
    <x v="1278"/>
    <x v="594"/>
    <d v="2025-01-01T00:00:00"/>
    <x v="3"/>
    <s v="CUST-1153"/>
    <s v="Customer 107"/>
    <x v="1"/>
    <x v="0"/>
    <x v="5"/>
    <x v="5"/>
    <n v="845723"/>
    <x v="0"/>
    <x v="582"/>
    <x v="2"/>
    <x v="3"/>
    <x v="769"/>
    <n v="113.67"/>
    <n v="8"/>
    <n v="0.1"/>
    <n v="-7.48"/>
  </r>
  <r>
    <n v="1280"/>
    <x v="1279"/>
    <x v="193"/>
    <d v="2024-10-10T00:00:00"/>
    <x v="2"/>
    <s v="CUST-1073"/>
    <s v="Customer 314"/>
    <x v="1"/>
    <x v="0"/>
    <x v="4"/>
    <x v="4"/>
    <n v="894780"/>
    <x v="3"/>
    <x v="512"/>
    <x v="1"/>
    <x v="2"/>
    <x v="519"/>
    <n v="166.94"/>
    <n v="9"/>
    <n v="0.15"/>
    <n v="20.13"/>
  </r>
  <r>
    <n v="1281"/>
    <x v="1280"/>
    <x v="102"/>
    <d v="2025-08-18T00:00:00"/>
    <x v="1"/>
    <s v="CUST-1336"/>
    <s v="Customer 356"/>
    <x v="1"/>
    <x v="0"/>
    <x v="9"/>
    <x v="9"/>
    <n v="260059"/>
    <x v="2"/>
    <x v="671"/>
    <x v="2"/>
    <x v="11"/>
    <x v="770"/>
    <n v="302.52999999999997"/>
    <n v="7"/>
    <n v="0.15"/>
    <n v="10.94"/>
  </r>
  <r>
    <n v="1282"/>
    <x v="1281"/>
    <x v="413"/>
    <d v="2025-12-17T00:00:00"/>
    <x v="0"/>
    <s v="CUST-1069"/>
    <s v="Customer 093"/>
    <x v="2"/>
    <x v="0"/>
    <x v="6"/>
    <x v="6"/>
    <n v="186923"/>
    <x v="2"/>
    <x v="283"/>
    <x v="2"/>
    <x v="11"/>
    <x v="771"/>
    <n v="399.2"/>
    <n v="1"/>
    <n v="0.4"/>
    <n v="-55.78"/>
  </r>
  <r>
    <n v="1283"/>
    <x v="1282"/>
    <x v="260"/>
    <d v="2024-06-09T00:00:00"/>
    <x v="2"/>
    <s v="CUST-1084"/>
    <s v="Customer 012"/>
    <x v="1"/>
    <x v="0"/>
    <x v="7"/>
    <x v="7"/>
    <n v="839937"/>
    <x v="4"/>
    <x v="261"/>
    <x v="1"/>
    <x v="2"/>
    <x v="302"/>
    <n v="131.93"/>
    <n v="1"/>
    <n v="0.2"/>
    <n v="90.12"/>
  </r>
  <r>
    <n v="1284"/>
    <x v="1283"/>
    <x v="595"/>
    <d v="2025-09-28T00:00:00"/>
    <x v="1"/>
    <s v="CUST-1200"/>
    <s v="Customer 099"/>
    <x v="0"/>
    <x v="0"/>
    <x v="4"/>
    <x v="4"/>
    <n v="457659"/>
    <x v="3"/>
    <x v="661"/>
    <x v="1"/>
    <x v="7"/>
    <x v="292"/>
    <n v="113.67"/>
    <n v="4"/>
    <n v="0.2"/>
    <n v="0.56000000000000005"/>
  </r>
  <r>
    <n v="1285"/>
    <x v="1284"/>
    <x v="33"/>
    <d v="2024-03-02T00:00:00"/>
    <x v="3"/>
    <s v="CUST-1396"/>
    <s v="Customer 016"/>
    <x v="1"/>
    <x v="0"/>
    <x v="7"/>
    <x v="7"/>
    <n v="722503"/>
    <x v="4"/>
    <x v="327"/>
    <x v="1"/>
    <x v="7"/>
    <x v="517"/>
    <n v="96.61"/>
    <n v="9"/>
    <n v="0.2"/>
    <n v="14.6"/>
  </r>
  <r>
    <n v="1286"/>
    <x v="1285"/>
    <x v="79"/>
    <d v="2026-01-02T00:00:00"/>
    <x v="1"/>
    <s v="CUST-1242"/>
    <s v="Customer 145"/>
    <x v="0"/>
    <x v="0"/>
    <x v="0"/>
    <x v="0"/>
    <n v="333886"/>
    <x v="0"/>
    <x v="190"/>
    <x v="2"/>
    <x v="3"/>
    <x v="769"/>
    <n v="387.63"/>
    <n v="1"/>
    <n v="0.2"/>
    <n v="21.1"/>
  </r>
  <r>
    <n v="1287"/>
    <x v="1286"/>
    <x v="270"/>
    <d v="2024-05-10T00:00:00"/>
    <x v="1"/>
    <s v="CUST-1055"/>
    <s v="Customer 347"/>
    <x v="1"/>
    <x v="0"/>
    <x v="8"/>
    <x v="8"/>
    <n v="982230"/>
    <x v="3"/>
    <x v="512"/>
    <x v="0"/>
    <x v="6"/>
    <x v="772"/>
    <n v="106.47"/>
    <n v="9"/>
    <n v="0.15"/>
    <n v="-19.73"/>
  </r>
  <r>
    <n v="1288"/>
    <x v="1287"/>
    <x v="596"/>
    <d v="2025-12-25T00:00:00"/>
    <x v="3"/>
    <s v="CUST-1339"/>
    <s v="Customer 128"/>
    <x v="2"/>
    <x v="0"/>
    <x v="9"/>
    <x v="9"/>
    <n v="282414"/>
    <x v="2"/>
    <x v="584"/>
    <x v="1"/>
    <x v="2"/>
    <x v="89"/>
    <n v="124.67"/>
    <n v="7"/>
    <n v="0"/>
    <n v="29.69"/>
  </r>
  <r>
    <n v="1289"/>
    <x v="1288"/>
    <x v="358"/>
    <d v="2024-04-27T00:00:00"/>
    <x v="1"/>
    <s v="CUST-1315"/>
    <s v="Customer 322"/>
    <x v="0"/>
    <x v="0"/>
    <x v="2"/>
    <x v="2"/>
    <n v="675357"/>
    <x v="2"/>
    <x v="672"/>
    <x v="0"/>
    <x v="6"/>
    <x v="209"/>
    <n v="323.49"/>
    <n v="7"/>
    <n v="0.15"/>
    <n v="27.9"/>
  </r>
  <r>
    <n v="1290"/>
    <x v="1289"/>
    <x v="597"/>
    <d v="2024-07-30T00:00:00"/>
    <x v="2"/>
    <s v="CUST-1234"/>
    <s v="Customer 392"/>
    <x v="0"/>
    <x v="0"/>
    <x v="9"/>
    <x v="9"/>
    <n v="444417"/>
    <x v="2"/>
    <x v="673"/>
    <x v="0"/>
    <x v="6"/>
    <x v="140"/>
    <n v="293.20999999999998"/>
    <n v="5"/>
    <n v="0.15"/>
    <n v="17.38"/>
  </r>
  <r>
    <n v="1291"/>
    <x v="1290"/>
    <x v="429"/>
    <d v="2025-06-12T00:00:00"/>
    <x v="0"/>
    <s v="CUST-1049"/>
    <s v="Customer 345"/>
    <x v="2"/>
    <x v="0"/>
    <x v="3"/>
    <x v="3"/>
    <n v="642101"/>
    <x v="1"/>
    <x v="399"/>
    <x v="2"/>
    <x v="3"/>
    <x v="773"/>
    <n v="266.13"/>
    <n v="5"/>
    <n v="0.05"/>
    <n v="53.08"/>
  </r>
  <r>
    <n v="1292"/>
    <x v="1291"/>
    <x v="95"/>
    <d v="2025-06-09T00:00:00"/>
    <x v="2"/>
    <s v="CUST-1095"/>
    <s v="Customer 352"/>
    <x v="1"/>
    <x v="0"/>
    <x v="5"/>
    <x v="5"/>
    <n v="842474"/>
    <x v="0"/>
    <x v="609"/>
    <x v="2"/>
    <x v="5"/>
    <x v="774"/>
    <n v="419.94"/>
    <n v="5"/>
    <n v="0"/>
    <n v="98.84"/>
  </r>
  <r>
    <n v="1293"/>
    <x v="1292"/>
    <x v="598"/>
    <d v="2025-07-09T00:00:00"/>
    <x v="3"/>
    <s v="CUST-1118"/>
    <s v="Customer 098"/>
    <x v="2"/>
    <x v="0"/>
    <x v="3"/>
    <x v="3"/>
    <n v="183081"/>
    <x v="1"/>
    <x v="654"/>
    <x v="1"/>
    <x v="7"/>
    <x v="255"/>
    <n v="50.83"/>
    <n v="7"/>
    <n v="0.15"/>
    <n v="20.260000000000002"/>
  </r>
  <r>
    <n v="1294"/>
    <x v="1293"/>
    <x v="319"/>
    <d v="2024-08-26T00:00:00"/>
    <x v="1"/>
    <s v="CUST-1291"/>
    <s v="Customer 342"/>
    <x v="0"/>
    <x v="0"/>
    <x v="3"/>
    <x v="3"/>
    <n v="277367"/>
    <x v="1"/>
    <x v="135"/>
    <x v="0"/>
    <x v="6"/>
    <x v="474"/>
    <n v="145.49"/>
    <n v="3"/>
    <n v="0.1"/>
    <n v="-4.67"/>
  </r>
  <r>
    <n v="1295"/>
    <x v="1294"/>
    <x v="483"/>
    <d v="2024-10-08T00:00:00"/>
    <x v="0"/>
    <s v="CUST-1278"/>
    <s v="Customer 371"/>
    <x v="0"/>
    <x v="0"/>
    <x v="0"/>
    <x v="0"/>
    <n v="901391"/>
    <x v="0"/>
    <x v="263"/>
    <x v="1"/>
    <x v="8"/>
    <x v="227"/>
    <n v="82.27"/>
    <n v="2"/>
    <n v="0.2"/>
    <n v="32.450000000000003"/>
  </r>
  <r>
    <n v="1296"/>
    <x v="1295"/>
    <x v="161"/>
    <d v="2024-12-29T00:00:00"/>
    <x v="0"/>
    <s v="CUST-1395"/>
    <s v="Customer 271"/>
    <x v="2"/>
    <x v="0"/>
    <x v="4"/>
    <x v="4"/>
    <n v="101825"/>
    <x v="3"/>
    <x v="674"/>
    <x v="0"/>
    <x v="0"/>
    <x v="26"/>
    <n v="235.86"/>
    <n v="9"/>
    <n v="0.2"/>
    <n v="9.76"/>
  </r>
  <r>
    <n v="1297"/>
    <x v="1296"/>
    <x v="112"/>
    <d v="2024-07-22T00:00:00"/>
    <x v="3"/>
    <s v="CUST-1235"/>
    <s v="Customer 060"/>
    <x v="1"/>
    <x v="0"/>
    <x v="2"/>
    <x v="2"/>
    <n v="720971"/>
    <x v="2"/>
    <x v="647"/>
    <x v="1"/>
    <x v="2"/>
    <x v="3"/>
    <n v="196.19"/>
    <n v="6"/>
    <n v="0.2"/>
    <n v="27.72"/>
  </r>
  <r>
    <n v="1298"/>
    <x v="1297"/>
    <x v="599"/>
    <d v="2024-10-09T00:00:00"/>
    <x v="3"/>
    <s v="CUST-1251"/>
    <s v="Customer 219"/>
    <x v="2"/>
    <x v="0"/>
    <x v="2"/>
    <x v="2"/>
    <n v="524524"/>
    <x v="2"/>
    <x v="675"/>
    <x v="2"/>
    <x v="5"/>
    <x v="775"/>
    <n v="639.64"/>
    <n v="3"/>
    <n v="0.2"/>
    <n v="16.22"/>
  </r>
  <r>
    <n v="1299"/>
    <x v="1298"/>
    <x v="392"/>
    <d v="2024-08-24T00:00:00"/>
    <x v="2"/>
    <s v="CUST-1273"/>
    <s v="Customer 358"/>
    <x v="0"/>
    <x v="0"/>
    <x v="3"/>
    <x v="3"/>
    <n v="409345"/>
    <x v="1"/>
    <x v="676"/>
    <x v="0"/>
    <x v="6"/>
    <x v="605"/>
    <n v="288.26"/>
    <n v="4"/>
    <n v="0.3"/>
    <n v="-19.170000000000002"/>
  </r>
  <r>
    <n v="1300"/>
    <x v="1299"/>
    <x v="600"/>
    <d v="2025-05-11T00:00:00"/>
    <x v="2"/>
    <s v="CUST-1079"/>
    <s v="Customer 312"/>
    <x v="1"/>
    <x v="0"/>
    <x v="7"/>
    <x v="7"/>
    <n v="349494"/>
    <x v="4"/>
    <x v="317"/>
    <x v="2"/>
    <x v="5"/>
    <x v="434"/>
    <n v="1826.77"/>
    <n v="1"/>
    <n v="0"/>
    <n v="254.54"/>
  </r>
  <r>
    <n v="1301"/>
    <x v="1300"/>
    <x v="523"/>
    <d v="2024-01-05T00:00:00"/>
    <x v="2"/>
    <s v="CUST-1371"/>
    <s v="Customer 031"/>
    <x v="1"/>
    <x v="0"/>
    <x v="0"/>
    <x v="0"/>
    <n v="270932"/>
    <x v="0"/>
    <x v="677"/>
    <x v="0"/>
    <x v="10"/>
    <x v="776"/>
    <n v="1015.73"/>
    <n v="7"/>
    <n v="0.1"/>
    <n v="80.319999999999993"/>
  </r>
  <r>
    <n v="1302"/>
    <x v="1301"/>
    <x v="500"/>
    <d v="2025-11-02T00:00:00"/>
    <x v="3"/>
    <s v="CUST-1047"/>
    <s v="Customer 254"/>
    <x v="1"/>
    <x v="0"/>
    <x v="3"/>
    <x v="3"/>
    <n v="713710"/>
    <x v="1"/>
    <x v="584"/>
    <x v="0"/>
    <x v="0"/>
    <x v="126"/>
    <n v="180.71"/>
    <n v="4"/>
    <n v="0"/>
    <n v="51.91"/>
  </r>
  <r>
    <n v="1303"/>
    <x v="1302"/>
    <x v="175"/>
    <d v="2025-03-19T00:00:00"/>
    <x v="0"/>
    <s v="CUST-1351"/>
    <s v="Customer 070"/>
    <x v="1"/>
    <x v="0"/>
    <x v="8"/>
    <x v="8"/>
    <n v="758272"/>
    <x v="3"/>
    <x v="441"/>
    <x v="1"/>
    <x v="7"/>
    <x v="742"/>
    <n v="155.72999999999999"/>
    <n v="4"/>
    <n v="0.1"/>
    <n v="42.19"/>
  </r>
  <r>
    <n v="1304"/>
    <x v="1303"/>
    <x v="402"/>
    <d v="2024-02-01T00:00:00"/>
    <x v="1"/>
    <s v="CUST-1027"/>
    <s v="Customer 077"/>
    <x v="0"/>
    <x v="0"/>
    <x v="5"/>
    <x v="5"/>
    <n v="152784"/>
    <x v="0"/>
    <x v="118"/>
    <x v="1"/>
    <x v="7"/>
    <x v="732"/>
    <n v="35.119999999999997"/>
    <n v="5"/>
    <n v="0.15"/>
    <n v="32.61"/>
  </r>
  <r>
    <n v="1305"/>
    <x v="1304"/>
    <x v="387"/>
    <d v="2024-04-21T00:00:00"/>
    <x v="0"/>
    <s v="CUST-1186"/>
    <s v="Customer 373"/>
    <x v="1"/>
    <x v="0"/>
    <x v="4"/>
    <x v="4"/>
    <n v="374115"/>
    <x v="3"/>
    <x v="647"/>
    <x v="2"/>
    <x v="3"/>
    <x v="667"/>
    <n v="527.03"/>
    <n v="8"/>
    <n v="0.2"/>
    <n v="35.35"/>
  </r>
  <r>
    <n v="1306"/>
    <x v="1305"/>
    <x v="194"/>
    <d v="2025-09-04T00:00:00"/>
    <x v="2"/>
    <s v="CUST-1029"/>
    <s v="Customer 302"/>
    <x v="2"/>
    <x v="0"/>
    <x v="6"/>
    <x v="6"/>
    <n v="997971"/>
    <x v="2"/>
    <x v="581"/>
    <x v="2"/>
    <x v="4"/>
    <x v="777"/>
    <n v="304"/>
    <n v="1"/>
    <n v="0.1"/>
    <n v="23.02"/>
  </r>
  <r>
    <n v="1307"/>
    <x v="1306"/>
    <x v="79"/>
    <d v="2025-12-30T00:00:00"/>
    <x v="2"/>
    <s v="CUST-1047"/>
    <s v="Customer 202"/>
    <x v="0"/>
    <x v="0"/>
    <x v="8"/>
    <x v="8"/>
    <n v="395608"/>
    <x v="3"/>
    <x v="458"/>
    <x v="2"/>
    <x v="3"/>
    <x v="115"/>
    <n v="251.65"/>
    <n v="1"/>
    <n v="0.15"/>
    <n v="21.07"/>
  </r>
  <r>
    <n v="1308"/>
    <x v="1307"/>
    <x v="361"/>
    <d v="2024-03-18T00:00:00"/>
    <x v="1"/>
    <s v="CUST-1226"/>
    <s v="Customer 093"/>
    <x v="2"/>
    <x v="0"/>
    <x v="7"/>
    <x v="7"/>
    <n v="999915"/>
    <x v="4"/>
    <x v="484"/>
    <x v="0"/>
    <x v="9"/>
    <x v="778"/>
    <n v="169.13"/>
    <n v="6"/>
    <n v="0.15"/>
    <n v="28.9"/>
  </r>
  <r>
    <n v="1309"/>
    <x v="1308"/>
    <x v="446"/>
    <d v="2024-05-30T00:00:00"/>
    <x v="0"/>
    <s v="CUST-1339"/>
    <s v="Customer 349"/>
    <x v="2"/>
    <x v="0"/>
    <x v="9"/>
    <x v="9"/>
    <n v="835043"/>
    <x v="2"/>
    <x v="582"/>
    <x v="1"/>
    <x v="1"/>
    <x v="513"/>
    <n v="315.37"/>
    <n v="1"/>
    <n v="0.05"/>
    <n v="32.47"/>
  </r>
  <r>
    <n v="1310"/>
    <x v="1309"/>
    <x v="270"/>
    <d v="2024-05-09T00:00:00"/>
    <x v="0"/>
    <s v="CUST-1376"/>
    <s v="Customer 087"/>
    <x v="1"/>
    <x v="0"/>
    <x v="9"/>
    <x v="9"/>
    <n v="469992"/>
    <x v="2"/>
    <x v="32"/>
    <x v="1"/>
    <x v="1"/>
    <x v="767"/>
    <n v="95.12"/>
    <n v="9"/>
    <n v="0.4"/>
    <n v="-18.73"/>
  </r>
  <r>
    <n v="1311"/>
    <x v="1310"/>
    <x v="389"/>
    <d v="2024-02-14T00:00:00"/>
    <x v="0"/>
    <s v="CUST-1226"/>
    <s v="Customer 240"/>
    <x v="0"/>
    <x v="0"/>
    <x v="8"/>
    <x v="8"/>
    <n v="950131"/>
    <x v="3"/>
    <x v="584"/>
    <x v="2"/>
    <x v="3"/>
    <x v="386"/>
    <n v="266.43"/>
    <n v="2"/>
    <n v="0.1"/>
    <n v="10.18"/>
  </r>
  <r>
    <n v="1312"/>
    <x v="1311"/>
    <x v="560"/>
    <d v="2024-12-24T00:00:00"/>
    <x v="3"/>
    <s v="CUST-1339"/>
    <s v="Customer 317"/>
    <x v="1"/>
    <x v="0"/>
    <x v="3"/>
    <x v="3"/>
    <n v="534781"/>
    <x v="1"/>
    <x v="20"/>
    <x v="0"/>
    <x v="0"/>
    <x v="245"/>
    <n v="219.61"/>
    <n v="4"/>
    <n v="0.1"/>
    <n v="6.52"/>
  </r>
  <r>
    <n v="1313"/>
    <x v="1312"/>
    <x v="91"/>
    <d v="2024-02-16T00:00:00"/>
    <x v="2"/>
    <s v="CUST-1279"/>
    <s v="Customer 358"/>
    <x v="1"/>
    <x v="0"/>
    <x v="6"/>
    <x v="6"/>
    <n v="815003"/>
    <x v="2"/>
    <x v="68"/>
    <x v="0"/>
    <x v="6"/>
    <x v="380"/>
    <n v="273.89999999999998"/>
    <n v="3"/>
    <n v="0.1"/>
    <n v="2.2999999999999998"/>
  </r>
  <r>
    <n v="1314"/>
    <x v="1313"/>
    <x v="461"/>
    <d v="2024-02-04T00:00:00"/>
    <x v="3"/>
    <s v="CUST-1367"/>
    <s v="Customer 229"/>
    <x v="2"/>
    <x v="0"/>
    <x v="1"/>
    <x v="1"/>
    <n v="137459"/>
    <x v="1"/>
    <x v="652"/>
    <x v="1"/>
    <x v="2"/>
    <x v="371"/>
    <n v="167.55"/>
    <n v="4"/>
    <n v="0.1"/>
    <n v="26.07"/>
  </r>
  <r>
    <n v="1315"/>
    <x v="1314"/>
    <x v="258"/>
    <d v="2024-01-20T00:00:00"/>
    <x v="0"/>
    <s v="CUST-1287"/>
    <s v="Customer 336"/>
    <x v="0"/>
    <x v="0"/>
    <x v="1"/>
    <x v="1"/>
    <n v="196500"/>
    <x v="1"/>
    <x v="678"/>
    <x v="0"/>
    <x v="9"/>
    <x v="576"/>
    <n v="411.98"/>
    <n v="5"/>
    <n v="0.4"/>
    <n v="-18.63"/>
  </r>
  <r>
    <n v="1316"/>
    <x v="1315"/>
    <x v="166"/>
    <d v="2025-11-11T00:00:00"/>
    <x v="3"/>
    <s v="CUST-1071"/>
    <s v="Customer 365"/>
    <x v="1"/>
    <x v="0"/>
    <x v="7"/>
    <x v="7"/>
    <n v="231866"/>
    <x v="4"/>
    <x v="266"/>
    <x v="1"/>
    <x v="1"/>
    <x v="222"/>
    <n v="25.36"/>
    <n v="6"/>
    <n v="0.1"/>
    <n v="19.420000000000002"/>
  </r>
  <r>
    <n v="1317"/>
    <x v="1316"/>
    <x v="236"/>
    <d v="2024-06-07T00:00:00"/>
    <x v="0"/>
    <s v="CUST-1152"/>
    <s v="Customer 344"/>
    <x v="1"/>
    <x v="0"/>
    <x v="3"/>
    <x v="3"/>
    <n v="490014"/>
    <x v="1"/>
    <x v="406"/>
    <x v="1"/>
    <x v="2"/>
    <x v="56"/>
    <n v="73.84"/>
    <n v="7"/>
    <n v="0"/>
    <n v="-4.87"/>
  </r>
  <r>
    <n v="1318"/>
    <x v="1317"/>
    <x v="561"/>
    <d v="2025-01-18T00:00:00"/>
    <x v="3"/>
    <s v="CUST-1133"/>
    <s v="Customer 006"/>
    <x v="2"/>
    <x v="0"/>
    <x v="2"/>
    <x v="2"/>
    <n v="104015"/>
    <x v="2"/>
    <x v="503"/>
    <x v="2"/>
    <x v="5"/>
    <x v="710"/>
    <n v="412.39"/>
    <n v="3"/>
    <n v="0.15"/>
    <n v="69.739999999999995"/>
  </r>
  <r>
    <n v="1319"/>
    <x v="1318"/>
    <x v="394"/>
    <d v="2025-08-16T00:00:00"/>
    <x v="0"/>
    <s v="CUST-1069"/>
    <s v="Customer 276"/>
    <x v="0"/>
    <x v="0"/>
    <x v="2"/>
    <x v="2"/>
    <n v="480213"/>
    <x v="2"/>
    <x v="679"/>
    <x v="1"/>
    <x v="2"/>
    <x v="709"/>
    <n v="161.32"/>
    <n v="3"/>
    <n v="0.2"/>
    <n v="-8.0299999999999994"/>
  </r>
  <r>
    <n v="1320"/>
    <x v="1319"/>
    <x v="601"/>
    <d v="2025-08-24T00:00:00"/>
    <x v="2"/>
    <s v="CUST-1148"/>
    <s v="Customer 241"/>
    <x v="0"/>
    <x v="0"/>
    <x v="4"/>
    <x v="4"/>
    <n v="899523"/>
    <x v="3"/>
    <x v="167"/>
    <x v="2"/>
    <x v="11"/>
    <x v="779"/>
    <n v="186.87"/>
    <n v="3"/>
    <n v="0.1"/>
    <n v="4.1900000000000004"/>
  </r>
  <r>
    <n v="1321"/>
    <x v="1320"/>
    <x v="602"/>
    <d v="2025-09-23T00:00:00"/>
    <x v="0"/>
    <s v="CUST-1166"/>
    <s v="Customer 129"/>
    <x v="1"/>
    <x v="0"/>
    <x v="6"/>
    <x v="6"/>
    <n v="255812"/>
    <x v="2"/>
    <x v="483"/>
    <x v="1"/>
    <x v="8"/>
    <x v="780"/>
    <n v="57.21"/>
    <n v="6"/>
    <n v="0.15"/>
    <n v="-5.55"/>
  </r>
  <r>
    <n v="1322"/>
    <x v="1321"/>
    <x v="297"/>
    <d v="2024-12-09T00:00:00"/>
    <x v="3"/>
    <s v="CUST-1258"/>
    <s v="Customer 178"/>
    <x v="1"/>
    <x v="0"/>
    <x v="6"/>
    <x v="6"/>
    <n v="606398"/>
    <x v="2"/>
    <x v="193"/>
    <x v="0"/>
    <x v="10"/>
    <x v="600"/>
    <n v="148.25"/>
    <n v="1"/>
    <n v="0.15"/>
    <n v="14.77"/>
  </r>
  <r>
    <n v="1323"/>
    <x v="1322"/>
    <x v="251"/>
    <d v="2024-02-01T00:00:00"/>
    <x v="0"/>
    <s v="CUST-1135"/>
    <s v="Customer 014"/>
    <x v="2"/>
    <x v="0"/>
    <x v="9"/>
    <x v="9"/>
    <n v="837897"/>
    <x v="2"/>
    <x v="250"/>
    <x v="0"/>
    <x v="0"/>
    <x v="266"/>
    <n v="186.53"/>
    <n v="3"/>
    <n v="0.15"/>
    <n v="3.16"/>
  </r>
  <r>
    <n v="1324"/>
    <x v="1323"/>
    <x v="603"/>
    <d v="2024-10-17T00:00:00"/>
    <x v="3"/>
    <s v="CUST-1271"/>
    <s v="Customer 013"/>
    <x v="0"/>
    <x v="0"/>
    <x v="0"/>
    <x v="0"/>
    <n v="859509"/>
    <x v="0"/>
    <x v="127"/>
    <x v="1"/>
    <x v="2"/>
    <x v="127"/>
    <n v="89.29"/>
    <n v="2"/>
    <n v="0.15"/>
    <n v="-12.14"/>
  </r>
  <r>
    <n v="1325"/>
    <x v="1324"/>
    <x v="148"/>
    <d v="2025-10-10T00:00:00"/>
    <x v="0"/>
    <s v="CUST-1093"/>
    <s v="Customer 211"/>
    <x v="0"/>
    <x v="0"/>
    <x v="7"/>
    <x v="7"/>
    <n v="861380"/>
    <x v="4"/>
    <x v="547"/>
    <x v="1"/>
    <x v="2"/>
    <x v="668"/>
    <n v="22.84"/>
    <n v="2"/>
    <n v="0.1"/>
    <n v="11.99"/>
  </r>
  <r>
    <n v="1326"/>
    <x v="1325"/>
    <x v="604"/>
    <d v="2026-01-03T00:00:00"/>
    <x v="0"/>
    <s v="CUST-1223"/>
    <s v="Customer 043"/>
    <x v="2"/>
    <x v="0"/>
    <x v="1"/>
    <x v="1"/>
    <n v="544802"/>
    <x v="1"/>
    <x v="576"/>
    <x v="1"/>
    <x v="8"/>
    <x v="760"/>
    <n v="101.22"/>
    <n v="7"/>
    <n v="0.15"/>
    <n v="-20.69"/>
  </r>
  <r>
    <n v="1327"/>
    <x v="1326"/>
    <x v="350"/>
    <d v="2024-06-19T00:00:00"/>
    <x v="0"/>
    <s v="CUST-1150"/>
    <s v="Customer 317"/>
    <x v="0"/>
    <x v="0"/>
    <x v="7"/>
    <x v="7"/>
    <n v="959138"/>
    <x v="4"/>
    <x v="146"/>
    <x v="0"/>
    <x v="0"/>
    <x v="258"/>
    <n v="497.81"/>
    <n v="2"/>
    <n v="0.15"/>
    <n v="12.02"/>
  </r>
  <r>
    <n v="1328"/>
    <x v="1327"/>
    <x v="194"/>
    <d v="2025-09-04T00:00:00"/>
    <x v="3"/>
    <s v="CUST-1301"/>
    <s v="Customer 048"/>
    <x v="0"/>
    <x v="0"/>
    <x v="2"/>
    <x v="2"/>
    <n v="884891"/>
    <x v="2"/>
    <x v="102"/>
    <x v="1"/>
    <x v="8"/>
    <x v="514"/>
    <n v="167.91"/>
    <n v="4"/>
    <n v="0.15"/>
    <n v="23.58"/>
  </r>
  <r>
    <n v="1329"/>
    <x v="1328"/>
    <x v="176"/>
    <d v="2024-09-27T00:00:00"/>
    <x v="3"/>
    <s v="CUST-1339"/>
    <s v="Customer 126"/>
    <x v="1"/>
    <x v="0"/>
    <x v="2"/>
    <x v="2"/>
    <n v="281613"/>
    <x v="2"/>
    <x v="274"/>
    <x v="0"/>
    <x v="9"/>
    <x v="778"/>
    <n v="152.77000000000001"/>
    <n v="9"/>
    <n v="0.1"/>
    <n v="-24.05"/>
  </r>
  <r>
    <n v="1330"/>
    <x v="1329"/>
    <x v="58"/>
    <d v="2025-04-03T00:00:00"/>
    <x v="0"/>
    <s v="CUST-1017"/>
    <s v="Customer 016"/>
    <x v="2"/>
    <x v="0"/>
    <x v="8"/>
    <x v="8"/>
    <n v="472659"/>
    <x v="3"/>
    <x v="660"/>
    <x v="1"/>
    <x v="2"/>
    <x v="464"/>
    <n v="102.26"/>
    <n v="7"/>
    <n v="0.15"/>
    <n v="53.8"/>
  </r>
  <r>
    <n v="1331"/>
    <x v="1330"/>
    <x v="284"/>
    <d v="2025-11-18T00:00:00"/>
    <x v="0"/>
    <s v="CUST-1297"/>
    <s v="Customer 045"/>
    <x v="1"/>
    <x v="0"/>
    <x v="4"/>
    <x v="4"/>
    <n v="913162"/>
    <x v="3"/>
    <x v="484"/>
    <x v="0"/>
    <x v="6"/>
    <x v="781"/>
    <n v="178.02"/>
    <n v="1"/>
    <n v="0.15"/>
    <n v="-18.05"/>
  </r>
  <r>
    <n v="1332"/>
    <x v="1331"/>
    <x v="191"/>
    <d v="2025-02-08T00:00:00"/>
    <x v="3"/>
    <s v="CUST-1193"/>
    <s v="Customer 316"/>
    <x v="2"/>
    <x v="0"/>
    <x v="6"/>
    <x v="6"/>
    <n v="483576"/>
    <x v="2"/>
    <x v="640"/>
    <x v="1"/>
    <x v="7"/>
    <x v="43"/>
    <n v="120.42"/>
    <n v="6"/>
    <n v="0.15"/>
    <n v="-28.99"/>
  </r>
  <r>
    <n v="1333"/>
    <x v="1332"/>
    <x v="36"/>
    <d v="2025-04-23T00:00:00"/>
    <x v="3"/>
    <s v="CUST-1097"/>
    <s v="Customer 008"/>
    <x v="1"/>
    <x v="0"/>
    <x v="5"/>
    <x v="5"/>
    <n v="248455"/>
    <x v="0"/>
    <x v="201"/>
    <x v="1"/>
    <x v="2"/>
    <x v="709"/>
    <n v="27.21"/>
    <n v="6"/>
    <n v="0"/>
    <n v="-30.69"/>
  </r>
  <r>
    <n v="1334"/>
    <x v="1333"/>
    <x v="81"/>
    <d v="2025-12-04T00:00:00"/>
    <x v="3"/>
    <s v="CUST-1143"/>
    <s v="Customer 357"/>
    <x v="0"/>
    <x v="0"/>
    <x v="7"/>
    <x v="7"/>
    <n v="465573"/>
    <x v="4"/>
    <x v="51"/>
    <x v="1"/>
    <x v="1"/>
    <x v="351"/>
    <n v="19.32"/>
    <n v="8"/>
    <n v="0.15"/>
    <n v="-4.7699999999999996"/>
  </r>
  <r>
    <n v="1335"/>
    <x v="1334"/>
    <x v="314"/>
    <d v="2025-09-27T00:00:00"/>
    <x v="0"/>
    <s v="CUST-1267"/>
    <s v="Customer 325"/>
    <x v="1"/>
    <x v="0"/>
    <x v="2"/>
    <x v="2"/>
    <n v="770792"/>
    <x v="2"/>
    <x v="313"/>
    <x v="2"/>
    <x v="4"/>
    <x v="782"/>
    <n v="583.83000000000004"/>
    <n v="1"/>
    <n v="0.2"/>
    <n v="65.92"/>
  </r>
  <r>
    <n v="1336"/>
    <x v="1335"/>
    <x v="439"/>
    <d v="2025-07-15T00:00:00"/>
    <x v="1"/>
    <s v="CUST-1051"/>
    <s v="Customer 240"/>
    <x v="0"/>
    <x v="0"/>
    <x v="0"/>
    <x v="0"/>
    <n v="848112"/>
    <x v="0"/>
    <x v="155"/>
    <x v="2"/>
    <x v="4"/>
    <x v="783"/>
    <n v="201.17"/>
    <n v="3"/>
    <n v="0.2"/>
    <n v="17.46"/>
  </r>
  <r>
    <n v="1337"/>
    <x v="1336"/>
    <x v="605"/>
    <d v="2025-08-01T00:00:00"/>
    <x v="1"/>
    <s v="CUST-1221"/>
    <s v="Customer 298"/>
    <x v="2"/>
    <x v="0"/>
    <x v="9"/>
    <x v="9"/>
    <n v="224826"/>
    <x v="2"/>
    <x v="680"/>
    <x v="1"/>
    <x v="8"/>
    <x v="632"/>
    <n v="123.57"/>
    <n v="5"/>
    <n v="0.15"/>
    <n v="-2.86"/>
  </r>
  <r>
    <n v="1338"/>
    <x v="1337"/>
    <x v="184"/>
    <d v="2024-05-13T00:00:00"/>
    <x v="2"/>
    <s v="CUST-1102"/>
    <s v="Customer 398"/>
    <x v="1"/>
    <x v="0"/>
    <x v="1"/>
    <x v="1"/>
    <n v="684337"/>
    <x v="1"/>
    <x v="229"/>
    <x v="2"/>
    <x v="4"/>
    <x v="81"/>
    <n v="194.63"/>
    <n v="2"/>
    <n v="0.1"/>
    <n v="41.32"/>
  </r>
  <r>
    <n v="1339"/>
    <x v="1338"/>
    <x v="505"/>
    <d v="2025-01-01T00:00:00"/>
    <x v="0"/>
    <s v="CUST-1247"/>
    <s v="Customer 217"/>
    <x v="1"/>
    <x v="0"/>
    <x v="4"/>
    <x v="4"/>
    <n v="153441"/>
    <x v="3"/>
    <x v="291"/>
    <x v="1"/>
    <x v="1"/>
    <x v="696"/>
    <n v="112.85"/>
    <n v="6"/>
    <n v="0.1"/>
    <n v="13.54"/>
  </r>
  <r>
    <n v="1340"/>
    <x v="1339"/>
    <x v="606"/>
    <d v="2025-12-08T00:00:00"/>
    <x v="3"/>
    <s v="CUST-1385"/>
    <s v="Customer 085"/>
    <x v="0"/>
    <x v="0"/>
    <x v="0"/>
    <x v="0"/>
    <n v="337012"/>
    <x v="0"/>
    <x v="222"/>
    <x v="0"/>
    <x v="6"/>
    <x v="360"/>
    <n v="152.9"/>
    <n v="4"/>
    <n v="0.2"/>
    <n v="13.45"/>
  </r>
  <r>
    <n v="1341"/>
    <x v="1340"/>
    <x v="388"/>
    <d v="2025-11-26T00:00:00"/>
    <x v="0"/>
    <s v="CUST-1353"/>
    <s v="Customer 051"/>
    <x v="1"/>
    <x v="0"/>
    <x v="4"/>
    <x v="4"/>
    <n v="709342"/>
    <x v="3"/>
    <x v="272"/>
    <x v="0"/>
    <x v="9"/>
    <x v="784"/>
    <n v="117.76"/>
    <n v="2"/>
    <n v="0.05"/>
    <n v="5.83"/>
  </r>
  <r>
    <n v="1342"/>
    <x v="1341"/>
    <x v="554"/>
    <d v="2024-10-21T00:00:00"/>
    <x v="3"/>
    <s v="CUST-1041"/>
    <s v="Customer 119"/>
    <x v="2"/>
    <x v="0"/>
    <x v="8"/>
    <x v="8"/>
    <n v="222475"/>
    <x v="3"/>
    <x v="304"/>
    <x v="1"/>
    <x v="8"/>
    <x v="785"/>
    <n v="69.180000000000007"/>
    <n v="3"/>
    <n v="0.15"/>
    <n v="30.58"/>
  </r>
  <r>
    <n v="1343"/>
    <x v="1342"/>
    <x v="564"/>
    <d v="2025-01-10T00:00:00"/>
    <x v="2"/>
    <s v="CUST-1224"/>
    <s v="Customer 046"/>
    <x v="0"/>
    <x v="0"/>
    <x v="5"/>
    <x v="5"/>
    <n v="888005"/>
    <x v="0"/>
    <x v="213"/>
    <x v="1"/>
    <x v="1"/>
    <x v="786"/>
    <n v="43.87"/>
    <n v="7"/>
    <n v="0"/>
    <n v="17.11"/>
  </r>
  <r>
    <n v="1344"/>
    <x v="1343"/>
    <x v="402"/>
    <d v="2024-02-01T00:00:00"/>
    <x v="0"/>
    <s v="CUST-1218"/>
    <s v="Customer 107"/>
    <x v="1"/>
    <x v="0"/>
    <x v="2"/>
    <x v="2"/>
    <n v="813607"/>
    <x v="2"/>
    <x v="646"/>
    <x v="0"/>
    <x v="9"/>
    <x v="608"/>
    <n v="281.25"/>
    <n v="5"/>
    <n v="0.4"/>
    <n v="-35.869999999999997"/>
  </r>
  <r>
    <n v="1345"/>
    <x v="1344"/>
    <x v="423"/>
    <d v="2024-06-02T00:00:00"/>
    <x v="1"/>
    <s v="CUST-1342"/>
    <s v="Customer 082"/>
    <x v="0"/>
    <x v="0"/>
    <x v="9"/>
    <x v="9"/>
    <n v="676981"/>
    <x v="2"/>
    <x v="289"/>
    <x v="0"/>
    <x v="10"/>
    <x v="787"/>
    <n v="228.65"/>
    <n v="3"/>
    <n v="0.2"/>
    <n v="18.53"/>
  </r>
  <r>
    <n v="1346"/>
    <x v="1345"/>
    <x v="82"/>
    <d v="2024-10-24T00:00:00"/>
    <x v="0"/>
    <s v="CUST-1384"/>
    <s v="Customer 341"/>
    <x v="2"/>
    <x v="0"/>
    <x v="0"/>
    <x v="0"/>
    <n v="593663"/>
    <x v="0"/>
    <x v="681"/>
    <x v="0"/>
    <x v="10"/>
    <x v="788"/>
    <n v="241.5"/>
    <n v="7"/>
    <n v="0"/>
    <n v="-3.6"/>
  </r>
  <r>
    <n v="1347"/>
    <x v="1346"/>
    <x v="555"/>
    <d v="2024-01-14T00:00:00"/>
    <x v="2"/>
    <s v="CUST-1262"/>
    <s v="Customer 331"/>
    <x v="2"/>
    <x v="0"/>
    <x v="4"/>
    <x v="4"/>
    <n v="458117"/>
    <x v="3"/>
    <x v="682"/>
    <x v="1"/>
    <x v="8"/>
    <x v="526"/>
    <n v="116.84"/>
    <n v="3"/>
    <n v="0"/>
    <n v="-12.28"/>
  </r>
  <r>
    <n v="1348"/>
    <x v="1347"/>
    <x v="257"/>
    <d v="2025-05-29T00:00:00"/>
    <x v="1"/>
    <s v="CUST-1290"/>
    <s v="Customer 328"/>
    <x v="0"/>
    <x v="0"/>
    <x v="6"/>
    <x v="6"/>
    <n v="468052"/>
    <x v="2"/>
    <x v="213"/>
    <x v="2"/>
    <x v="3"/>
    <x v="789"/>
    <n v="223.89"/>
    <n v="6"/>
    <n v="0.15"/>
    <n v="44.81"/>
  </r>
  <r>
    <n v="1349"/>
    <x v="1348"/>
    <x v="365"/>
    <d v="2025-11-09T00:00:00"/>
    <x v="0"/>
    <s v="CUST-1288"/>
    <s v="Customer 329"/>
    <x v="0"/>
    <x v="0"/>
    <x v="8"/>
    <x v="8"/>
    <n v="806817"/>
    <x v="3"/>
    <x v="343"/>
    <x v="1"/>
    <x v="1"/>
    <x v="163"/>
    <n v="123.06"/>
    <n v="5"/>
    <n v="0.3"/>
    <n v="37.03"/>
  </r>
  <r>
    <n v="1350"/>
    <x v="1349"/>
    <x v="173"/>
    <d v="2024-04-25T00:00:00"/>
    <x v="3"/>
    <s v="CUST-1130"/>
    <s v="Customer 158"/>
    <x v="2"/>
    <x v="0"/>
    <x v="6"/>
    <x v="6"/>
    <n v="402079"/>
    <x v="2"/>
    <x v="463"/>
    <x v="1"/>
    <x v="8"/>
    <x v="125"/>
    <n v="85.99"/>
    <n v="1"/>
    <n v="0.15"/>
    <n v="-35.01"/>
  </r>
  <r>
    <n v="1351"/>
    <x v="1350"/>
    <x v="199"/>
    <d v="2024-07-09T00:00:00"/>
    <x v="2"/>
    <s v="CUST-1079"/>
    <s v="Customer 297"/>
    <x v="1"/>
    <x v="0"/>
    <x v="9"/>
    <x v="9"/>
    <n v="671693"/>
    <x v="2"/>
    <x v="625"/>
    <x v="0"/>
    <x v="0"/>
    <x v="499"/>
    <n v="616.66"/>
    <n v="9"/>
    <n v="0.15"/>
    <n v="40.86"/>
  </r>
  <r>
    <n v="1352"/>
    <x v="1351"/>
    <x v="234"/>
    <d v="2024-08-18T00:00:00"/>
    <x v="1"/>
    <s v="CUST-1304"/>
    <s v="Customer 345"/>
    <x v="1"/>
    <x v="0"/>
    <x v="0"/>
    <x v="0"/>
    <n v="271277"/>
    <x v="0"/>
    <x v="626"/>
    <x v="1"/>
    <x v="7"/>
    <x v="790"/>
    <n v="289.11"/>
    <n v="5"/>
    <n v="0.4"/>
    <n v="1.6"/>
  </r>
  <r>
    <n v="1353"/>
    <x v="1352"/>
    <x v="607"/>
    <d v="2024-11-08T00:00:00"/>
    <x v="1"/>
    <s v="CUST-1394"/>
    <s v="Customer 354"/>
    <x v="0"/>
    <x v="0"/>
    <x v="8"/>
    <x v="8"/>
    <n v="655476"/>
    <x v="3"/>
    <x v="433"/>
    <x v="0"/>
    <x v="0"/>
    <x v="186"/>
    <n v="465.54"/>
    <n v="2"/>
    <n v="0.05"/>
    <n v="30.74"/>
  </r>
  <r>
    <n v="1354"/>
    <x v="1353"/>
    <x v="469"/>
    <d v="2024-04-10T00:00:00"/>
    <x v="2"/>
    <s v="CUST-1280"/>
    <s v="Customer 232"/>
    <x v="0"/>
    <x v="0"/>
    <x v="0"/>
    <x v="0"/>
    <n v="876654"/>
    <x v="0"/>
    <x v="683"/>
    <x v="0"/>
    <x v="9"/>
    <x v="608"/>
    <n v="117.03"/>
    <n v="4"/>
    <n v="0.15"/>
    <n v="22.68"/>
  </r>
  <r>
    <n v="1355"/>
    <x v="1354"/>
    <x v="584"/>
    <d v="2024-02-27T00:00:00"/>
    <x v="2"/>
    <s v="CUST-1396"/>
    <s v="Customer 282"/>
    <x v="2"/>
    <x v="0"/>
    <x v="2"/>
    <x v="2"/>
    <n v="277284"/>
    <x v="2"/>
    <x v="544"/>
    <x v="1"/>
    <x v="1"/>
    <x v="285"/>
    <n v="116.56"/>
    <n v="9"/>
    <n v="0.05"/>
    <n v="-18.29"/>
  </r>
  <r>
    <n v="1356"/>
    <x v="1355"/>
    <x v="504"/>
    <d v="2025-09-17T00:00:00"/>
    <x v="1"/>
    <s v="CUST-1297"/>
    <s v="Customer 117"/>
    <x v="0"/>
    <x v="0"/>
    <x v="3"/>
    <x v="3"/>
    <n v="146873"/>
    <x v="1"/>
    <x v="422"/>
    <x v="2"/>
    <x v="4"/>
    <x v="791"/>
    <n v="900.29"/>
    <n v="5"/>
    <n v="0.15"/>
    <n v="42.66"/>
  </r>
  <r>
    <n v="1357"/>
    <x v="1356"/>
    <x v="16"/>
    <d v="2025-10-29T00:00:00"/>
    <x v="0"/>
    <s v="CUST-1279"/>
    <s v="Customer 324"/>
    <x v="0"/>
    <x v="0"/>
    <x v="8"/>
    <x v="8"/>
    <n v="721371"/>
    <x v="3"/>
    <x v="680"/>
    <x v="2"/>
    <x v="11"/>
    <x v="375"/>
    <n v="1061.8699999999999"/>
    <n v="8"/>
    <n v="0.2"/>
    <n v="116"/>
  </r>
  <r>
    <n v="1358"/>
    <x v="1357"/>
    <x v="608"/>
    <d v="2025-02-13T00:00:00"/>
    <x v="0"/>
    <s v="CUST-1265"/>
    <s v="Customer 202"/>
    <x v="1"/>
    <x v="0"/>
    <x v="6"/>
    <x v="6"/>
    <n v="182071"/>
    <x v="2"/>
    <x v="549"/>
    <x v="0"/>
    <x v="0"/>
    <x v="640"/>
    <n v="120.38"/>
    <n v="4"/>
    <n v="0.15"/>
    <n v="8.1300000000000008"/>
  </r>
  <r>
    <n v="1359"/>
    <x v="1358"/>
    <x v="330"/>
    <d v="2024-03-13T00:00:00"/>
    <x v="1"/>
    <s v="CUST-1300"/>
    <s v="Customer 374"/>
    <x v="0"/>
    <x v="0"/>
    <x v="9"/>
    <x v="9"/>
    <n v="843023"/>
    <x v="2"/>
    <x v="68"/>
    <x v="0"/>
    <x v="6"/>
    <x v="731"/>
    <n v="324.55"/>
    <n v="8"/>
    <n v="0.3"/>
    <n v="-29.39"/>
  </r>
  <r>
    <n v="1360"/>
    <x v="1359"/>
    <x v="501"/>
    <d v="2024-11-10T00:00:00"/>
    <x v="1"/>
    <s v="CUST-1230"/>
    <s v="Customer 033"/>
    <x v="1"/>
    <x v="0"/>
    <x v="5"/>
    <x v="5"/>
    <n v="742627"/>
    <x v="0"/>
    <x v="522"/>
    <x v="0"/>
    <x v="9"/>
    <x v="792"/>
    <n v="173.01"/>
    <n v="6"/>
    <n v="0.3"/>
    <n v="4.2699999999999996"/>
  </r>
  <r>
    <n v="1361"/>
    <x v="1360"/>
    <x v="106"/>
    <d v="2024-10-17T00:00:00"/>
    <x v="0"/>
    <s v="CUST-1057"/>
    <s v="Customer 332"/>
    <x v="2"/>
    <x v="0"/>
    <x v="2"/>
    <x v="2"/>
    <n v="683224"/>
    <x v="2"/>
    <x v="98"/>
    <x v="1"/>
    <x v="7"/>
    <x v="68"/>
    <n v="66.959999999999994"/>
    <n v="6"/>
    <n v="0.2"/>
    <n v="11.9"/>
  </r>
  <r>
    <n v="1362"/>
    <x v="1361"/>
    <x v="369"/>
    <d v="2025-07-04T00:00:00"/>
    <x v="1"/>
    <s v="CUST-1254"/>
    <s v="Customer 067"/>
    <x v="2"/>
    <x v="0"/>
    <x v="3"/>
    <x v="3"/>
    <n v="717365"/>
    <x v="1"/>
    <x v="684"/>
    <x v="1"/>
    <x v="2"/>
    <x v="449"/>
    <n v="73.459999999999994"/>
    <n v="3"/>
    <n v="0.2"/>
    <n v="-5.63"/>
  </r>
  <r>
    <n v="1363"/>
    <x v="1362"/>
    <x v="205"/>
    <d v="2024-05-30T00:00:00"/>
    <x v="2"/>
    <s v="CUST-1107"/>
    <s v="Customer 094"/>
    <x v="0"/>
    <x v="0"/>
    <x v="5"/>
    <x v="5"/>
    <n v="335603"/>
    <x v="0"/>
    <x v="169"/>
    <x v="1"/>
    <x v="2"/>
    <x v="793"/>
    <n v="114.2"/>
    <n v="4"/>
    <n v="0.4"/>
    <n v="-1.28"/>
  </r>
  <r>
    <n v="1364"/>
    <x v="1363"/>
    <x v="9"/>
    <d v="2025-04-13T00:00:00"/>
    <x v="3"/>
    <s v="CUST-1385"/>
    <s v="Customer 138"/>
    <x v="1"/>
    <x v="0"/>
    <x v="1"/>
    <x v="1"/>
    <n v="717169"/>
    <x v="1"/>
    <x v="223"/>
    <x v="2"/>
    <x v="11"/>
    <x v="724"/>
    <n v="122.2"/>
    <n v="6"/>
    <n v="0.15"/>
    <n v="35.03"/>
  </r>
  <r>
    <n v="1365"/>
    <x v="1364"/>
    <x v="42"/>
    <d v="2024-09-06T00:00:00"/>
    <x v="1"/>
    <s v="CUST-1198"/>
    <s v="Customer 112"/>
    <x v="2"/>
    <x v="0"/>
    <x v="2"/>
    <x v="2"/>
    <n v="183583"/>
    <x v="2"/>
    <x v="398"/>
    <x v="0"/>
    <x v="9"/>
    <x v="410"/>
    <n v="251.82"/>
    <n v="5"/>
    <n v="0.1"/>
    <n v="3.89"/>
  </r>
  <r>
    <n v="1366"/>
    <x v="1365"/>
    <x v="587"/>
    <d v="2025-05-08T00:00:00"/>
    <x v="0"/>
    <s v="CUST-1337"/>
    <s v="Customer 266"/>
    <x v="0"/>
    <x v="0"/>
    <x v="9"/>
    <x v="9"/>
    <n v="101378"/>
    <x v="2"/>
    <x v="2"/>
    <x v="2"/>
    <x v="4"/>
    <x v="254"/>
    <n v="402.99"/>
    <n v="1"/>
    <n v="0"/>
    <n v="65.290000000000006"/>
  </r>
  <r>
    <n v="1367"/>
    <x v="1366"/>
    <x v="609"/>
    <d v="2025-05-26T00:00:00"/>
    <x v="3"/>
    <s v="CUST-1204"/>
    <s v="Customer 384"/>
    <x v="2"/>
    <x v="0"/>
    <x v="4"/>
    <x v="4"/>
    <n v="996681"/>
    <x v="3"/>
    <x v="685"/>
    <x v="2"/>
    <x v="4"/>
    <x v="794"/>
    <n v="415.9"/>
    <n v="1"/>
    <n v="0.15"/>
    <n v="26.32"/>
  </r>
  <r>
    <n v="1368"/>
    <x v="1367"/>
    <x v="249"/>
    <d v="2025-01-04T00:00:00"/>
    <x v="0"/>
    <s v="CUST-1325"/>
    <s v="Customer 029"/>
    <x v="0"/>
    <x v="0"/>
    <x v="8"/>
    <x v="8"/>
    <n v="817497"/>
    <x v="3"/>
    <x v="70"/>
    <x v="0"/>
    <x v="9"/>
    <x v="159"/>
    <n v="182.02"/>
    <n v="1"/>
    <n v="0.15"/>
    <n v="28.11"/>
  </r>
  <r>
    <n v="1369"/>
    <x v="1368"/>
    <x v="610"/>
    <d v="2025-04-28T00:00:00"/>
    <x v="3"/>
    <s v="CUST-1240"/>
    <s v="Customer 253"/>
    <x v="2"/>
    <x v="0"/>
    <x v="0"/>
    <x v="0"/>
    <n v="943087"/>
    <x v="0"/>
    <x v="686"/>
    <x v="2"/>
    <x v="4"/>
    <x v="343"/>
    <n v="406.38"/>
    <n v="2"/>
    <n v="0.4"/>
    <n v="-48.39"/>
  </r>
  <r>
    <n v="1370"/>
    <x v="1369"/>
    <x v="112"/>
    <d v="2024-07-23T00:00:00"/>
    <x v="1"/>
    <s v="CUST-1231"/>
    <s v="Customer 012"/>
    <x v="1"/>
    <x v="0"/>
    <x v="9"/>
    <x v="9"/>
    <n v="328088"/>
    <x v="2"/>
    <x v="109"/>
    <x v="2"/>
    <x v="4"/>
    <x v="783"/>
    <n v="385.36"/>
    <n v="6"/>
    <n v="0.05"/>
    <n v="34.979999999999997"/>
  </r>
  <r>
    <n v="1371"/>
    <x v="1370"/>
    <x v="326"/>
    <d v="2024-06-03T00:00:00"/>
    <x v="1"/>
    <s v="CUST-1206"/>
    <s v="Customer 135"/>
    <x v="0"/>
    <x v="0"/>
    <x v="8"/>
    <x v="8"/>
    <n v="602542"/>
    <x v="3"/>
    <x v="272"/>
    <x v="2"/>
    <x v="5"/>
    <x v="764"/>
    <n v="454.71"/>
    <n v="5"/>
    <n v="0.2"/>
    <n v="20.97"/>
  </r>
  <r>
    <n v="1372"/>
    <x v="1371"/>
    <x v="442"/>
    <d v="2025-03-27T00:00:00"/>
    <x v="0"/>
    <s v="CUST-1321"/>
    <s v="Customer 156"/>
    <x v="2"/>
    <x v="0"/>
    <x v="5"/>
    <x v="5"/>
    <n v="439003"/>
    <x v="0"/>
    <x v="627"/>
    <x v="1"/>
    <x v="8"/>
    <x v="795"/>
    <n v="33.71"/>
    <n v="4"/>
    <n v="0.1"/>
    <n v="-27.25"/>
  </r>
  <r>
    <n v="1373"/>
    <x v="1372"/>
    <x v="360"/>
    <d v="2025-05-17T00:00:00"/>
    <x v="1"/>
    <s v="CUST-1074"/>
    <s v="Customer 045"/>
    <x v="2"/>
    <x v="0"/>
    <x v="0"/>
    <x v="0"/>
    <n v="485198"/>
    <x v="0"/>
    <x v="687"/>
    <x v="1"/>
    <x v="2"/>
    <x v="616"/>
    <n v="90.57"/>
    <n v="5"/>
    <n v="0.05"/>
    <n v="16.489999999999998"/>
  </r>
  <r>
    <n v="1374"/>
    <x v="1373"/>
    <x v="490"/>
    <d v="2024-03-16T00:00:00"/>
    <x v="2"/>
    <s v="CUST-1211"/>
    <s v="Customer 384"/>
    <x v="1"/>
    <x v="0"/>
    <x v="7"/>
    <x v="7"/>
    <n v="651776"/>
    <x v="4"/>
    <x v="298"/>
    <x v="1"/>
    <x v="8"/>
    <x v="146"/>
    <n v="47.27"/>
    <n v="9"/>
    <n v="0.2"/>
    <n v="50.86"/>
  </r>
  <r>
    <n v="1375"/>
    <x v="1374"/>
    <x v="611"/>
    <d v="2025-12-16T00:00:00"/>
    <x v="2"/>
    <s v="CUST-1059"/>
    <s v="Customer 005"/>
    <x v="2"/>
    <x v="0"/>
    <x v="6"/>
    <x v="6"/>
    <n v="938093"/>
    <x v="2"/>
    <x v="159"/>
    <x v="1"/>
    <x v="8"/>
    <x v="796"/>
    <n v="147.6"/>
    <n v="1"/>
    <n v="0.1"/>
    <n v="42.29"/>
  </r>
  <r>
    <n v="1376"/>
    <x v="1375"/>
    <x v="82"/>
    <d v="2024-10-26T00:00:00"/>
    <x v="1"/>
    <s v="CUST-1012"/>
    <s v="Customer 339"/>
    <x v="1"/>
    <x v="0"/>
    <x v="1"/>
    <x v="1"/>
    <n v="291735"/>
    <x v="1"/>
    <x v="566"/>
    <x v="1"/>
    <x v="2"/>
    <x v="709"/>
    <n v="200.75"/>
    <n v="9"/>
    <n v="0"/>
    <n v="0.23"/>
  </r>
  <r>
    <n v="1377"/>
    <x v="1376"/>
    <x v="258"/>
    <d v="2024-01-21T00:00:00"/>
    <x v="3"/>
    <s v="CUST-1361"/>
    <s v="Customer 303"/>
    <x v="2"/>
    <x v="0"/>
    <x v="2"/>
    <x v="2"/>
    <n v="667696"/>
    <x v="2"/>
    <x v="593"/>
    <x v="0"/>
    <x v="10"/>
    <x v="797"/>
    <n v="487.67"/>
    <n v="7"/>
    <n v="0.2"/>
    <n v="-9.59"/>
  </r>
  <r>
    <n v="1378"/>
    <x v="1377"/>
    <x v="209"/>
    <d v="2025-10-05T00:00:00"/>
    <x v="0"/>
    <s v="CUST-1082"/>
    <s v="Customer 309"/>
    <x v="1"/>
    <x v="0"/>
    <x v="9"/>
    <x v="9"/>
    <n v="261355"/>
    <x v="2"/>
    <x v="377"/>
    <x v="2"/>
    <x v="5"/>
    <x v="181"/>
    <n v="291.27"/>
    <n v="6"/>
    <n v="0.15"/>
    <n v="26.64"/>
  </r>
  <r>
    <n v="1379"/>
    <x v="1378"/>
    <x v="87"/>
    <d v="2024-08-06T00:00:00"/>
    <x v="2"/>
    <s v="CUST-1213"/>
    <s v="Customer 360"/>
    <x v="1"/>
    <x v="0"/>
    <x v="1"/>
    <x v="1"/>
    <n v="225074"/>
    <x v="1"/>
    <x v="17"/>
    <x v="1"/>
    <x v="2"/>
    <x v="616"/>
    <n v="76.47"/>
    <n v="4"/>
    <n v="0.3"/>
    <n v="-37.15"/>
  </r>
  <r>
    <n v="1380"/>
    <x v="1379"/>
    <x v="486"/>
    <d v="2024-03-03T00:00:00"/>
    <x v="0"/>
    <s v="CUST-1133"/>
    <s v="Customer 127"/>
    <x v="1"/>
    <x v="0"/>
    <x v="4"/>
    <x v="4"/>
    <n v="528737"/>
    <x v="3"/>
    <x v="404"/>
    <x v="1"/>
    <x v="7"/>
    <x v="517"/>
    <n v="71.069999999999993"/>
    <n v="5"/>
    <n v="0.15"/>
    <n v="14.69"/>
  </r>
  <r>
    <n v="1381"/>
    <x v="1380"/>
    <x v="540"/>
    <d v="2025-09-11T00:00:00"/>
    <x v="0"/>
    <s v="CUST-1260"/>
    <s v="Customer 179"/>
    <x v="2"/>
    <x v="0"/>
    <x v="8"/>
    <x v="8"/>
    <n v="577038"/>
    <x v="3"/>
    <x v="76"/>
    <x v="1"/>
    <x v="7"/>
    <x v="654"/>
    <n v="156.34"/>
    <n v="1"/>
    <n v="0.3"/>
    <n v="16.64"/>
  </r>
  <r>
    <n v="1382"/>
    <x v="1381"/>
    <x v="389"/>
    <d v="2024-02-14T00:00:00"/>
    <x v="2"/>
    <s v="CUST-1214"/>
    <s v="Customer 113"/>
    <x v="2"/>
    <x v="0"/>
    <x v="8"/>
    <x v="8"/>
    <n v="190930"/>
    <x v="3"/>
    <x v="688"/>
    <x v="1"/>
    <x v="1"/>
    <x v="798"/>
    <n v="54.66"/>
    <n v="4"/>
    <n v="0.15"/>
    <n v="25.2"/>
  </r>
  <r>
    <n v="1383"/>
    <x v="1382"/>
    <x v="383"/>
    <d v="2024-01-27T00:00:00"/>
    <x v="2"/>
    <s v="CUST-1140"/>
    <s v="Customer 026"/>
    <x v="1"/>
    <x v="0"/>
    <x v="9"/>
    <x v="9"/>
    <n v="867839"/>
    <x v="2"/>
    <x v="689"/>
    <x v="0"/>
    <x v="9"/>
    <x v="523"/>
    <n v="536.96"/>
    <n v="7"/>
    <n v="0.1"/>
    <n v="-2.19"/>
  </r>
  <r>
    <n v="1384"/>
    <x v="1383"/>
    <x v="281"/>
    <d v="2024-02-13T00:00:00"/>
    <x v="0"/>
    <s v="CUST-1385"/>
    <s v="Customer 258"/>
    <x v="0"/>
    <x v="0"/>
    <x v="3"/>
    <x v="3"/>
    <n v="801916"/>
    <x v="1"/>
    <x v="690"/>
    <x v="1"/>
    <x v="2"/>
    <x v="310"/>
    <n v="199.12"/>
    <n v="9"/>
    <n v="0.2"/>
    <n v="5.33"/>
  </r>
  <r>
    <n v="1385"/>
    <x v="1384"/>
    <x v="17"/>
    <d v="2024-05-12T00:00:00"/>
    <x v="0"/>
    <s v="CUST-1085"/>
    <s v="Customer 199"/>
    <x v="1"/>
    <x v="0"/>
    <x v="3"/>
    <x v="3"/>
    <n v="523959"/>
    <x v="1"/>
    <x v="691"/>
    <x v="1"/>
    <x v="2"/>
    <x v="417"/>
    <n v="143.84"/>
    <n v="4"/>
    <n v="0.15"/>
    <n v="21.56"/>
  </r>
  <r>
    <n v="1386"/>
    <x v="1385"/>
    <x v="612"/>
    <d v="2025-05-14T00:00:00"/>
    <x v="3"/>
    <s v="CUST-1236"/>
    <s v="Customer 204"/>
    <x v="0"/>
    <x v="0"/>
    <x v="7"/>
    <x v="7"/>
    <n v="321714"/>
    <x v="4"/>
    <x v="603"/>
    <x v="0"/>
    <x v="0"/>
    <x v="48"/>
    <n v="461.24"/>
    <n v="9"/>
    <n v="0.4"/>
    <n v="-106.38"/>
  </r>
  <r>
    <n v="1387"/>
    <x v="1386"/>
    <x v="426"/>
    <d v="2024-08-21T00:00:00"/>
    <x v="1"/>
    <s v="CUST-1137"/>
    <s v="Customer 358"/>
    <x v="1"/>
    <x v="0"/>
    <x v="6"/>
    <x v="6"/>
    <n v="985922"/>
    <x v="2"/>
    <x v="224"/>
    <x v="1"/>
    <x v="7"/>
    <x v="711"/>
    <n v="15.25"/>
    <n v="5"/>
    <n v="0"/>
    <n v="12.4"/>
  </r>
  <r>
    <n v="1388"/>
    <x v="1387"/>
    <x v="613"/>
    <d v="2024-04-22T00:00:00"/>
    <x v="2"/>
    <s v="CUST-1106"/>
    <s v="Customer 250"/>
    <x v="1"/>
    <x v="0"/>
    <x v="0"/>
    <x v="0"/>
    <n v="538687"/>
    <x v="0"/>
    <x v="253"/>
    <x v="0"/>
    <x v="9"/>
    <x v="799"/>
    <n v="346.35"/>
    <n v="9"/>
    <n v="0.2"/>
    <n v="18.739999999999998"/>
  </r>
  <r>
    <n v="1389"/>
    <x v="1388"/>
    <x v="259"/>
    <d v="2024-06-25T00:00:00"/>
    <x v="3"/>
    <s v="CUST-1113"/>
    <s v="Customer 161"/>
    <x v="0"/>
    <x v="0"/>
    <x v="4"/>
    <x v="4"/>
    <n v="190721"/>
    <x v="3"/>
    <x v="432"/>
    <x v="1"/>
    <x v="8"/>
    <x v="800"/>
    <n v="51.82"/>
    <n v="7"/>
    <n v="0.2"/>
    <n v="34.44"/>
  </r>
  <r>
    <n v="1390"/>
    <x v="1389"/>
    <x v="327"/>
    <d v="2025-03-13T00:00:00"/>
    <x v="1"/>
    <s v="CUST-1349"/>
    <s v="Customer 120"/>
    <x v="0"/>
    <x v="0"/>
    <x v="1"/>
    <x v="1"/>
    <n v="294549"/>
    <x v="1"/>
    <x v="692"/>
    <x v="1"/>
    <x v="1"/>
    <x v="139"/>
    <n v="135.72"/>
    <n v="2"/>
    <n v="0.15"/>
    <n v="20.12"/>
  </r>
  <r>
    <n v="1391"/>
    <x v="1390"/>
    <x v="547"/>
    <d v="2025-04-23T00:00:00"/>
    <x v="2"/>
    <s v="CUST-1331"/>
    <s v="Customer 168"/>
    <x v="2"/>
    <x v="0"/>
    <x v="3"/>
    <x v="3"/>
    <n v="146257"/>
    <x v="1"/>
    <x v="583"/>
    <x v="2"/>
    <x v="5"/>
    <x v="15"/>
    <n v="313.41000000000003"/>
    <n v="6"/>
    <n v="0.1"/>
    <n v="41.95"/>
  </r>
  <r>
    <n v="1392"/>
    <x v="1391"/>
    <x v="614"/>
    <d v="2024-04-15T00:00:00"/>
    <x v="3"/>
    <s v="CUST-1049"/>
    <s v="Customer 087"/>
    <x v="0"/>
    <x v="0"/>
    <x v="7"/>
    <x v="7"/>
    <n v="139214"/>
    <x v="4"/>
    <x v="495"/>
    <x v="1"/>
    <x v="7"/>
    <x v="560"/>
    <n v="282.33999999999997"/>
    <n v="8"/>
    <n v="0.1"/>
    <n v="53.85"/>
  </r>
  <r>
    <n v="1393"/>
    <x v="1392"/>
    <x v="489"/>
    <d v="2025-06-11T00:00:00"/>
    <x v="1"/>
    <s v="CUST-1175"/>
    <s v="Customer 280"/>
    <x v="0"/>
    <x v="0"/>
    <x v="7"/>
    <x v="7"/>
    <n v="420595"/>
    <x v="4"/>
    <x v="42"/>
    <x v="2"/>
    <x v="3"/>
    <x v="613"/>
    <n v="2008.5"/>
    <n v="8"/>
    <n v="0.05"/>
    <n v="282.11"/>
  </r>
  <r>
    <n v="1394"/>
    <x v="1393"/>
    <x v="615"/>
    <d v="2024-10-04T00:00:00"/>
    <x v="3"/>
    <s v="CUST-1146"/>
    <s v="Customer 359"/>
    <x v="1"/>
    <x v="0"/>
    <x v="9"/>
    <x v="9"/>
    <n v="221840"/>
    <x v="2"/>
    <x v="155"/>
    <x v="1"/>
    <x v="1"/>
    <x v="739"/>
    <n v="34.479999999999997"/>
    <n v="3"/>
    <n v="0.15"/>
    <n v="39.83"/>
  </r>
  <r>
    <n v="1395"/>
    <x v="1394"/>
    <x v="123"/>
    <d v="2025-09-07T00:00:00"/>
    <x v="2"/>
    <s v="CUST-1056"/>
    <s v="Customer 113"/>
    <x v="2"/>
    <x v="0"/>
    <x v="4"/>
    <x v="4"/>
    <n v="119734"/>
    <x v="3"/>
    <x v="288"/>
    <x v="0"/>
    <x v="9"/>
    <x v="247"/>
    <n v="233.9"/>
    <n v="2"/>
    <n v="0.2"/>
    <n v="10.83"/>
  </r>
  <r>
    <n v="1396"/>
    <x v="1395"/>
    <x v="616"/>
    <d v="2024-02-15T00:00:00"/>
    <x v="2"/>
    <s v="CUST-1254"/>
    <s v="Customer 092"/>
    <x v="2"/>
    <x v="0"/>
    <x v="5"/>
    <x v="5"/>
    <n v="473705"/>
    <x v="0"/>
    <x v="496"/>
    <x v="1"/>
    <x v="2"/>
    <x v="39"/>
    <n v="10"/>
    <n v="7"/>
    <n v="0"/>
    <n v="-19.18"/>
  </r>
  <r>
    <n v="1397"/>
    <x v="1396"/>
    <x v="258"/>
    <d v="2024-01-19T00:00:00"/>
    <x v="1"/>
    <s v="CUST-1032"/>
    <s v="Customer 035"/>
    <x v="2"/>
    <x v="0"/>
    <x v="0"/>
    <x v="0"/>
    <n v="975495"/>
    <x v="0"/>
    <x v="392"/>
    <x v="2"/>
    <x v="5"/>
    <x v="801"/>
    <n v="188.43"/>
    <n v="6"/>
    <n v="0.15"/>
    <n v="50.23"/>
  </r>
  <r>
    <n v="1398"/>
    <x v="1397"/>
    <x v="430"/>
    <d v="2024-11-29T00:00:00"/>
    <x v="0"/>
    <s v="CUST-1152"/>
    <s v="Customer 288"/>
    <x v="0"/>
    <x v="0"/>
    <x v="6"/>
    <x v="6"/>
    <n v="200804"/>
    <x v="2"/>
    <x v="411"/>
    <x v="1"/>
    <x v="7"/>
    <x v="317"/>
    <n v="107.83"/>
    <n v="2"/>
    <n v="0.05"/>
    <n v="-1.58"/>
  </r>
  <r>
    <n v="1399"/>
    <x v="1398"/>
    <x v="386"/>
    <d v="2025-07-26T00:00:00"/>
    <x v="2"/>
    <s v="CUST-1110"/>
    <s v="Customer 352"/>
    <x v="1"/>
    <x v="0"/>
    <x v="2"/>
    <x v="2"/>
    <n v="746155"/>
    <x v="2"/>
    <x v="466"/>
    <x v="2"/>
    <x v="5"/>
    <x v="802"/>
    <n v="1068.92"/>
    <n v="9"/>
    <n v="0.15"/>
    <n v="91.37"/>
  </r>
  <r>
    <n v="1400"/>
    <x v="1399"/>
    <x v="174"/>
    <d v="2025-05-14T00:00:00"/>
    <x v="0"/>
    <s v="CUST-1296"/>
    <s v="Customer 330"/>
    <x v="0"/>
    <x v="0"/>
    <x v="9"/>
    <x v="9"/>
    <n v="128941"/>
    <x v="2"/>
    <x v="625"/>
    <x v="1"/>
    <x v="2"/>
    <x v="225"/>
    <n v="122.12"/>
    <n v="3"/>
    <n v="0.1"/>
    <n v="24.63"/>
  </r>
  <r>
    <n v="1401"/>
    <x v="1400"/>
    <x v="353"/>
    <d v="2024-01-14T00:00:00"/>
    <x v="3"/>
    <s v="CUST-1208"/>
    <s v="Customer 182"/>
    <x v="0"/>
    <x v="0"/>
    <x v="0"/>
    <x v="0"/>
    <n v="268939"/>
    <x v="0"/>
    <x v="693"/>
    <x v="1"/>
    <x v="2"/>
    <x v="189"/>
    <n v="60.52"/>
    <n v="3"/>
    <n v="0.1"/>
    <n v="8.39"/>
  </r>
  <r>
    <n v="1402"/>
    <x v="1401"/>
    <x v="165"/>
    <d v="2024-11-16T00:00:00"/>
    <x v="2"/>
    <s v="CUST-1345"/>
    <s v="Customer 267"/>
    <x v="0"/>
    <x v="0"/>
    <x v="2"/>
    <x v="2"/>
    <n v="449325"/>
    <x v="2"/>
    <x v="473"/>
    <x v="1"/>
    <x v="7"/>
    <x v="803"/>
    <n v="46.57"/>
    <n v="2"/>
    <n v="0.4"/>
    <n v="-24.98"/>
  </r>
  <r>
    <n v="1403"/>
    <x v="1402"/>
    <x v="617"/>
    <d v="2025-08-19T00:00:00"/>
    <x v="0"/>
    <s v="CUST-1102"/>
    <s v="Customer 388"/>
    <x v="2"/>
    <x v="0"/>
    <x v="2"/>
    <x v="2"/>
    <n v="431885"/>
    <x v="2"/>
    <x v="694"/>
    <x v="1"/>
    <x v="7"/>
    <x v="387"/>
    <n v="40.58"/>
    <n v="8"/>
    <n v="0.2"/>
    <n v="24.04"/>
  </r>
  <r>
    <n v="1404"/>
    <x v="1403"/>
    <x v="499"/>
    <d v="2024-08-07T00:00:00"/>
    <x v="2"/>
    <s v="CUST-1362"/>
    <s v="Customer 374"/>
    <x v="0"/>
    <x v="0"/>
    <x v="4"/>
    <x v="4"/>
    <n v="397555"/>
    <x v="3"/>
    <x v="438"/>
    <x v="1"/>
    <x v="1"/>
    <x v="240"/>
    <n v="73.25"/>
    <n v="8"/>
    <n v="0"/>
    <n v="38.51"/>
  </r>
  <r>
    <n v="1405"/>
    <x v="1404"/>
    <x v="404"/>
    <d v="2024-12-08T00:00:00"/>
    <x v="3"/>
    <s v="CUST-1179"/>
    <s v="Customer 232"/>
    <x v="2"/>
    <x v="0"/>
    <x v="4"/>
    <x v="4"/>
    <n v="832581"/>
    <x v="3"/>
    <x v="57"/>
    <x v="2"/>
    <x v="3"/>
    <x v="804"/>
    <n v="434.85"/>
    <n v="7"/>
    <n v="0.2"/>
    <n v="12.24"/>
  </r>
  <r>
    <n v="1406"/>
    <x v="1405"/>
    <x v="565"/>
    <d v="2025-10-27T00:00:00"/>
    <x v="2"/>
    <s v="CUST-1253"/>
    <s v="Customer 396"/>
    <x v="2"/>
    <x v="0"/>
    <x v="1"/>
    <x v="1"/>
    <n v="299439"/>
    <x v="1"/>
    <x v="212"/>
    <x v="0"/>
    <x v="10"/>
    <x v="805"/>
    <n v="129.25"/>
    <n v="7"/>
    <n v="0.3"/>
    <n v="-9.91"/>
  </r>
  <r>
    <n v="1407"/>
    <x v="1406"/>
    <x v="63"/>
    <d v="2024-03-22T00:00:00"/>
    <x v="1"/>
    <s v="CUST-1112"/>
    <s v="Customer 373"/>
    <x v="0"/>
    <x v="0"/>
    <x v="7"/>
    <x v="7"/>
    <n v="477150"/>
    <x v="4"/>
    <x v="695"/>
    <x v="0"/>
    <x v="10"/>
    <x v="806"/>
    <n v="273.83999999999997"/>
    <n v="4"/>
    <n v="0.1"/>
    <n v="42.17"/>
  </r>
  <r>
    <n v="1408"/>
    <x v="1407"/>
    <x v="79"/>
    <d v="2025-12-31T00:00:00"/>
    <x v="1"/>
    <s v="CUST-1319"/>
    <s v="Customer 165"/>
    <x v="2"/>
    <x v="0"/>
    <x v="0"/>
    <x v="0"/>
    <n v="903063"/>
    <x v="0"/>
    <x v="696"/>
    <x v="1"/>
    <x v="7"/>
    <x v="319"/>
    <n v="136.62"/>
    <n v="4"/>
    <n v="0.1"/>
    <n v="13.07"/>
  </r>
  <r>
    <n v="1409"/>
    <x v="1408"/>
    <x v="44"/>
    <d v="2025-05-04T00:00:00"/>
    <x v="1"/>
    <s v="CUST-1178"/>
    <s v="Customer 029"/>
    <x v="0"/>
    <x v="0"/>
    <x v="9"/>
    <x v="9"/>
    <n v="439879"/>
    <x v="2"/>
    <x v="273"/>
    <x v="1"/>
    <x v="7"/>
    <x v="49"/>
    <n v="239.35"/>
    <n v="4"/>
    <n v="0"/>
    <n v="103.37"/>
  </r>
  <r>
    <n v="1410"/>
    <x v="1409"/>
    <x v="168"/>
    <d v="2025-01-10T00:00:00"/>
    <x v="2"/>
    <s v="CUST-1256"/>
    <s v="Customer 275"/>
    <x v="0"/>
    <x v="0"/>
    <x v="8"/>
    <x v="8"/>
    <n v="255801"/>
    <x v="3"/>
    <x v="697"/>
    <x v="2"/>
    <x v="5"/>
    <x v="37"/>
    <n v="324.19"/>
    <n v="4"/>
    <n v="0.15"/>
    <n v="13.91"/>
  </r>
  <r>
    <n v="1411"/>
    <x v="1410"/>
    <x v="162"/>
    <d v="2025-12-12T00:00:00"/>
    <x v="0"/>
    <s v="CUST-1261"/>
    <s v="Customer 031"/>
    <x v="2"/>
    <x v="0"/>
    <x v="9"/>
    <x v="9"/>
    <n v="740999"/>
    <x v="2"/>
    <x v="698"/>
    <x v="1"/>
    <x v="2"/>
    <x v="417"/>
    <n v="81.430000000000007"/>
    <n v="2"/>
    <n v="0.1"/>
    <n v="-5.35"/>
  </r>
  <r>
    <n v="1412"/>
    <x v="1411"/>
    <x v="618"/>
    <d v="2024-07-20T00:00:00"/>
    <x v="1"/>
    <s v="CUST-1006"/>
    <s v="Customer 210"/>
    <x v="2"/>
    <x v="0"/>
    <x v="1"/>
    <x v="1"/>
    <n v="415795"/>
    <x v="1"/>
    <x v="225"/>
    <x v="1"/>
    <x v="8"/>
    <x v="66"/>
    <n v="115.99"/>
    <n v="5"/>
    <n v="0.1"/>
    <n v="49.19"/>
  </r>
  <r>
    <n v="1413"/>
    <x v="1412"/>
    <x v="507"/>
    <d v="2025-06-23T00:00:00"/>
    <x v="2"/>
    <s v="CUST-1296"/>
    <s v="Customer 178"/>
    <x v="1"/>
    <x v="0"/>
    <x v="6"/>
    <x v="6"/>
    <n v="775109"/>
    <x v="2"/>
    <x v="172"/>
    <x v="1"/>
    <x v="8"/>
    <x v="617"/>
    <n v="125.2"/>
    <n v="8"/>
    <n v="0.1"/>
    <n v="37.119999999999997"/>
  </r>
  <r>
    <n v="1414"/>
    <x v="1413"/>
    <x v="487"/>
    <d v="2025-04-14T00:00:00"/>
    <x v="2"/>
    <s v="CUST-1065"/>
    <s v="Customer 147"/>
    <x v="1"/>
    <x v="0"/>
    <x v="7"/>
    <x v="7"/>
    <n v="501295"/>
    <x v="4"/>
    <x v="699"/>
    <x v="2"/>
    <x v="3"/>
    <x v="807"/>
    <n v="1642.97"/>
    <n v="8"/>
    <n v="0.15"/>
    <n v="125.51"/>
  </r>
  <r>
    <n v="1415"/>
    <x v="1414"/>
    <x v="538"/>
    <d v="2024-03-31T00:00:00"/>
    <x v="1"/>
    <s v="CUST-1176"/>
    <s v="Customer 195"/>
    <x v="1"/>
    <x v="0"/>
    <x v="8"/>
    <x v="8"/>
    <n v="346635"/>
    <x v="3"/>
    <x v="457"/>
    <x v="2"/>
    <x v="4"/>
    <x v="522"/>
    <n v="187.41"/>
    <n v="7"/>
    <n v="0.3"/>
    <n v="-16.32"/>
  </r>
  <r>
    <n v="1416"/>
    <x v="1415"/>
    <x v="176"/>
    <d v="2024-09-30T00:00:00"/>
    <x v="2"/>
    <s v="CUST-1236"/>
    <s v="Customer 196"/>
    <x v="0"/>
    <x v="0"/>
    <x v="3"/>
    <x v="3"/>
    <n v="479015"/>
    <x v="1"/>
    <x v="138"/>
    <x v="0"/>
    <x v="9"/>
    <x v="808"/>
    <n v="342.32"/>
    <n v="7"/>
    <n v="0.15"/>
    <n v="35.85"/>
  </r>
  <r>
    <n v="1417"/>
    <x v="1416"/>
    <x v="137"/>
    <d v="2025-10-19T00:00:00"/>
    <x v="0"/>
    <s v="CUST-1328"/>
    <s v="Customer 016"/>
    <x v="0"/>
    <x v="0"/>
    <x v="6"/>
    <x v="6"/>
    <n v="236365"/>
    <x v="2"/>
    <x v="184"/>
    <x v="1"/>
    <x v="1"/>
    <x v="495"/>
    <n v="257.37"/>
    <n v="1"/>
    <n v="0.15"/>
    <n v="9.18"/>
  </r>
  <r>
    <n v="1418"/>
    <x v="1417"/>
    <x v="619"/>
    <d v="2025-07-27T00:00:00"/>
    <x v="1"/>
    <s v="CUST-1395"/>
    <s v="Customer 380"/>
    <x v="0"/>
    <x v="0"/>
    <x v="4"/>
    <x v="4"/>
    <n v="107076"/>
    <x v="3"/>
    <x v="700"/>
    <x v="2"/>
    <x v="4"/>
    <x v="610"/>
    <n v="378.19"/>
    <n v="2"/>
    <n v="0.15"/>
    <n v="28.71"/>
  </r>
  <r>
    <n v="1419"/>
    <x v="1418"/>
    <x v="207"/>
    <d v="2025-05-05T00:00:00"/>
    <x v="0"/>
    <s v="CUST-1146"/>
    <s v="Customer 314"/>
    <x v="0"/>
    <x v="0"/>
    <x v="2"/>
    <x v="2"/>
    <n v="994457"/>
    <x v="2"/>
    <x v="140"/>
    <x v="0"/>
    <x v="6"/>
    <x v="648"/>
    <n v="934.5"/>
    <n v="1"/>
    <n v="0.15"/>
    <n v="12.91"/>
  </r>
  <r>
    <n v="1420"/>
    <x v="1419"/>
    <x v="282"/>
    <d v="2025-06-24T00:00:00"/>
    <x v="2"/>
    <s v="CUST-1248"/>
    <s v="Customer 255"/>
    <x v="1"/>
    <x v="0"/>
    <x v="3"/>
    <x v="3"/>
    <n v="428547"/>
    <x v="1"/>
    <x v="701"/>
    <x v="1"/>
    <x v="1"/>
    <x v="809"/>
    <n v="58.69"/>
    <n v="3"/>
    <n v="0.05"/>
    <n v="36.71"/>
  </r>
  <r>
    <n v="1421"/>
    <x v="1420"/>
    <x v="303"/>
    <d v="2024-02-19T00:00:00"/>
    <x v="2"/>
    <s v="CUST-1212"/>
    <s v="Customer 021"/>
    <x v="0"/>
    <x v="0"/>
    <x v="9"/>
    <x v="9"/>
    <n v="965818"/>
    <x v="2"/>
    <x v="352"/>
    <x v="1"/>
    <x v="7"/>
    <x v="49"/>
    <n v="43.71"/>
    <n v="9"/>
    <n v="0.15"/>
    <n v="-5.88"/>
  </r>
  <r>
    <n v="1422"/>
    <x v="1421"/>
    <x v="275"/>
    <d v="2024-10-18T00:00:00"/>
    <x v="2"/>
    <s v="CUST-1157"/>
    <s v="Customer 156"/>
    <x v="0"/>
    <x v="0"/>
    <x v="9"/>
    <x v="9"/>
    <n v="438144"/>
    <x v="2"/>
    <x v="347"/>
    <x v="1"/>
    <x v="1"/>
    <x v="810"/>
    <n v="61.55"/>
    <n v="7"/>
    <n v="0.1"/>
    <n v="-15.98"/>
  </r>
  <r>
    <n v="1423"/>
    <x v="1422"/>
    <x v="342"/>
    <d v="2024-01-19T00:00:00"/>
    <x v="1"/>
    <s v="CUST-1030"/>
    <s v="Customer 071"/>
    <x v="2"/>
    <x v="0"/>
    <x v="4"/>
    <x v="4"/>
    <n v="921809"/>
    <x v="3"/>
    <x v="68"/>
    <x v="0"/>
    <x v="10"/>
    <x v="73"/>
    <n v="186.79"/>
    <n v="4"/>
    <n v="0.1"/>
    <n v="4.3099999999999996"/>
  </r>
  <r>
    <n v="1424"/>
    <x v="1423"/>
    <x v="206"/>
    <d v="2025-12-13T00:00:00"/>
    <x v="2"/>
    <s v="CUST-1166"/>
    <s v="Customer 337"/>
    <x v="0"/>
    <x v="0"/>
    <x v="1"/>
    <x v="1"/>
    <n v="205850"/>
    <x v="1"/>
    <x v="574"/>
    <x v="0"/>
    <x v="6"/>
    <x v="75"/>
    <n v="114.1"/>
    <n v="8"/>
    <n v="0.05"/>
    <n v="13.44"/>
  </r>
  <r>
    <n v="1425"/>
    <x v="1424"/>
    <x v="191"/>
    <d v="2025-02-08T00:00:00"/>
    <x v="0"/>
    <s v="CUST-1198"/>
    <s v="Customer 033"/>
    <x v="2"/>
    <x v="0"/>
    <x v="0"/>
    <x v="0"/>
    <n v="795902"/>
    <x v="0"/>
    <x v="505"/>
    <x v="1"/>
    <x v="2"/>
    <x v="607"/>
    <n v="76.73"/>
    <n v="2"/>
    <n v="0.15"/>
    <n v="35.729999999999997"/>
  </r>
  <r>
    <n v="1426"/>
    <x v="1425"/>
    <x v="145"/>
    <d v="2024-03-28T00:00:00"/>
    <x v="1"/>
    <s v="CUST-1069"/>
    <s v="Customer 261"/>
    <x v="1"/>
    <x v="0"/>
    <x v="3"/>
    <x v="3"/>
    <n v="110485"/>
    <x v="1"/>
    <x v="61"/>
    <x v="0"/>
    <x v="0"/>
    <x v="609"/>
    <n v="123.58"/>
    <n v="8"/>
    <n v="0.2"/>
    <n v="0.77"/>
  </r>
  <r>
    <n v="1427"/>
    <x v="1426"/>
    <x v="463"/>
    <d v="2024-09-10T00:00:00"/>
    <x v="0"/>
    <s v="CUST-1256"/>
    <s v="Customer 262"/>
    <x v="2"/>
    <x v="0"/>
    <x v="3"/>
    <x v="3"/>
    <n v="964685"/>
    <x v="1"/>
    <x v="702"/>
    <x v="2"/>
    <x v="11"/>
    <x v="645"/>
    <n v="267.39"/>
    <n v="3"/>
    <n v="0"/>
    <n v="19.16"/>
  </r>
  <r>
    <n v="1428"/>
    <x v="1427"/>
    <x v="543"/>
    <d v="2025-01-29T00:00:00"/>
    <x v="2"/>
    <s v="CUST-1253"/>
    <s v="Customer 017"/>
    <x v="2"/>
    <x v="0"/>
    <x v="5"/>
    <x v="5"/>
    <n v="120180"/>
    <x v="0"/>
    <x v="249"/>
    <x v="2"/>
    <x v="3"/>
    <x v="38"/>
    <n v="236.71"/>
    <n v="1"/>
    <n v="0.4"/>
    <n v="-12.48"/>
  </r>
  <r>
    <n v="1429"/>
    <x v="1428"/>
    <x v="470"/>
    <d v="2024-12-05T00:00:00"/>
    <x v="3"/>
    <s v="CUST-1146"/>
    <s v="Customer 150"/>
    <x v="0"/>
    <x v="0"/>
    <x v="6"/>
    <x v="6"/>
    <n v="433018"/>
    <x v="2"/>
    <x v="56"/>
    <x v="0"/>
    <x v="6"/>
    <x v="293"/>
    <n v="298.77999999999997"/>
    <n v="8"/>
    <n v="0"/>
    <n v="57.56"/>
  </r>
  <r>
    <n v="1430"/>
    <x v="1429"/>
    <x v="602"/>
    <d v="2025-09-24T00:00:00"/>
    <x v="0"/>
    <s v="CUST-1326"/>
    <s v="Customer 050"/>
    <x v="2"/>
    <x v="0"/>
    <x v="7"/>
    <x v="7"/>
    <n v="702634"/>
    <x v="4"/>
    <x v="43"/>
    <x v="2"/>
    <x v="4"/>
    <x v="811"/>
    <n v="667.7"/>
    <n v="9"/>
    <n v="0.15"/>
    <n v="53.96"/>
  </r>
  <r>
    <n v="1431"/>
    <x v="1430"/>
    <x v="396"/>
    <d v="2025-06-04T00:00:00"/>
    <x v="1"/>
    <s v="CUST-1357"/>
    <s v="Customer 357"/>
    <x v="1"/>
    <x v="0"/>
    <x v="6"/>
    <x v="6"/>
    <n v="246284"/>
    <x v="2"/>
    <x v="685"/>
    <x v="0"/>
    <x v="10"/>
    <x v="415"/>
    <n v="639.66"/>
    <n v="8"/>
    <n v="0.2"/>
    <n v="-28.71"/>
  </r>
  <r>
    <n v="1432"/>
    <x v="1431"/>
    <x v="517"/>
    <d v="2024-05-18T00:00:00"/>
    <x v="1"/>
    <s v="CUST-1312"/>
    <s v="Customer 117"/>
    <x v="0"/>
    <x v="0"/>
    <x v="0"/>
    <x v="0"/>
    <n v="371344"/>
    <x v="0"/>
    <x v="402"/>
    <x v="2"/>
    <x v="4"/>
    <x v="265"/>
    <n v="600.03"/>
    <n v="8"/>
    <n v="0.05"/>
    <n v="38.71"/>
  </r>
  <r>
    <n v="1433"/>
    <x v="1432"/>
    <x v="243"/>
    <d v="2025-11-21T00:00:00"/>
    <x v="2"/>
    <s v="CUST-1335"/>
    <s v="Customer 177"/>
    <x v="0"/>
    <x v="0"/>
    <x v="9"/>
    <x v="9"/>
    <n v="716712"/>
    <x v="2"/>
    <x v="537"/>
    <x v="2"/>
    <x v="5"/>
    <x v="109"/>
    <n v="252.4"/>
    <n v="1"/>
    <n v="0.15"/>
    <n v="-12.13"/>
  </r>
  <r>
    <n v="1434"/>
    <x v="1433"/>
    <x v="612"/>
    <d v="2025-05-14T00:00:00"/>
    <x v="3"/>
    <s v="CUST-1172"/>
    <s v="Customer 173"/>
    <x v="1"/>
    <x v="0"/>
    <x v="9"/>
    <x v="9"/>
    <n v="709349"/>
    <x v="2"/>
    <x v="14"/>
    <x v="1"/>
    <x v="1"/>
    <x v="87"/>
    <n v="119.32"/>
    <n v="9"/>
    <n v="0.15"/>
    <n v="38.06"/>
  </r>
  <r>
    <n v="1435"/>
    <x v="1434"/>
    <x v="79"/>
    <d v="2025-12-30T00:00:00"/>
    <x v="1"/>
    <s v="CUST-1136"/>
    <s v="Customer 365"/>
    <x v="2"/>
    <x v="0"/>
    <x v="9"/>
    <x v="9"/>
    <n v="660804"/>
    <x v="2"/>
    <x v="703"/>
    <x v="0"/>
    <x v="10"/>
    <x v="565"/>
    <n v="188.74"/>
    <n v="3"/>
    <n v="0.2"/>
    <n v="-52.36"/>
  </r>
  <r>
    <n v="1436"/>
    <x v="1435"/>
    <x v="69"/>
    <d v="2025-04-23T00:00:00"/>
    <x v="2"/>
    <s v="CUST-1386"/>
    <s v="Customer 239"/>
    <x v="1"/>
    <x v="0"/>
    <x v="5"/>
    <x v="5"/>
    <n v="983310"/>
    <x v="0"/>
    <x v="420"/>
    <x v="1"/>
    <x v="1"/>
    <x v="812"/>
    <n v="86.29"/>
    <n v="9"/>
    <n v="0.15"/>
    <n v="-7.89"/>
  </r>
  <r>
    <n v="1437"/>
    <x v="1436"/>
    <x v="440"/>
    <d v="2025-08-19T00:00:00"/>
    <x v="0"/>
    <s v="CUST-1052"/>
    <s v="Customer 356"/>
    <x v="2"/>
    <x v="0"/>
    <x v="9"/>
    <x v="9"/>
    <n v="692050"/>
    <x v="2"/>
    <x v="344"/>
    <x v="2"/>
    <x v="5"/>
    <x v="813"/>
    <n v="352.39"/>
    <n v="5"/>
    <n v="0"/>
    <n v="48.85"/>
  </r>
  <r>
    <n v="1438"/>
    <x v="1437"/>
    <x v="340"/>
    <d v="2024-08-12T00:00:00"/>
    <x v="0"/>
    <s v="CUST-1367"/>
    <s v="Customer 129"/>
    <x v="0"/>
    <x v="0"/>
    <x v="0"/>
    <x v="0"/>
    <n v="727571"/>
    <x v="0"/>
    <x v="462"/>
    <x v="2"/>
    <x v="3"/>
    <x v="814"/>
    <n v="366.45"/>
    <n v="2"/>
    <n v="0.2"/>
    <n v="38.68"/>
  </r>
  <r>
    <n v="1439"/>
    <x v="1438"/>
    <x v="620"/>
    <d v="2025-01-09T00:00:00"/>
    <x v="3"/>
    <s v="CUST-1023"/>
    <s v="Customer 099"/>
    <x v="2"/>
    <x v="0"/>
    <x v="4"/>
    <x v="4"/>
    <n v="742927"/>
    <x v="3"/>
    <x v="704"/>
    <x v="1"/>
    <x v="8"/>
    <x v="815"/>
    <n v="98.91"/>
    <n v="8"/>
    <n v="0.4"/>
    <n v="30.07"/>
  </r>
  <r>
    <n v="1440"/>
    <x v="1439"/>
    <x v="71"/>
    <d v="2025-02-08T00:00:00"/>
    <x v="1"/>
    <s v="CUST-1384"/>
    <s v="Customer 033"/>
    <x v="1"/>
    <x v="0"/>
    <x v="7"/>
    <x v="7"/>
    <n v="852644"/>
    <x v="4"/>
    <x v="705"/>
    <x v="0"/>
    <x v="6"/>
    <x v="20"/>
    <n v="132.63999999999999"/>
    <n v="4"/>
    <n v="0.2"/>
    <n v="4.32"/>
  </r>
  <r>
    <n v="1441"/>
    <x v="1440"/>
    <x v="514"/>
    <d v="2025-03-23T00:00:00"/>
    <x v="2"/>
    <s v="CUST-1366"/>
    <s v="Customer 128"/>
    <x v="0"/>
    <x v="0"/>
    <x v="0"/>
    <x v="0"/>
    <n v="302898"/>
    <x v="0"/>
    <x v="32"/>
    <x v="0"/>
    <x v="0"/>
    <x v="816"/>
    <n v="365.17"/>
    <n v="6"/>
    <n v="0.15"/>
    <n v="34.93"/>
  </r>
  <r>
    <n v="1442"/>
    <x v="1441"/>
    <x v="108"/>
    <d v="2025-05-08T00:00:00"/>
    <x v="3"/>
    <s v="CUST-1368"/>
    <s v="Customer 181"/>
    <x v="1"/>
    <x v="0"/>
    <x v="7"/>
    <x v="7"/>
    <n v="999686"/>
    <x v="4"/>
    <x v="282"/>
    <x v="0"/>
    <x v="0"/>
    <x v="78"/>
    <n v="118.25"/>
    <n v="4"/>
    <n v="0.4"/>
    <n v="-21.15"/>
  </r>
  <r>
    <n v="1443"/>
    <x v="1442"/>
    <x v="7"/>
    <d v="2025-09-08T00:00:00"/>
    <x v="0"/>
    <s v="CUST-1097"/>
    <s v="Customer 300"/>
    <x v="2"/>
    <x v="0"/>
    <x v="0"/>
    <x v="0"/>
    <n v="948755"/>
    <x v="0"/>
    <x v="70"/>
    <x v="1"/>
    <x v="1"/>
    <x v="53"/>
    <n v="211.03"/>
    <n v="1"/>
    <n v="0.15"/>
    <n v="14.23"/>
  </r>
  <r>
    <n v="1444"/>
    <x v="1443"/>
    <x v="373"/>
    <d v="2024-10-01T00:00:00"/>
    <x v="2"/>
    <s v="CUST-1195"/>
    <s v="Customer 133"/>
    <x v="0"/>
    <x v="0"/>
    <x v="9"/>
    <x v="9"/>
    <n v="866333"/>
    <x v="2"/>
    <x v="706"/>
    <x v="0"/>
    <x v="6"/>
    <x v="480"/>
    <n v="91.82"/>
    <n v="7"/>
    <n v="0.15"/>
    <n v="-3.81"/>
  </r>
  <r>
    <n v="1445"/>
    <x v="1444"/>
    <x v="429"/>
    <d v="2025-06-12T00:00:00"/>
    <x v="2"/>
    <s v="CUST-1019"/>
    <s v="Customer 116"/>
    <x v="2"/>
    <x v="0"/>
    <x v="4"/>
    <x v="4"/>
    <n v="650343"/>
    <x v="3"/>
    <x v="707"/>
    <x v="0"/>
    <x v="9"/>
    <x v="817"/>
    <n v="342.34"/>
    <n v="3"/>
    <n v="0.15"/>
    <n v="-19.53"/>
  </r>
  <r>
    <n v="1446"/>
    <x v="1445"/>
    <x v="551"/>
    <d v="2024-06-09T00:00:00"/>
    <x v="0"/>
    <s v="CUST-1255"/>
    <s v="Customer 141"/>
    <x v="1"/>
    <x v="0"/>
    <x v="3"/>
    <x v="3"/>
    <n v="116643"/>
    <x v="1"/>
    <x v="383"/>
    <x v="1"/>
    <x v="7"/>
    <x v="818"/>
    <n v="43.29"/>
    <n v="5"/>
    <n v="0.1"/>
    <n v="9.5399999999999991"/>
  </r>
  <r>
    <n v="1447"/>
    <x v="1446"/>
    <x v="226"/>
    <d v="2024-06-03T00:00:00"/>
    <x v="3"/>
    <s v="CUST-1362"/>
    <s v="Customer 045"/>
    <x v="0"/>
    <x v="0"/>
    <x v="6"/>
    <x v="6"/>
    <n v="633881"/>
    <x v="2"/>
    <x v="269"/>
    <x v="0"/>
    <x v="9"/>
    <x v="819"/>
    <n v="533.78"/>
    <n v="6"/>
    <n v="0.15"/>
    <n v="-21.39"/>
  </r>
  <r>
    <n v="1448"/>
    <x v="1447"/>
    <x v="149"/>
    <d v="2025-09-13T00:00:00"/>
    <x v="2"/>
    <s v="CUST-1052"/>
    <s v="Customer 301"/>
    <x v="1"/>
    <x v="0"/>
    <x v="2"/>
    <x v="2"/>
    <n v="298924"/>
    <x v="2"/>
    <x v="186"/>
    <x v="0"/>
    <x v="6"/>
    <x v="530"/>
    <n v="149.31"/>
    <n v="2"/>
    <n v="0.05"/>
    <n v="35.450000000000003"/>
  </r>
  <r>
    <n v="1449"/>
    <x v="1448"/>
    <x v="88"/>
    <d v="2024-07-12T00:00:00"/>
    <x v="2"/>
    <s v="CUST-1350"/>
    <s v="Customer 071"/>
    <x v="0"/>
    <x v="0"/>
    <x v="4"/>
    <x v="4"/>
    <n v="788739"/>
    <x v="3"/>
    <x v="407"/>
    <x v="0"/>
    <x v="0"/>
    <x v="190"/>
    <n v="199.33"/>
    <n v="7"/>
    <n v="0.2"/>
    <n v="-16.39"/>
  </r>
  <r>
    <n v="1450"/>
    <x v="1449"/>
    <x v="469"/>
    <d v="2024-04-09T00:00:00"/>
    <x v="1"/>
    <s v="CUST-1227"/>
    <s v="Customer 301"/>
    <x v="2"/>
    <x v="0"/>
    <x v="3"/>
    <x v="3"/>
    <n v="386736"/>
    <x v="1"/>
    <x v="7"/>
    <x v="1"/>
    <x v="1"/>
    <x v="180"/>
    <n v="95.52"/>
    <n v="7"/>
    <n v="0.15"/>
    <n v="47.47"/>
  </r>
  <r>
    <n v="1451"/>
    <x v="1450"/>
    <x v="17"/>
    <d v="2024-05-13T00:00:00"/>
    <x v="2"/>
    <s v="CUST-1093"/>
    <s v="Customer 225"/>
    <x v="2"/>
    <x v="0"/>
    <x v="1"/>
    <x v="1"/>
    <n v="711445"/>
    <x v="1"/>
    <x v="168"/>
    <x v="2"/>
    <x v="3"/>
    <x v="601"/>
    <n v="263"/>
    <n v="4"/>
    <n v="0.2"/>
    <n v="41.53"/>
  </r>
  <r>
    <n v="1452"/>
    <x v="1451"/>
    <x v="138"/>
    <d v="2024-06-22T00:00:00"/>
    <x v="3"/>
    <s v="CUST-1141"/>
    <s v="Customer 298"/>
    <x v="1"/>
    <x v="0"/>
    <x v="0"/>
    <x v="0"/>
    <n v="603646"/>
    <x v="0"/>
    <x v="7"/>
    <x v="2"/>
    <x v="4"/>
    <x v="820"/>
    <n v="495.44"/>
    <n v="9"/>
    <n v="0.2"/>
    <n v="51.34"/>
  </r>
  <r>
    <n v="1453"/>
    <x v="1452"/>
    <x v="479"/>
    <d v="2024-07-07T00:00:00"/>
    <x v="2"/>
    <s v="CUST-1141"/>
    <s v="Customer 384"/>
    <x v="0"/>
    <x v="0"/>
    <x v="1"/>
    <x v="1"/>
    <n v="198525"/>
    <x v="1"/>
    <x v="622"/>
    <x v="0"/>
    <x v="9"/>
    <x v="643"/>
    <n v="291.8"/>
    <n v="4"/>
    <n v="0.2"/>
    <n v="-9.64"/>
  </r>
  <r>
    <n v="1454"/>
    <x v="1453"/>
    <x v="594"/>
    <d v="2025-01-01T00:00:00"/>
    <x v="2"/>
    <s v="CUST-1398"/>
    <s v="Customer 039"/>
    <x v="0"/>
    <x v="0"/>
    <x v="3"/>
    <x v="3"/>
    <n v="181848"/>
    <x v="1"/>
    <x v="259"/>
    <x v="1"/>
    <x v="7"/>
    <x v="821"/>
    <n v="179.85"/>
    <n v="1"/>
    <n v="0.15"/>
    <n v="-11.34"/>
  </r>
  <r>
    <n v="1455"/>
    <x v="1454"/>
    <x v="281"/>
    <d v="2024-02-13T00:00:00"/>
    <x v="1"/>
    <s v="CUST-1143"/>
    <s v="Customer 400"/>
    <x v="0"/>
    <x v="0"/>
    <x v="4"/>
    <x v="4"/>
    <n v="585750"/>
    <x v="3"/>
    <x v="92"/>
    <x v="2"/>
    <x v="3"/>
    <x v="601"/>
    <n v="402.37"/>
    <n v="6"/>
    <n v="0.2"/>
    <n v="-3"/>
  </r>
  <r>
    <n v="1456"/>
    <x v="1455"/>
    <x v="621"/>
    <d v="2025-06-13T00:00:00"/>
    <x v="1"/>
    <s v="CUST-1087"/>
    <s v="Customer 093"/>
    <x v="1"/>
    <x v="0"/>
    <x v="0"/>
    <x v="0"/>
    <n v="946299"/>
    <x v="0"/>
    <x v="241"/>
    <x v="1"/>
    <x v="1"/>
    <x v="822"/>
    <n v="137.01"/>
    <n v="7"/>
    <n v="0.2"/>
    <n v="29.65"/>
  </r>
  <r>
    <n v="1457"/>
    <x v="1456"/>
    <x v="174"/>
    <d v="2025-05-15T00:00:00"/>
    <x v="0"/>
    <s v="CUST-1292"/>
    <s v="Customer 171"/>
    <x v="1"/>
    <x v="0"/>
    <x v="2"/>
    <x v="2"/>
    <n v="358512"/>
    <x v="2"/>
    <x v="593"/>
    <x v="0"/>
    <x v="0"/>
    <x v="823"/>
    <n v="1224.54"/>
    <n v="5"/>
    <n v="0.15"/>
    <n v="35.229999999999997"/>
  </r>
  <r>
    <n v="1458"/>
    <x v="1457"/>
    <x v="255"/>
    <d v="2025-06-02T00:00:00"/>
    <x v="2"/>
    <s v="CUST-1138"/>
    <s v="Customer 304"/>
    <x v="2"/>
    <x v="0"/>
    <x v="9"/>
    <x v="9"/>
    <n v="613755"/>
    <x v="2"/>
    <x v="708"/>
    <x v="1"/>
    <x v="1"/>
    <x v="633"/>
    <n v="50.99"/>
    <n v="4"/>
    <n v="0.2"/>
    <n v="17.98"/>
  </r>
  <r>
    <n v="1459"/>
    <x v="1458"/>
    <x v="202"/>
    <d v="2024-12-16T00:00:00"/>
    <x v="0"/>
    <s v="CUST-1290"/>
    <s v="Customer 189"/>
    <x v="0"/>
    <x v="0"/>
    <x v="0"/>
    <x v="0"/>
    <n v="505972"/>
    <x v="0"/>
    <x v="709"/>
    <x v="1"/>
    <x v="7"/>
    <x v="518"/>
    <n v="22.62"/>
    <n v="7"/>
    <n v="0"/>
    <n v="17.36"/>
  </r>
  <r>
    <n v="1460"/>
    <x v="1459"/>
    <x v="352"/>
    <d v="2025-02-01T00:00:00"/>
    <x v="3"/>
    <s v="CUST-1238"/>
    <s v="Customer 337"/>
    <x v="0"/>
    <x v="0"/>
    <x v="0"/>
    <x v="0"/>
    <n v="427282"/>
    <x v="0"/>
    <x v="70"/>
    <x v="0"/>
    <x v="0"/>
    <x v="824"/>
    <n v="214.33"/>
    <n v="4"/>
    <n v="0.15"/>
    <n v="-55.14"/>
  </r>
  <r>
    <n v="1461"/>
    <x v="1460"/>
    <x v="622"/>
    <d v="2025-12-25T00:00:00"/>
    <x v="3"/>
    <s v="CUST-1105"/>
    <s v="Customer 342"/>
    <x v="1"/>
    <x v="0"/>
    <x v="4"/>
    <x v="4"/>
    <n v="920462"/>
    <x v="3"/>
    <x v="112"/>
    <x v="2"/>
    <x v="5"/>
    <x v="218"/>
    <n v="864.15"/>
    <n v="5"/>
    <n v="0.15"/>
    <n v="54.79"/>
  </r>
  <r>
    <n v="1462"/>
    <x v="1461"/>
    <x v="26"/>
    <d v="2024-06-13T00:00:00"/>
    <x v="3"/>
    <s v="CUST-1285"/>
    <s v="Customer 399"/>
    <x v="1"/>
    <x v="0"/>
    <x v="4"/>
    <x v="4"/>
    <n v="126038"/>
    <x v="3"/>
    <x v="176"/>
    <x v="2"/>
    <x v="3"/>
    <x v="638"/>
    <n v="155.41999999999999"/>
    <n v="7"/>
    <n v="0.2"/>
    <n v="6.48"/>
  </r>
  <r>
    <n v="1463"/>
    <x v="1462"/>
    <x v="342"/>
    <d v="2024-01-20T00:00:00"/>
    <x v="0"/>
    <s v="CUST-1295"/>
    <s v="Customer 330"/>
    <x v="2"/>
    <x v="0"/>
    <x v="3"/>
    <x v="3"/>
    <n v="479949"/>
    <x v="1"/>
    <x v="466"/>
    <x v="2"/>
    <x v="5"/>
    <x v="825"/>
    <n v="1381.85"/>
    <n v="3"/>
    <n v="0.15"/>
    <n v="128.16"/>
  </r>
  <r>
    <n v="1464"/>
    <x v="1463"/>
    <x v="90"/>
    <d v="2025-05-11T00:00:00"/>
    <x v="2"/>
    <s v="CUST-1245"/>
    <s v="Customer 077"/>
    <x v="2"/>
    <x v="0"/>
    <x v="8"/>
    <x v="8"/>
    <n v="385954"/>
    <x v="3"/>
    <x v="710"/>
    <x v="1"/>
    <x v="8"/>
    <x v="545"/>
    <n v="35.18"/>
    <n v="4"/>
    <n v="0.2"/>
    <n v="-12.64"/>
  </r>
  <r>
    <n v="1465"/>
    <x v="1464"/>
    <x v="623"/>
    <d v="2025-03-04T00:00:00"/>
    <x v="2"/>
    <s v="CUST-1166"/>
    <s v="Customer 067"/>
    <x v="1"/>
    <x v="0"/>
    <x v="0"/>
    <x v="0"/>
    <n v="511193"/>
    <x v="0"/>
    <x v="711"/>
    <x v="2"/>
    <x v="5"/>
    <x v="710"/>
    <n v="702.65"/>
    <n v="5"/>
    <n v="0.2"/>
    <n v="44.91"/>
  </r>
  <r>
    <n v="1466"/>
    <x v="1465"/>
    <x v="613"/>
    <d v="2024-04-23T00:00:00"/>
    <x v="3"/>
    <s v="CUST-1369"/>
    <s v="Customer 019"/>
    <x v="1"/>
    <x v="0"/>
    <x v="6"/>
    <x v="6"/>
    <n v="381080"/>
    <x v="2"/>
    <x v="498"/>
    <x v="0"/>
    <x v="0"/>
    <x v="702"/>
    <n v="236.47"/>
    <n v="9"/>
    <n v="0.15"/>
    <n v="-19.62"/>
  </r>
  <r>
    <n v="1467"/>
    <x v="1466"/>
    <x v="442"/>
    <d v="2025-03-28T00:00:00"/>
    <x v="3"/>
    <s v="CUST-1300"/>
    <s v="Customer 173"/>
    <x v="2"/>
    <x v="0"/>
    <x v="0"/>
    <x v="0"/>
    <n v="335328"/>
    <x v="0"/>
    <x v="698"/>
    <x v="0"/>
    <x v="10"/>
    <x v="826"/>
    <n v="162.61000000000001"/>
    <n v="1"/>
    <n v="0.2"/>
    <n v="8.0500000000000007"/>
  </r>
  <r>
    <n v="1468"/>
    <x v="1467"/>
    <x v="624"/>
    <d v="2024-11-09T00:00:00"/>
    <x v="3"/>
    <s v="CUST-1127"/>
    <s v="Customer 248"/>
    <x v="0"/>
    <x v="0"/>
    <x v="3"/>
    <x v="3"/>
    <n v="863070"/>
    <x v="1"/>
    <x v="293"/>
    <x v="1"/>
    <x v="2"/>
    <x v="371"/>
    <n v="98.39"/>
    <n v="7"/>
    <n v="0.05"/>
    <n v="1.1100000000000001"/>
  </r>
  <r>
    <n v="1469"/>
    <x v="1468"/>
    <x v="399"/>
    <d v="2024-06-20T00:00:00"/>
    <x v="0"/>
    <s v="CUST-1016"/>
    <s v="Customer 321"/>
    <x v="1"/>
    <x v="0"/>
    <x v="7"/>
    <x v="7"/>
    <n v="421133"/>
    <x v="4"/>
    <x v="359"/>
    <x v="2"/>
    <x v="3"/>
    <x v="145"/>
    <n v="682.44"/>
    <n v="7"/>
    <n v="0.1"/>
    <n v="64.400000000000006"/>
  </r>
  <r>
    <n v="1470"/>
    <x v="1469"/>
    <x v="476"/>
    <d v="2025-07-01T00:00:00"/>
    <x v="1"/>
    <s v="CUST-1360"/>
    <s v="Customer 287"/>
    <x v="1"/>
    <x v="0"/>
    <x v="1"/>
    <x v="1"/>
    <n v="183394"/>
    <x v="1"/>
    <x v="98"/>
    <x v="2"/>
    <x v="11"/>
    <x v="827"/>
    <n v="92.86"/>
    <n v="5"/>
    <n v="0.2"/>
    <n v="15.77"/>
  </r>
  <r>
    <n v="1471"/>
    <x v="1470"/>
    <x v="22"/>
    <d v="2025-02-18T00:00:00"/>
    <x v="0"/>
    <s v="CUST-1180"/>
    <s v="Customer 199"/>
    <x v="2"/>
    <x v="0"/>
    <x v="9"/>
    <x v="9"/>
    <n v="254558"/>
    <x v="2"/>
    <x v="542"/>
    <x v="2"/>
    <x v="3"/>
    <x v="99"/>
    <n v="401.48"/>
    <n v="2"/>
    <n v="0.15"/>
    <n v="20.66"/>
  </r>
  <r>
    <n v="1472"/>
    <x v="1471"/>
    <x v="444"/>
    <d v="2024-09-09T00:00:00"/>
    <x v="1"/>
    <s v="CUST-1388"/>
    <s v="Customer 318"/>
    <x v="1"/>
    <x v="0"/>
    <x v="8"/>
    <x v="8"/>
    <n v="567448"/>
    <x v="3"/>
    <x v="712"/>
    <x v="1"/>
    <x v="7"/>
    <x v="337"/>
    <n v="109.62"/>
    <n v="7"/>
    <n v="0.2"/>
    <n v="46.15"/>
  </r>
  <r>
    <n v="1473"/>
    <x v="1472"/>
    <x v="557"/>
    <d v="2024-05-25T00:00:00"/>
    <x v="0"/>
    <s v="CUST-1053"/>
    <s v="Customer 375"/>
    <x v="2"/>
    <x v="0"/>
    <x v="2"/>
    <x v="2"/>
    <n v="665921"/>
    <x v="2"/>
    <x v="271"/>
    <x v="1"/>
    <x v="7"/>
    <x v="803"/>
    <n v="241.69"/>
    <n v="2"/>
    <n v="0.1"/>
    <n v="19.84"/>
  </r>
  <r>
    <n v="1474"/>
    <x v="1473"/>
    <x v="47"/>
    <d v="2024-10-03T00:00:00"/>
    <x v="3"/>
    <s v="CUST-1179"/>
    <s v="Customer 292"/>
    <x v="0"/>
    <x v="0"/>
    <x v="2"/>
    <x v="2"/>
    <n v="171656"/>
    <x v="2"/>
    <x v="402"/>
    <x v="2"/>
    <x v="5"/>
    <x v="828"/>
    <n v="488.74"/>
    <n v="4"/>
    <n v="0"/>
    <n v="61.66"/>
  </r>
  <r>
    <n v="1475"/>
    <x v="1474"/>
    <x v="185"/>
    <d v="2025-02-20T00:00:00"/>
    <x v="2"/>
    <s v="CUST-1224"/>
    <s v="Customer 114"/>
    <x v="1"/>
    <x v="0"/>
    <x v="2"/>
    <x v="2"/>
    <n v="578562"/>
    <x v="2"/>
    <x v="5"/>
    <x v="2"/>
    <x v="3"/>
    <x v="145"/>
    <n v="521.94000000000005"/>
    <n v="7"/>
    <n v="0.2"/>
    <n v="-13.75"/>
  </r>
  <r>
    <n v="1476"/>
    <x v="1475"/>
    <x v="170"/>
    <d v="2025-09-03T00:00:00"/>
    <x v="2"/>
    <s v="CUST-1067"/>
    <s v="Customer 107"/>
    <x v="1"/>
    <x v="0"/>
    <x v="4"/>
    <x v="4"/>
    <n v="858860"/>
    <x v="3"/>
    <x v="713"/>
    <x v="2"/>
    <x v="4"/>
    <x v="166"/>
    <n v="240.24"/>
    <n v="9"/>
    <n v="0.2"/>
    <n v="-15.1"/>
  </r>
  <r>
    <n v="1477"/>
    <x v="1476"/>
    <x v="281"/>
    <d v="2024-02-09T00:00:00"/>
    <x v="3"/>
    <s v="CUST-1169"/>
    <s v="Customer 366"/>
    <x v="0"/>
    <x v="0"/>
    <x v="2"/>
    <x v="2"/>
    <n v="602911"/>
    <x v="2"/>
    <x v="714"/>
    <x v="2"/>
    <x v="5"/>
    <x v="829"/>
    <n v="275.77"/>
    <n v="8"/>
    <n v="0.1"/>
    <n v="37.65"/>
  </r>
  <r>
    <n v="1478"/>
    <x v="1477"/>
    <x v="402"/>
    <d v="2024-01-31T00:00:00"/>
    <x v="2"/>
    <s v="CUST-1212"/>
    <s v="Customer 094"/>
    <x v="1"/>
    <x v="0"/>
    <x v="9"/>
    <x v="9"/>
    <n v="780583"/>
    <x v="2"/>
    <x v="234"/>
    <x v="1"/>
    <x v="7"/>
    <x v="830"/>
    <n v="64.17"/>
    <n v="3"/>
    <n v="0.3"/>
    <n v="-25.71"/>
  </r>
  <r>
    <n v="1479"/>
    <x v="1478"/>
    <x v="69"/>
    <d v="2025-04-22T00:00:00"/>
    <x v="0"/>
    <s v="CUST-1302"/>
    <s v="Customer 030"/>
    <x v="0"/>
    <x v="0"/>
    <x v="1"/>
    <x v="1"/>
    <n v="624201"/>
    <x v="1"/>
    <x v="715"/>
    <x v="1"/>
    <x v="8"/>
    <x v="14"/>
    <n v="45.6"/>
    <n v="2"/>
    <n v="0.2"/>
    <n v="-20.46"/>
  </r>
  <r>
    <n v="1480"/>
    <x v="1479"/>
    <x v="165"/>
    <d v="2024-11-14T00:00:00"/>
    <x v="3"/>
    <s v="CUST-1181"/>
    <s v="Customer 100"/>
    <x v="0"/>
    <x v="0"/>
    <x v="2"/>
    <x v="2"/>
    <n v="105589"/>
    <x v="2"/>
    <x v="529"/>
    <x v="0"/>
    <x v="10"/>
    <x v="612"/>
    <n v="292.23"/>
    <n v="6"/>
    <n v="0.1"/>
    <n v="18.93"/>
  </r>
  <r>
    <n v="1481"/>
    <x v="1480"/>
    <x v="625"/>
    <d v="2024-09-04T00:00:00"/>
    <x v="1"/>
    <s v="CUST-1397"/>
    <s v="Customer 009"/>
    <x v="2"/>
    <x v="0"/>
    <x v="0"/>
    <x v="0"/>
    <n v="997561"/>
    <x v="0"/>
    <x v="716"/>
    <x v="1"/>
    <x v="8"/>
    <x v="796"/>
    <n v="60.31"/>
    <n v="1"/>
    <n v="0.3"/>
    <n v="-41.99"/>
  </r>
  <r>
    <n v="1482"/>
    <x v="1481"/>
    <x v="328"/>
    <d v="2025-11-30T00:00:00"/>
    <x v="0"/>
    <s v="CUST-1000"/>
    <s v="Customer 128"/>
    <x v="2"/>
    <x v="0"/>
    <x v="0"/>
    <x v="0"/>
    <n v="628044"/>
    <x v="0"/>
    <x v="696"/>
    <x v="2"/>
    <x v="4"/>
    <x v="249"/>
    <n v="731.03"/>
    <n v="4"/>
    <n v="0.2"/>
    <n v="11.05"/>
  </r>
  <r>
    <n v="1483"/>
    <x v="1482"/>
    <x v="320"/>
    <d v="2024-10-03T00:00:00"/>
    <x v="3"/>
    <s v="CUST-1268"/>
    <s v="Customer 140"/>
    <x v="2"/>
    <x v="0"/>
    <x v="4"/>
    <x v="4"/>
    <n v="450804"/>
    <x v="3"/>
    <x v="29"/>
    <x v="1"/>
    <x v="8"/>
    <x v="815"/>
    <n v="89.12"/>
    <n v="8"/>
    <n v="0.2"/>
    <n v="31.15"/>
  </r>
  <r>
    <n v="1484"/>
    <x v="1483"/>
    <x v="626"/>
    <d v="2025-03-18T00:00:00"/>
    <x v="2"/>
    <s v="CUST-1394"/>
    <s v="Customer 350"/>
    <x v="2"/>
    <x v="0"/>
    <x v="9"/>
    <x v="9"/>
    <n v="525618"/>
    <x v="2"/>
    <x v="101"/>
    <x v="1"/>
    <x v="2"/>
    <x v="831"/>
    <n v="142.76"/>
    <n v="8"/>
    <n v="0.1"/>
    <n v="47.25"/>
  </r>
  <r>
    <n v="1485"/>
    <x v="1484"/>
    <x v="448"/>
    <d v="2024-08-30T00:00:00"/>
    <x v="2"/>
    <s v="CUST-1151"/>
    <s v="Customer 223"/>
    <x v="0"/>
    <x v="0"/>
    <x v="1"/>
    <x v="1"/>
    <n v="269488"/>
    <x v="1"/>
    <x v="466"/>
    <x v="0"/>
    <x v="6"/>
    <x v="832"/>
    <n v="207.64"/>
    <n v="4"/>
    <n v="0.4"/>
    <n v="-33.58"/>
  </r>
  <r>
    <n v="1486"/>
    <x v="1485"/>
    <x v="156"/>
    <d v="2025-01-14T00:00:00"/>
    <x v="1"/>
    <s v="CUST-1034"/>
    <s v="Customer 016"/>
    <x v="1"/>
    <x v="0"/>
    <x v="8"/>
    <x v="8"/>
    <n v="814129"/>
    <x v="3"/>
    <x v="402"/>
    <x v="1"/>
    <x v="7"/>
    <x v="170"/>
    <n v="35.43"/>
    <n v="6"/>
    <n v="0.2"/>
    <n v="-7.35"/>
  </r>
  <r>
    <n v="1487"/>
    <x v="1486"/>
    <x v="627"/>
    <d v="2024-09-26T00:00:00"/>
    <x v="2"/>
    <s v="CUST-1333"/>
    <s v="Customer 261"/>
    <x v="1"/>
    <x v="0"/>
    <x v="3"/>
    <x v="3"/>
    <n v="351061"/>
    <x v="1"/>
    <x v="717"/>
    <x v="2"/>
    <x v="11"/>
    <x v="833"/>
    <n v="1092.23"/>
    <n v="7"/>
    <n v="0.1"/>
    <n v="83.84"/>
  </r>
  <r>
    <n v="1488"/>
    <x v="1487"/>
    <x v="161"/>
    <d v="2024-12-27T00:00:00"/>
    <x v="1"/>
    <s v="CUST-1333"/>
    <s v="Customer 292"/>
    <x v="0"/>
    <x v="0"/>
    <x v="1"/>
    <x v="1"/>
    <n v="379067"/>
    <x v="1"/>
    <x v="271"/>
    <x v="2"/>
    <x v="3"/>
    <x v="445"/>
    <n v="277.27"/>
    <n v="6"/>
    <n v="0.15"/>
    <n v="-25.88"/>
  </r>
  <r>
    <n v="1489"/>
    <x v="1488"/>
    <x v="55"/>
    <d v="2024-12-09T00:00:00"/>
    <x v="1"/>
    <s v="CUST-1060"/>
    <s v="Customer 217"/>
    <x v="1"/>
    <x v="0"/>
    <x v="3"/>
    <x v="3"/>
    <n v="598338"/>
    <x v="1"/>
    <x v="144"/>
    <x v="2"/>
    <x v="11"/>
    <x v="834"/>
    <n v="494.04"/>
    <n v="7"/>
    <n v="0.15"/>
    <n v="63.08"/>
  </r>
  <r>
    <n v="1490"/>
    <x v="1489"/>
    <x v="467"/>
    <d v="2025-01-26T00:00:00"/>
    <x v="1"/>
    <s v="CUST-1277"/>
    <s v="Customer 395"/>
    <x v="1"/>
    <x v="0"/>
    <x v="7"/>
    <x v="7"/>
    <n v="843588"/>
    <x v="4"/>
    <x v="564"/>
    <x v="0"/>
    <x v="6"/>
    <x v="275"/>
    <n v="151.44"/>
    <n v="4"/>
    <n v="0.15"/>
    <n v="22.08"/>
  </r>
  <r>
    <n v="1491"/>
    <x v="1490"/>
    <x v="348"/>
    <d v="2025-07-31T00:00:00"/>
    <x v="3"/>
    <s v="CUST-1008"/>
    <s v="Customer 294"/>
    <x v="0"/>
    <x v="0"/>
    <x v="3"/>
    <x v="3"/>
    <n v="722604"/>
    <x v="1"/>
    <x v="718"/>
    <x v="1"/>
    <x v="2"/>
    <x v="74"/>
    <n v="91.47"/>
    <n v="7"/>
    <n v="0.15"/>
    <n v="8.8699999999999992"/>
  </r>
  <r>
    <n v="1492"/>
    <x v="1491"/>
    <x v="368"/>
    <d v="2025-11-22T00:00:00"/>
    <x v="2"/>
    <s v="CUST-1207"/>
    <s v="Customer 016"/>
    <x v="1"/>
    <x v="0"/>
    <x v="6"/>
    <x v="6"/>
    <n v="608906"/>
    <x v="2"/>
    <x v="676"/>
    <x v="1"/>
    <x v="8"/>
    <x v="182"/>
    <n v="58.35"/>
    <n v="1"/>
    <n v="0.15"/>
    <n v="5.54"/>
  </r>
  <r>
    <n v="1493"/>
    <x v="1492"/>
    <x v="503"/>
    <d v="2024-01-08T00:00:00"/>
    <x v="0"/>
    <s v="CUST-1344"/>
    <s v="Customer 310"/>
    <x v="2"/>
    <x v="0"/>
    <x v="0"/>
    <x v="0"/>
    <n v="134075"/>
    <x v="0"/>
    <x v="561"/>
    <x v="1"/>
    <x v="2"/>
    <x v="461"/>
    <n v="117.77"/>
    <n v="6"/>
    <n v="0.3"/>
    <n v="13.03"/>
  </r>
  <r>
    <n v="1494"/>
    <x v="1493"/>
    <x v="575"/>
    <d v="2025-03-06T00:00:00"/>
    <x v="0"/>
    <s v="CUST-1137"/>
    <s v="Customer 326"/>
    <x v="0"/>
    <x v="0"/>
    <x v="9"/>
    <x v="9"/>
    <n v="112268"/>
    <x v="2"/>
    <x v="509"/>
    <x v="1"/>
    <x v="7"/>
    <x v="239"/>
    <n v="113.61"/>
    <n v="3"/>
    <n v="0.2"/>
    <n v="-21.09"/>
  </r>
  <r>
    <n v="1495"/>
    <x v="1494"/>
    <x v="628"/>
    <d v="2024-05-22T00:00:00"/>
    <x v="0"/>
    <s v="CUST-1078"/>
    <s v="Customer 037"/>
    <x v="0"/>
    <x v="0"/>
    <x v="5"/>
    <x v="5"/>
    <n v="684791"/>
    <x v="0"/>
    <x v="423"/>
    <x v="1"/>
    <x v="7"/>
    <x v="239"/>
    <n v="38.75"/>
    <n v="6"/>
    <n v="0.15"/>
    <n v="5.24"/>
  </r>
  <r>
    <n v="1496"/>
    <x v="1495"/>
    <x v="363"/>
    <d v="2025-01-11T00:00:00"/>
    <x v="2"/>
    <s v="CUST-1340"/>
    <s v="Customer 084"/>
    <x v="2"/>
    <x v="0"/>
    <x v="4"/>
    <x v="4"/>
    <n v="238498"/>
    <x v="3"/>
    <x v="2"/>
    <x v="2"/>
    <x v="4"/>
    <x v="16"/>
    <n v="174.84"/>
    <n v="8"/>
    <n v="0.1"/>
    <n v="0.17"/>
  </r>
  <r>
    <n v="1497"/>
    <x v="1496"/>
    <x v="246"/>
    <d v="2025-11-03T00:00:00"/>
    <x v="3"/>
    <s v="CUST-1371"/>
    <s v="Customer 092"/>
    <x v="0"/>
    <x v="0"/>
    <x v="6"/>
    <x v="6"/>
    <n v="781867"/>
    <x v="2"/>
    <x v="18"/>
    <x v="0"/>
    <x v="10"/>
    <x v="672"/>
    <n v="118.34"/>
    <n v="7"/>
    <n v="0.3"/>
    <n v="27.79"/>
  </r>
  <r>
    <n v="1498"/>
    <x v="1497"/>
    <x v="552"/>
    <d v="2024-11-21T00:00:00"/>
    <x v="1"/>
    <s v="CUST-1262"/>
    <s v="Customer 288"/>
    <x v="0"/>
    <x v="0"/>
    <x v="3"/>
    <x v="3"/>
    <n v="920144"/>
    <x v="1"/>
    <x v="714"/>
    <x v="2"/>
    <x v="5"/>
    <x v="181"/>
    <n v="782.18"/>
    <n v="5"/>
    <n v="0.3"/>
    <n v="28.89"/>
  </r>
  <r>
    <n v="1499"/>
    <x v="1498"/>
    <x v="446"/>
    <d v="2024-05-29T00:00:00"/>
    <x v="1"/>
    <s v="CUST-1179"/>
    <s v="Customer 296"/>
    <x v="0"/>
    <x v="0"/>
    <x v="2"/>
    <x v="2"/>
    <n v="853997"/>
    <x v="2"/>
    <x v="719"/>
    <x v="1"/>
    <x v="1"/>
    <x v="786"/>
    <n v="117.56"/>
    <n v="2"/>
    <n v="0.3"/>
    <n v="25.43"/>
  </r>
  <r>
    <n v="1500"/>
    <x v="1499"/>
    <x v="629"/>
    <d v="2024-10-21T00:00:00"/>
    <x v="1"/>
    <s v="CUST-1326"/>
    <s v="Customer 295"/>
    <x v="0"/>
    <x v="0"/>
    <x v="9"/>
    <x v="9"/>
    <n v="933211"/>
    <x v="2"/>
    <x v="292"/>
    <x v="1"/>
    <x v="2"/>
    <x v="235"/>
    <n v="74.099999999999994"/>
    <n v="1"/>
    <n v="0.3"/>
    <n v="4.1900000000000004"/>
  </r>
  <r>
    <m/>
    <x v="1500"/>
    <x v="630"/>
    <m/>
    <x v="4"/>
    <m/>
    <m/>
    <x v="3"/>
    <x v="1"/>
    <x v="10"/>
    <x v="10"/>
    <m/>
    <x v="5"/>
    <x v="720"/>
    <x v="3"/>
    <x v="12"/>
    <x v="83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5699F-7B7D-42F3-9C70-84F15FB73C3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Q18:R29" firstHeaderRow="1" firstDataRow="1" firstDataCol="1"/>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pivotField showAll="0"/>
    <pivotField showAll="0"/>
    <pivotField showAll="0">
      <items count="5">
        <item x="2"/>
        <item x="1"/>
        <item x="0"/>
        <item x="3"/>
        <item t="default"/>
      </items>
    </pivotField>
    <pivotField showAll="0"/>
    <pivotField showAll="0">
      <items count="12">
        <item x="9"/>
        <item x="5"/>
        <item x="6"/>
        <item x="1"/>
        <item x="2"/>
        <item x="0"/>
        <item x="3"/>
        <item x="7"/>
        <item x="8"/>
        <item x="4"/>
        <item x="10"/>
        <item t="default"/>
      </items>
    </pivotField>
    <pivotField showAll="0">
      <items count="12">
        <item x="9"/>
        <item x="5"/>
        <item x="6"/>
        <item x="1"/>
        <item x="2"/>
        <item x="0"/>
        <item x="3"/>
        <item x="7"/>
        <item x="8"/>
        <item x="4"/>
        <item x="10"/>
        <item t="default"/>
      </items>
    </pivotField>
    <pivotField showAll="0"/>
    <pivotField showAll="0">
      <items count="7">
        <item x="0"/>
        <item x="4"/>
        <item x="1"/>
        <item x="2"/>
        <item x="3"/>
        <item x="5"/>
        <item t="default"/>
      </items>
    </pivotField>
    <pivotField showAll="0">
      <items count="722">
        <item x="495"/>
        <item x="651"/>
        <item x="13"/>
        <item x="284"/>
        <item x="504"/>
        <item x="259"/>
        <item x="567"/>
        <item x="155"/>
        <item x="350"/>
        <item x="522"/>
        <item x="463"/>
        <item x="640"/>
        <item x="566"/>
        <item x="329"/>
        <item x="87"/>
        <item x="84"/>
        <item x="17"/>
        <item x="540"/>
        <item x="456"/>
        <item x="461"/>
        <item x="38"/>
        <item x="166"/>
        <item x="647"/>
        <item x="498"/>
        <item x="561"/>
        <item x="120"/>
        <item x="587"/>
        <item x="239"/>
        <item x="546"/>
        <item x="560"/>
        <item x="497"/>
        <item x="162"/>
        <item x="16"/>
        <item x="534"/>
        <item x="392"/>
        <item x="92"/>
        <item x="55"/>
        <item x="95"/>
        <item x="594"/>
        <item x="527"/>
        <item x="144"/>
        <item x="169"/>
        <item x="429"/>
        <item x="487"/>
        <item x="407"/>
        <item x="362"/>
        <item x="597"/>
        <item x="156"/>
        <item x="286"/>
        <item x="303"/>
        <item x="515"/>
        <item x="236"/>
        <item x="106"/>
        <item x="467"/>
        <item x="70"/>
        <item x="628"/>
        <item x="355"/>
        <item x="477"/>
        <item x="74"/>
        <item x="134"/>
        <item x="143"/>
        <item x="158"/>
        <item x="531"/>
        <item x="207"/>
        <item x="452"/>
        <item x="256"/>
        <item x="272"/>
        <item x="420"/>
        <item x="0"/>
        <item x="349"/>
        <item x="710"/>
        <item x="346"/>
        <item x="638"/>
        <item x="98"/>
        <item x="573"/>
        <item x="526"/>
        <item x="208"/>
        <item x="447"/>
        <item x="146"/>
        <item x="334"/>
        <item x="396"/>
        <item x="418"/>
        <item x="626"/>
        <item x="366"/>
        <item x="246"/>
        <item x="445"/>
        <item x="565"/>
        <item x="336"/>
        <item x="52"/>
        <item x="705"/>
        <item x="500"/>
        <item x="481"/>
        <item x="176"/>
        <item x="520"/>
        <item x="591"/>
        <item x="214"/>
        <item x="33"/>
        <item x="97"/>
        <item x="715"/>
        <item x="225"/>
        <item x="68"/>
        <item x="215"/>
        <item x="612"/>
        <item x="578"/>
        <item x="111"/>
        <item x="479"/>
        <item x="178"/>
        <item x="9"/>
        <item x="234"/>
        <item x="304"/>
        <item x="422"/>
        <item x="15"/>
        <item x="231"/>
        <item x="496"/>
        <item x="389"/>
        <item x="636"/>
        <item x="260"/>
        <item x="11"/>
        <item x="381"/>
        <item x="506"/>
        <item x="23"/>
        <item x="607"/>
        <item x="457"/>
        <item x="148"/>
        <item x="65"/>
        <item x="704"/>
        <item x="438"/>
        <item x="297"/>
        <item x="21"/>
        <item x="489"/>
        <item x="69"/>
        <item x="161"/>
        <item x="159"/>
        <item x="595"/>
        <item x="605"/>
        <item x="453"/>
        <item x="202"/>
        <item x="357"/>
        <item x="47"/>
        <item x="650"/>
        <item x="219"/>
        <item x="521"/>
        <item x="615"/>
        <item x="714"/>
        <item x="36"/>
        <item x="614"/>
        <item x="373"/>
        <item x="620"/>
        <item x="410"/>
        <item x="263"/>
        <item x="171"/>
        <item x="658"/>
        <item x="323"/>
        <item x="348"/>
        <item x="66"/>
        <item x="103"/>
        <item x="625"/>
        <item x="507"/>
        <item x="480"/>
        <item x="505"/>
        <item x="458"/>
        <item x="412"/>
        <item x="669"/>
        <item x="58"/>
        <item x="523"/>
        <item x="91"/>
        <item x="616"/>
        <item x="398"/>
        <item x="613"/>
        <item x="440"/>
        <item x="602"/>
        <item x="285"/>
        <item x="674"/>
        <item x="281"/>
        <item x="558"/>
        <item x="545"/>
        <item x="665"/>
        <item x="676"/>
        <item x="462"/>
        <item x="189"/>
        <item x="499"/>
        <item x="719"/>
        <item x="427"/>
        <item x="596"/>
        <item x="240"/>
        <item x="125"/>
        <item x="124"/>
        <item x="347"/>
        <item x="642"/>
        <item x="639"/>
        <item x="383"/>
        <item x="384"/>
        <item x="331"/>
        <item x="109"/>
        <item x="196"/>
        <item x="577"/>
        <item x="151"/>
        <item x="653"/>
        <item x="164"/>
        <item x="471"/>
        <item x="79"/>
        <item x="588"/>
        <item x="634"/>
        <item x="434"/>
        <item x="483"/>
        <item x="46"/>
        <item x="514"/>
        <item x="693"/>
        <item x="619"/>
        <item x="572"/>
        <item x="32"/>
        <item x="182"/>
        <item x="100"/>
        <item x="308"/>
        <item x="645"/>
        <item x="229"/>
        <item x="48"/>
        <item x="344"/>
        <item x="402"/>
        <item x="306"/>
        <item x="337"/>
        <item x="570"/>
        <item x="662"/>
        <item x="128"/>
        <item x="399"/>
        <item x="582"/>
        <item x="475"/>
        <item x="370"/>
        <item x="673"/>
        <item x="435"/>
        <item x="351"/>
        <item x="63"/>
        <item x="513"/>
        <item x="201"/>
        <item x="442"/>
        <item x="478"/>
        <item x="364"/>
        <item x="473"/>
        <item x="224"/>
        <item x="60"/>
        <item x="179"/>
        <item x="61"/>
        <item x="312"/>
        <item x="150"/>
        <item x="291"/>
        <item x="363"/>
        <item x="431"/>
        <item x="518"/>
        <item x="655"/>
        <item x="538"/>
        <item x="503"/>
        <item x="110"/>
        <item x="266"/>
        <item x="282"/>
        <item x="34"/>
        <item x="428"/>
        <item x="707"/>
        <item x="469"/>
        <item x="105"/>
        <item x="390"/>
        <item x="465"/>
        <item x="154"/>
        <item x="529"/>
        <item x="698"/>
        <item x="265"/>
        <item x="581"/>
        <item x="604"/>
        <item x="556"/>
        <item x="193"/>
        <item x="661"/>
        <item x="387"/>
        <item x="250"/>
        <item x="2"/>
        <item x="404"/>
        <item x="360"/>
        <item x="19"/>
        <item x="530"/>
        <item x="455"/>
        <item x="132"/>
        <item x="93"/>
        <item x="409"/>
        <item x="42"/>
        <item x="195"/>
        <item x="553"/>
        <item x="544"/>
        <item x="524"/>
        <item x="277"/>
        <item x="4"/>
        <item x="181"/>
        <item x="678"/>
        <item x="343"/>
        <item x="342"/>
        <item x="579"/>
        <item x="137"/>
        <item x="671"/>
        <item x="190"/>
        <item x="237"/>
        <item x="209"/>
        <item x="380"/>
        <item x="703"/>
        <item x="679"/>
        <item x="584"/>
        <item x="314"/>
        <item x="147"/>
        <item x="501"/>
        <item x="261"/>
        <item x="569"/>
        <item x="382"/>
        <item x="486"/>
        <item x="332"/>
        <item x="270"/>
        <item x="200"/>
        <item x="340"/>
        <item x="610"/>
        <item x="586"/>
        <item x="484"/>
        <item x="244"/>
        <item x="30"/>
        <item x="689"/>
        <item x="289"/>
        <item x="356"/>
        <item x="608"/>
        <item x="141"/>
        <item x="41"/>
        <item x="136"/>
        <item x="685"/>
        <item x="470"/>
        <item x="22"/>
        <item x="696"/>
        <item x="716"/>
        <item x="175"/>
        <item x="268"/>
        <item x="317"/>
        <item x="557"/>
        <item x="238"/>
        <item x="64"/>
        <item x="537"/>
        <item x="559"/>
        <item x="421"/>
        <item x="335"/>
        <item x="590"/>
        <item x="307"/>
        <item x="119"/>
        <item x="657"/>
        <item x="18"/>
        <item x="551"/>
        <item x="459"/>
        <item x="57"/>
        <item x="96"/>
        <item x="160"/>
        <item x="611"/>
        <item x="174"/>
        <item x="327"/>
        <item x="519"/>
        <item x="472"/>
        <item x="423"/>
        <item x="248"/>
        <item x="153"/>
        <item x="580"/>
        <item x="82"/>
        <item x="400"/>
        <item x="210"/>
        <item x="78"/>
        <item x="324"/>
        <item x="637"/>
        <item x="699"/>
        <item x="672"/>
        <item x="454"/>
        <item x="511"/>
        <item x="86"/>
        <item x="641"/>
        <item x="700"/>
        <item x="644"/>
        <item x="262"/>
        <item x="140"/>
        <item x="512"/>
        <item x="466"/>
        <item x="643"/>
        <item x="211"/>
        <item x="67"/>
        <item x="326"/>
        <item x="76"/>
        <item x="321"/>
        <item x="666"/>
        <item x="554"/>
        <item x="697"/>
        <item x="419"/>
        <item x="94"/>
        <item x="293"/>
        <item x="667"/>
        <item x="652"/>
        <item x="309"/>
        <item x="205"/>
        <item x="717"/>
        <item x="702"/>
        <item x="670"/>
        <item x="341"/>
        <item x="432"/>
        <item x="292"/>
        <item x="664"/>
        <item x="680"/>
        <item x="73"/>
        <item x="451"/>
        <item x="56"/>
        <item x="310"/>
        <item x="117"/>
        <item x="295"/>
        <item x="245"/>
        <item x="114"/>
        <item x="474"/>
        <item x="378"/>
        <item x="102"/>
        <item x="5"/>
        <item x="405"/>
        <item x="223"/>
        <item x="450"/>
        <item x="319"/>
        <item x="264"/>
        <item x="152"/>
        <item x="508"/>
        <item x="107"/>
        <item x="713"/>
        <item x="51"/>
        <item x="257"/>
        <item x="116"/>
        <item x="172"/>
        <item x="414"/>
        <item x="632"/>
        <item x="49"/>
        <item x="185"/>
        <item x="426"/>
        <item x="142"/>
        <item x="358"/>
        <item x="8"/>
        <item x="188"/>
        <item x="448"/>
        <item x="199"/>
        <item x="279"/>
        <item x="338"/>
        <item x="681"/>
        <item x="37"/>
        <item x="203"/>
        <item x="528"/>
        <item x="694"/>
        <item x="659"/>
        <item x="75"/>
        <item x="1"/>
        <item x="242"/>
        <item x="20"/>
        <item x="691"/>
        <item x="330"/>
        <item x="221"/>
        <item x="173"/>
        <item x="180"/>
        <item x="635"/>
        <item x="339"/>
        <item x="629"/>
        <item x="618"/>
        <item x="287"/>
        <item x="25"/>
        <item x="352"/>
        <item x="212"/>
        <item x="416"/>
        <item x="436"/>
        <item x="654"/>
        <item x="328"/>
        <item x="29"/>
        <item x="374"/>
        <item x="379"/>
        <item x="376"/>
        <item x="415"/>
        <item x="233"/>
        <item x="80"/>
        <item x="168"/>
        <item x="571"/>
        <item x="509"/>
        <item x="192"/>
        <item x="27"/>
        <item x="646"/>
        <item x="535"/>
        <item x="130"/>
        <item x="708"/>
        <item x="112"/>
        <item x="368"/>
        <item x="684"/>
        <item x="3"/>
        <item x="377"/>
        <item x="197"/>
        <item x="345"/>
        <item x="411"/>
        <item x="81"/>
        <item x="394"/>
        <item x="369"/>
        <item x="488"/>
        <item x="157"/>
        <item x="40"/>
        <item x="204"/>
        <item x="494"/>
        <item x="688"/>
        <item x="630"/>
        <item x="191"/>
        <item x="555"/>
        <item x="72"/>
        <item x="135"/>
        <item x="170"/>
        <item x="241"/>
        <item x="126"/>
        <item x="532"/>
        <item x="325"/>
        <item x="562"/>
        <item x="600"/>
        <item x="361"/>
        <item x="302"/>
        <item x="283"/>
        <item x="627"/>
        <item x="216"/>
        <item x="417"/>
        <item x="543"/>
        <item x="525"/>
        <item x="129"/>
        <item x="425"/>
        <item x="430"/>
        <item x="315"/>
        <item x="592"/>
        <item x="198"/>
        <item x="127"/>
        <item x="194"/>
        <item x="624"/>
        <item x="59"/>
        <item x="333"/>
        <item x="491"/>
        <item x="660"/>
        <item x="687"/>
        <item x="692"/>
        <item x="163"/>
        <item x="386"/>
        <item x="165"/>
        <item x="706"/>
        <item x="576"/>
        <item x="367"/>
        <item x="322"/>
        <item x="516"/>
        <item x="354"/>
        <item x="371"/>
        <item x="254"/>
        <item x="408"/>
        <item x="606"/>
        <item x="298"/>
        <item x="603"/>
        <item x="50"/>
        <item x="539"/>
        <item x="541"/>
        <item x="690"/>
        <item x="449"/>
        <item x="183"/>
        <item x="184"/>
        <item x="145"/>
        <item x="85"/>
        <item x="206"/>
        <item x="385"/>
        <item x="252"/>
        <item x="709"/>
        <item x="232"/>
        <item x="296"/>
        <item x="550"/>
        <item x="492"/>
        <item x="598"/>
        <item x="213"/>
        <item x="353"/>
        <item x="99"/>
        <item x="701"/>
        <item x="397"/>
        <item x="711"/>
        <item x="267"/>
        <item x="77"/>
        <item x="320"/>
        <item x="104"/>
        <item x="686"/>
        <item x="253"/>
        <item x="589"/>
        <item x="113"/>
        <item x="247"/>
        <item x="220"/>
        <item x="622"/>
        <item x="444"/>
        <item x="83"/>
        <item x="101"/>
        <item x="536"/>
        <item x="460"/>
        <item x="391"/>
        <item x="695"/>
        <item x="275"/>
        <item x="44"/>
        <item x="403"/>
        <item x="71"/>
        <item x="45"/>
        <item x="682"/>
        <item x="464"/>
        <item x="294"/>
        <item x="564"/>
        <item x="288"/>
        <item x="122"/>
        <item x="621"/>
        <item x="502"/>
        <item x="633"/>
        <item x="395"/>
        <item x="54"/>
        <item x="575"/>
        <item x="663"/>
        <item x="675"/>
        <item x="301"/>
        <item x="413"/>
        <item x="617"/>
        <item x="648"/>
        <item x="533"/>
        <item x="217"/>
        <item x="718"/>
        <item x="441"/>
        <item x="585"/>
        <item x="218"/>
        <item x="601"/>
        <item x="510"/>
        <item x="482"/>
        <item x="26"/>
        <item x="517"/>
        <item x="39"/>
        <item x="372"/>
        <item x="269"/>
        <item x="623"/>
        <item x="186"/>
        <item x="228"/>
        <item x="278"/>
        <item x="424"/>
        <item x="274"/>
        <item x="583"/>
        <item x="563"/>
        <item x="359"/>
        <item x="251"/>
        <item x="316"/>
        <item x="683"/>
        <item x="677"/>
        <item x="365"/>
        <item x="139"/>
        <item x="230"/>
        <item x="439"/>
        <item x="401"/>
        <item x="10"/>
        <item x="149"/>
        <item x="599"/>
        <item x="235"/>
        <item x="313"/>
        <item x="258"/>
        <item x="305"/>
        <item x="7"/>
        <item x="28"/>
        <item x="273"/>
        <item x="138"/>
        <item x="43"/>
        <item x="6"/>
        <item x="593"/>
        <item x="375"/>
        <item x="249"/>
        <item x="552"/>
        <item x="227"/>
        <item x="299"/>
        <item x="446"/>
        <item x="123"/>
        <item x="89"/>
        <item x="14"/>
        <item x="133"/>
        <item x="568"/>
        <item x="393"/>
        <item x="167"/>
        <item x="300"/>
        <item x="24"/>
        <item x="121"/>
        <item x="443"/>
        <item x="280"/>
        <item x="177"/>
        <item x="62"/>
        <item x="255"/>
        <item x="656"/>
        <item x="118"/>
        <item x="35"/>
        <item x="31"/>
        <item x="311"/>
        <item x="131"/>
        <item x="88"/>
        <item x="433"/>
        <item x="476"/>
        <item x="187"/>
        <item x="271"/>
        <item x="388"/>
        <item x="437"/>
        <item x="493"/>
        <item x="406"/>
        <item x="712"/>
        <item x="542"/>
        <item x="485"/>
        <item x="108"/>
        <item x="631"/>
        <item x="609"/>
        <item x="318"/>
        <item x="222"/>
        <item x="668"/>
        <item x="290"/>
        <item x="548"/>
        <item x="12"/>
        <item x="276"/>
        <item x="243"/>
        <item x="115"/>
        <item x="226"/>
        <item x="53"/>
        <item x="468"/>
        <item x="490"/>
        <item x="90"/>
        <item x="649"/>
        <item x="549"/>
        <item x="574"/>
        <item x="547"/>
        <item x="720"/>
        <item t="default"/>
      </items>
    </pivotField>
    <pivotField showAll="0">
      <items count="5">
        <item x="0"/>
        <item x="1"/>
        <item x="2"/>
        <item x="3"/>
        <item t="default"/>
      </items>
    </pivotField>
    <pivotField showAll="0"/>
    <pivotField axis="axisRow" showAll="0" measureFilter="1">
      <items count="837">
        <item x="589"/>
        <item x="710"/>
        <item x="323"/>
        <item x="473"/>
        <item x="726"/>
        <item x="230"/>
        <item x="15"/>
        <item x="57"/>
        <item x="475"/>
        <item x="775"/>
        <item x="434"/>
        <item x="268"/>
        <item x="261"/>
        <item x="682"/>
        <item x="802"/>
        <item x="765"/>
        <item x="582"/>
        <item x="801"/>
        <item x="215"/>
        <item x="259"/>
        <item x="37"/>
        <item x="829"/>
        <item x="251"/>
        <item x="221"/>
        <item x="352"/>
        <item x="30"/>
        <item x="476"/>
        <item x="155"/>
        <item x="825"/>
        <item x="828"/>
        <item x="181"/>
        <item x="218"/>
        <item x="625"/>
        <item x="138"/>
        <item x="233"/>
        <item x="467"/>
        <item x="131"/>
        <item x="813"/>
        <item x="435"/>
        <item x="344"/>
        <item x="768"/>
        <item x="232"/>
        <item x="764"/>
        <item x="355"/>
        <item x="9"/>
        <item x="470"/>
        <item x="740"/>
        <item x="287"/>
        <item x="109"/>
        <item x="95"/>
        <item x="466"/>
        <item x="774"/>
        <item x="264"/>
        <item x="532"/>
        <item x="543"/>
        <item x="339"/>
        <item x="12"/>
        <item x="507"/>
        <item x="659"/>
        <item x="237"/>
        <item x="207"/>
        <item x="23"/>
        <item x="821"/>
        <item x="736"/>
        <item x="43"/>
        <item x="255"/>
        <item x="593"/>
        <item x="479"/>
        <item x="477"/>
        <item x="518"/>
        <item x="818"/>
        <item x="206"/>
        <item x="830"/>
        <item x="381"/>
        <item x="116"/>
        <item x="165"/>
        <item x="349"/>
        <item x="666"/>
        <item x="563"/>
        <item x="746"/>
        <item x="669"/>
        <item x="431"/>
        <item x="317"/>
        <item x="660"/>
        <item x="86"/>
        <item x="803"/>
        <item x="404"/>
        <item x="426"/>
        <item x="384"/>
        <item x="59"/>
        <item x="534"/>
        <item x="170"/>
        <item x="178"/>
        <item x="790"/>
        <item x="292"/>
        <item x="570"/>
        <item x="654"/>
        <item x="49"/>
        <item x="718"/>
        <item x="338"/>
        <item x="742"/>
        <item x="732"/>
        <item x="319"/>
        <item x="602"/>
        <item x="560"/>
        <item x="700"/>
        <item x="741"/>
        <item x="337"/>
        <item x="239"/>
        <item x="281"/>
        <item x="707"/>
        <item x="62"/>
        <item x="382"/>
        <item x="333"/>
        <item x="574"/>
        <item x="686"/>
        <item x="107"/>
        <item x="11"/>
        <item x="711"/>
        <item x="294"/>
        <item x="108"/>
        <item x="31"/>
        <item x="517"/>
        <item x="175"/>
        <item x="454"/>
        <item x="68"/>
        <item x="387"/>
        <item x="172"/>
        <item x="588"/>
        <item x="324"/>
        <item x="389"/>
        <item x="376"/>
        <item x="635"/>
        <item x="497"/>
        <item x="812"/>
        <item x="786"/>
        <item x="810"/>
        <item x="594"/>
        <item x="7"/>
        <item x="87"/>
        <item x="122"/>
        <item x="584"/>
        <item x="88"/>
        <item x="407"/>
        <item x="222"/>
        <item x="219"/>
        <item x="392"/>
        <item x="53"/>
        <item x="163"/>
        <item x="320"/>
        <item x="439"/>
        <item x="533"/>
        <item x="139"/>
        <item x="83"/>
        <item x="596"/>
        <item x="314"/>
        <item x="41"/>
        <item x="6"/>
        <item x="513"/>
        <item x="284"/>
        <item x="809"/>
        <item x="332"/>
        <item x="564"/>
        <item x="411"/>
        <item x="798"/>
        <item x="453"/>
        <item x="495"/>
        <item x="558"/>
        <item x="248"/>
        <item x="641"/>
        <item x="52"/>
        <item x="29"/>
        <item x="665"/>
        <item x="758"/>
        <item x="167"/>
        <item x="822"/>
        <item x="378"/>
        <item x="285"/>
        <item x="767"/>
        <item x="681"/>
        <item x="289"/>
        <item x="350"/>
        <item x="60"/>
        <item x="77"/>
        <item x="2"/>
        <item x="180"/>
        <item x="351"/>
        <item x="1"/>
        <item x="151"/>
        <item x="134"/>
        <item x="199"/>
        <item x="157"/>
        <item x="368"/>
        <item x="32"/>
        <item x="256"/>
        <item x="353"/>
        <item x="590"/>
        <item x="300"/>
        <item x="334"/>
        <item x="633"/>
        <item x="174"/>
        <item x="696"/>
        <item x="97"/>
        <item x="737"/>
        <item x="240"/>
        <item x="703"/>
        <item x="118"/>
        <item x="220"/>
        <item x="739"/>
        <item x="577"/>
        <item x="427"/>
        <item x="744"/>
        <item x="370"/>
        <item x="587"/>
        <item x="301"/>
        <item x="624"/>
        <item x="606"/>
        <item x="20"/>
        <item x="657"/>
        <item x="203"/>
        <item x="528"/>
        <item x="223"/>
        <item x="723"/>
        <item x="42"/>
        <item x="98"/>
        <item x="781"/>
        <item x="75"/>
        <item x="451"/>
        <item x="197"/>
        <item x="209"/>
        <item x="731"/>
        <item x="362"/>
        <item x="13"/>
        <item x="216"/>
        <item x="322"/>
        <item x="291"/>
        <item x="698"/>
        <item x="142"/>
        <item x="465"/>
        <item x="605"/>
        <item x="330"/>
        <item x="683"/>
        <item x="363"/>
        <item x="586"/>
        <item x="150"/>
        <item x="279"/>
        <item x="436"/>
        <item x="735"/>
        <item x="458"/>
        <item x="538"/>
        <item x="714"/>
        <item x="10"/>
        <item x="100"/>
        <item x="530"/>
        <item x="652"/>
        <item x="399"/>
        <item x="135"/>
        <item x="595"/>
        <item x="276"/>
        <item x="480"/>
        <item x="408"/>
        <item x="474"/>
        <item x="293"/>
        <item x="380"/>
        <item x="537"/>
        <item x="556"/>
        <item x="680"/>
        <item x="106"/>
        <item x="759"/>
        <item x="832"/>
        <item x="147"/>
        <item x="772"/>
        <item x="360"/>
        <item x="140"/>
        <item x="44"/>
        <item x="648"/>
        <item x="275"/>
        <item x="129"/>
        <item x="642"/>
        <item x="149"/>
        <item x="504"/>
        <item x="687"/>
        <item x="689"/>
        <item x="247"/>
        <item x="623"/>
        <item x="674"/>
        <item x="716"/>
        <item x="177"/>
        <item x="365"/>
        <item x="385"/>
        <item x="799"/>
        <item x="402"/>
        <item x="578"/>
        <item x="202"/>
        <item x="410"/>
        <item x="608"/>
        <item x="792"/>
        <item x="91"/>
        <item x="603"/>
        <item x="421"/>
        <item x="819"/>
        <item x="604"/>
        <item x="85"/>
        <item x="204"/>
        <item x="658"/>
        <item x="734"/>
        <item x="729"/>
        <item x="808"/>
        <item x="128"/>
        <item x="379"/>
        <item x="663"/>
        <item x="159"/>
        <item x="22"/>
        <item x="569"/>
        <item x="478"/>
        <item x="576"/>
        <item x="308"/>
        <item x="817"/>
        <item x="335"/>
        <item x="708"/>
        <item x="429"/>
        <item x="90"/>
        <item x="784"/>
        <item x="442"/>
        <item x="571"/>
        <item x="271"/>
        <item x="695"/>
        <item x="228"/>
        <item x="745"/>
        <item x="234"/>
        <item x="693"/>
        <item x="21"/>
        <item x="342"/>
        <item x="656"/>
        <item x="523"/>
        <item x="79"/>
        <item x="728"/>
        <item x="778"/>
        <item x="397"/>
        <item x="104"/>
        <item x="388"/>
        <item x="469"/>
        <item x="712"/>
        <item x="748"/>
        <item x="27"/>
        <item x="643"/>
        <item x="484"/>
        <item x="672"/>
        <item x="152"/>
        <item x="806"/>
        <item x="226"/>
        <item x="691"/>
        <item x="112"/>
        <item x="730"/>
        <item x="715"/>
        <item x="529"/>
        <item x="425"/>
        <item x="357"/>
        <item x="73"/>
        <item x="826"/>
        <item x="34"/>
        <item x="400"/>
        <item x="273"/>
        <item x="752"/>
        <item x="341"/>
        <item x="756"/>
        <item x="415"/>
        <item x="486"/>
        <item x="373"/>
        <item x="787"/>
        <item x="144"/>
        <item x="372"/>
        <item x="554"/>
        <item x="502"/>
        <item x="460"/>
        <item x="579"/>
        <item x="776"/>
        <item x="447"/>
        <item x="278"/>
        <item x="304"/>
        <item x="110"/>
        <item x="762"/>
        <item x="527"/>
        <item x="148"/>
        <item x="33"/>
        <item x="494"/>
        <item x="121"/>
        <item x="788"/>
        <item x="600"/>
        <item x="72"/>
        <item x="210"/>
        <item x="568"/>
        <item x="263"/>
        <item x="176"/>
        <item x="286"/>
        <item x="472"/>
        <item x="612"/>
        <item x="721"/>
        <item x="565"/>
        <item x="544"/>
        <item x="96"/>
        <item x="694"/>
        <item x="28"/>
        <item x="430"/>
        <item x="805"/>
        <item x="511"/>
        <item x="797"/>
        <item x="200"/>
        <item x="414"/>
        <item x="205"/>
        <item x="536"/>
        <item x="123"/>
        <item x="463"/>
        <item x="725"/>
        <item x="699"/>
        <item x="393"/>
        <item x="169"/>
        <item x="361"/>
        <item x="626"/>
        <item x="592"/>
        <item x="679"/>
        <item x="115"/>
        <item x="685"/>
        <item x="807"/>
        <item x="103"/>
        <item x="8"/>
        <item x="468"/>
        <item x="750"/>
        <item x="670"/>
        <item x="336"/>
        <item x="706"/>
        <item x="198"/>
        <item x="677"/>
        <item x="418"/>
        <item x="539"/>
        <item x="243"/>
        <item x="277"/>
        <item x="307"/>
        <item x="567"/>
        <item x="445"/>
        <item x="763"/>
        <item x="638"/>
        <item x="194"/>
        <item x="327"/>
        <item x="814"/>
        <item x="506"/>
        <item x="19"/>
        <item x="80"/>
        <item x="684"/>
        <item x="356"/>
        <item x="789"/>
        <item x="257"/>
        <item x="188"/>
        <item x="650"/>
        <item x="722"/>
        <item x="553"/>
        <item x="773"/>
        <item x="99"/>
        <item x="4"/>
        <item x="769"/>
        <item x="347"/>
        <item x="489"/>
        <item x="520"/>
        <item x="364"/>
        <item x="509"/>
        <item x="766"/>
        <item x="615"/>
        <item x="678"/>
        <item x="667"/>
        <item x="601"/>
        <item x="65"/>
        <item x="145"/>
        <item x="35"/>
        <item x="38"/>
        <item x="438"/>
        <item x="64"/>
        <item x="804"/>
        <item x="613"/>
        <item x="184"/>
        <item x="386"/>
        <item x="780"/>
        <item x="627"/>
        <item x="620"/>
        <item x="158"/>
        <item x="377"/>
        <item x="514"/>
        <item x="760"/>
        <item x="272"/>
        <item x="14"/>
        <item x="224"/>
        <item x="244"/>
        <item x="796"/>
        <item x="66"/>
        <item x="526"/>
        <item x="815"/>
        <item x="492"/>
        <item x="800"/>
        <item x="229"/>
        <item x="309"/>
        <item x="63"/>
        <item x="348"/>
        <item x="246"/>
        <item x="305"/>
        <item x="46"/>
        <item x="749"/>
        <item x="704"/>
        <item x="619"/>
        <item x="545"/>
        <item x="510"/>
        <item x="146"/>
        <item x="390"/>
        <item x="692"/>
        <item x="242"/>
        <item x="154"/>
        <item x="456"/>
        <item x="559"/>
        <item x="84"/>
        <item x="785"/>
        <item x="269"/>
        <item x="795"/>
        <item x="359"/>
        <item x="94"/>
        <item x="754"/>
        <item x="101"/>
        <item x="125"/>
        <item x="303"/>
        <item x="632"/>
        <item x="551"/>
        <item x="597"/>
        <item x="617"/>
        <item x="92"/>
        <item x="354"/>
        <item x="195"/>
        <item x="71"/>
        <item x="182"/>
        <item x="321"/>
        <item x="720"/>
        <item x="566"/>
        <item x="541"/>
        <item x="549"/>
        <item x="614"/>
        <item x="17"/>
        <item x="573"/>
        <item x="54"/>
        <item x="747"/>
        <item x="437"/>
        <item x="552"/>
        <item x="443"/>
        <item x="383"/>
        <item x="283"/>
        <item x="631"/>
        <item x="505"/>
        <item x="290"/>
        <item x="208"/>
        <item x="717"/>
        <item x="183"/>
        <item x="326"/>
        <item x="227"/>
        <item x="491"/>
        <item x="297"/>
        <item x="81"/>
        <item x="634"/>
        <item x="444"/>
        <item x="288"/>
        <item x="156"/>
        <item x="783"/>
        <item x="249"/>
        <item x="191"/>
        <item x="124"/>
        <item x="419"/>
        <item x="664"/>
        <item x="457"/>
        <item x="265"/>
        <item x="598"/>
        <item x="522"/>
        <item x="254"/>
        <item x="236"/>
        <item x="448"/>
        <item x="794"/>
        <item x="171"/>
        <item x="820"/>
        <item x="282"/>
        <item x="498"/>
        <item x="483"/>
        <item x="312"/>
        <item x="501"/>
        <item x="580"/>
        <item x="811"/>
        <item x="433"/>
        <item x="782"/>
        <item x="446"/>
        <item x="280"/>
        <item x="610"/>
        <item x="306"/>
        <item x="462"/>
        <item x="455"/>
        <item x="791"/>
        <item x="629"/>
        <item x="713"/>
        <item x="488"/>
        <item x="82"/>
        <item x="540"/>
        <item x="343"/>
        <item x="298"/>
        <item x="644"/>
        <item x="346"/>
        <item x="622"/>
        <item x="16"/>
        <item x="166"/>
        <item x="777"/>
        <item x="5"/>
        <item x="40"/>
        <item x="653"/>
        <item x="581"/>
        <item x="315"/>
        <item x="318"/>
        <item x="738"/>
        <item x="316"/>
        <item x="671"/>
        <item x="117"/>
        <item x="375"/>
        <item x="137"/>
        <item x="295"/>
        <item x="503"/>
        <item x="69"/>
        <item x="111"/>
        <item x="55"/>
        <item x="743"/>
        <item x="217"/>
        <item x="521"/>
        <item x="313"/>
        <item x="531"/>
        <item x="61"/>
        <item x="557"/>
        <item x="676"/>
        <item x="406"/>
        <item x="394"/>
        <item x="133"/>
        <item x="724"/>
        <item x="161"/>
        <item x="93"/>
        <item x="524"/>
        <item x="424"/>
        <item x="525"/>
        <item x="770"/>
        <item x="572"/>
        <item x="369"/>
        <item x="50"/>
        <item x="771"/>
        <item x="599"/>
        <item x="827"/>
        <item x="547"/>
        <item x="482"/>
        <item x="45"/>
        <item x="398"/>
        <item x="412"/>
        <item x="136"/>
        <item x="213"/>
        <item x="645"/>
        <item x="555"/>
        <item x="153"/>
        <item x="779"/>
        <item x="130"/>
        <item x="250"/>
        <item x="260"/>
        <item x="651"/>
        <item x="636"/>
        <item x="515"/>
        <item x="834"/>
        <item x="173"/>
        <item x="47"/>
        <item x="583"/>
        <item x="143"/>
        <item x="358"/>
        <item x="688"/>
        <item x="833"/>
        <item x="160"/>
        <item x="120"/>
        <item x="535"/>
        <item x="374"/>
        <item x="420"/>
        <item x="422"/>
        <item x="76"/>
        <item x="432"/>
        <item x="709"/>
        <item x="546"/>
        <item x="391"/>
        <item x="519"/>
        <item x="74"/>
        <item x="401"/>
        <item x="705"/>
        <item x="459"/>
        <item x="296"/>
        <item x="542"/>
        <item x="396"/>
        <item x="274"/>
        <item x="270"/>
        <item x="493"/>
        <item x="371"/>
        <item x="719"/>
        <item x="471"/>
        <item x="345"/>
        <item x="196"/>
        <item x="461"/>
        <item x="637"/>
        <item x="655"/>
        <item x="661"/>
        <item x="395"/>
        <item x="450"/>
        <item x="831"/>
        <item x="649"/>
        <item x="127"/>
        <item x="793"/>
        <item x="561"/>
        <item x="701"/>
        <item x="428"/>
        <item x="630"/>
        <item x="58"/>
        <item x="302"/>
        <item x="132"/>
        <item x="67"/>
        <item x="39"/>
        <item x="331"/>
        <item x="325"/>
        <item x="413"/>
        <item x="417"/>
        <item x="267"/>
        <item x="440"/>
        <item x="189"/>
        <item x="403"/>
        <item x="753"/>
        <item x="225"/>
        <item x="452"/>
        <item x="18"/>
        <item x="639"/>
        <item x="616"/>
        <item x="496"/>
        <item x="607"/>
        <item x="231"/>
        <item x="662"/>
        <item x="310"/>
        <item x="591"/>
        <item x="329"/>
        <item x="262"/>
        <item x="211"/>
        <item x="449"/>
        <item x="252"/>
        <item x="235"/>
        <item x="214"/>
        <item x="464"/>
        <item x="162"/>
        <item x="238"/>
        <item x="192"/>
        <item x="757"/>
        <item x="668"/>
        <item x="311"/>
        <item x="340"/>
        <item x="3"/>
        <item x="56"/>
        <item x="89"/>
        <item x="618"/>
        <item x="628"/>
        <item x="70"/>
        <item x="508"/>
        <item x="727"/>
        <item x="114"/>
        <item x="187"/>
        <item x="185"/>
        <item x="405"/>
        <item x="485"/>
        <item x="751"/>
        <item x="212"/>
        <item x="366"/>
        <item x="673"/>
        <item x="697"/>
        <item x="258"/>
        <item x="0"/>
        <item x="24"/>
        <item x="416"/>
        <item x="102"/>
        <item x="328"/>
        <item x="675"/>
        <item x="490"/>
        <item x="245"/>
        <item x="499"/>
        <item x="179"/>
        <item x="702"/>
        <item x="119"/>
        <item x="48"/>
        <item x="26"/>
        <item x="201"/>
        <item x="25"/>
        <item x="126"/>
        <item x="481"/>
        <item x="113"/>
        <item x="141"/>
        <item x="609"/>
        <item x="423"/>
        <item x="253"/>
        <item x="105"/>
        <item x="186"/>
        <item x="823"/>
        <item x="621"/>
        <item x="487"/>
        <item x="168"/>
        <item x="500"/>
        <item x="266"/>
        <item x="78"/>
        <item x="562"/>
        <item x="611"/>
        <item x="646"/>
        <item x="190"/>
        <item x="575"/>
        <item x="51"/>
        <item x="550"/>
        <item x="585"/>
        <item x="755"/>
        <item x="36"/>
        <item x="647"/>
        <item x="299"/>
        <item x="516"/>
        <item x="548"/>
        <item x="367"/>
        <item x="816"/>
        <item x="761"/>
        <item x="441"/>
        <item x="733"/>
        <item x="193"/>
        <item x="512"/>
        <item x="164"/>
        <item x="640"/>
        <item x="690"/>
        <item x="409"/>
        <item x="824"/>
        <item x="241"/>
        <item x="835"/>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11">
    <i>
      <x v="8"/>
    </i>
    <i>
      <x v="10"/>
    </i>
    <i>
      <x v="57"/>
    </i>
    <i>
      <x v="471"/>
    </i>
    <i>
      <x v="477"/>
    </i>
    <i>
      <x v="621"/>
    </i>
    <i>
      <x v="632"/>
    </i>
    <i>
      <x v="639"/>
    </i>
    <i>
      <x v="657"/>
    </i>
    <i>
      <x v="670"/>
    </i>
    <i t="grand">
      <x/>
    </i>
  </rowItems>
  <colItems count="1">
    <i/>
  </colItems>
  <dataFields count="1">
    <dataField name="Sum of Sales" fld="17" baseField="0" baseItem="0"/>
  </dataFields>
  <chartFormats count="3">
    <chartFormat chart="15" format="5"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86FF7-9F86-409E-A000-3DB29A62ED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9:L10" firstHeaderRow="1" firstDataRow="1" firstDataCol="0"/>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83745-3786-4729-8CEB-0F3E1F49D1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axis="axisRow" showAll="0">
      <items count="5">
        <item x="0"/>
        <item x="1"/>
        <item x="2"/>
        <item x="3"/>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5">
    <i>
      <x/>
    </i>
    <i>
      <x v="1"/>
    </i>
    <i>
      <x v="2"/>
    </i>
    <i>
      <x v="3"/>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57457D-7C64-4098-B513-C2B756D1A3F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L17:L18" firstHeaderRow="1" firstDataRow="1" firstDataCol="0"/>
  <pivotFields count="24">
    <pivotField showAll="0"/>
    <pivotField dataField="1" showAll="0">
      <items count="1502">
        <item x="0"/>
        <item x="2"/>
        <item x="3"/>
        <item x="4"/>
        <item x="6"/>
        <item x="8"/>
        <item x="10"/>
        <item x="11"/>
        <item x="13"/>
        <item x="15"/>
        <item x="17"/>
        <item x="19"/>
        <item x="20"/>
        <item x="24"/>
        <item x="25"/>
        <item x="26"/>
        <item x="28"/>
        <item x="29"/>
        <item x="30"/>
        <item x="33"/>
        <item x="38"/>
        <item x="42"/>
        <item x="44"/>
        <item x="47"/>
        <item x="48"/>
        <item x="49"/>
        <item x="52"/>
        <item x="53"/>
        <item x="54"/>
        <item x="55"/>
        <item x="57"/>
        <item x="58"/>
        <item x="63"/>
        <item x="64"/>
        <item x="65"/>
        <item x="68"/>
        <item x="71"/>
        <item x="77"/>
        <item x="78"/>
        <item x="79"/>
        <item x="80"/>
        <item x="84"/>
        <item x="86"/>
        <item x="89"/>
        <item x="90"/>
        <item x="91"/>
        <item x="92"/>
        <item x="95"/>
        <item x="96"/>
        <item x="97"/>
        <item x="98"/>
        <item x="100"/>
        <item x="101"/>
        <item x="104"/>
        <item x="105"/>
        <item x="111"/>
        <item x="114"/>
        <item x="115"/>
        <item x="116"/>
        <item x="117"/>
        <item x="118"/>
        <item x="119"/>
        <item x="120"/>
        <item x="125"/>
        <item x="132"/>
        <item x="133"/>
        <item x="137"/>
        <item x="138"/>
        <item x="143"/>
        <item x="145"/>
        <item x="148"/>
        <item x="150"/>
        <item x="152"/>
        <item x="154"/>
        <item x="156"/>
        <item x="157"/>
        <item x="163"/>
        <item x="166"/>
        <item x="167"/>
        <item x="170"/>
        <item x="172"/>
        <item x="173"/>
        <item x="174"/>
        <item x="177"/>
        <item x="180"/>
        <item x="181"/>
        <item x="186"/>
        <item x="188"/>
        <item x="189"/>
        <item x="196"/>
        <item x="198"/>
        <item x="202"/>
        <item x="206"/>
        <item x="209"/>
        <item x="211"/>
        <item x="212"/>
        <item x="214"/>
        <item x="216"/>
        <item x="220"/>
        <item x="221"/>
        <item x="227"/>
        <item x="229"/>
        <item x="230"/>
        <item x="231"/>
        <item x="233"/>
        <item x="234"/>
        <item x="236"/>
        <item x="238"/>
        <item x="240"/>
        <item x="241"/>
        <item x="242"/>
        <item x="243"/>
        <item x="245"/>
        <item x="248"/>
        <item x="250"/>
        <item x="251"/>
        <item x="256"/>
        <item x="259"/>
        <item x="261"/>
        <item x="263"/>
        <item x="264"/>
        <item x="265"/>
        <item x="268"/>
        <item x="269"/>
        <item x="270"/>
        <item x="273"/>
        <item x="274"/>
        <item x="275"/>
        <item x="276"/>
        <item x="277"/>
        <item x="279"/>
        <item x="280"/>
        <item x="282"/>
        <item x="283"/>
        <item x="284"/>
        <item x="291"/>
        <item x="292"/>
        <item x="293"/>
        <item x="294"/>
        <item x="297"/>
        <item x="298"/>
        <item x="299"/>
        <item x="301"/>
        <item x="304"/>
        <item x="307"/>
        <item x="310"/>
        <item x="311"/>
        <item x="314"/>
        <item x="319"/>
        <item x="321"/>
        <item x="322"/>
        <item x="323"/>
        <item x="326"/>
        <item x="327"/>
        <item x="328"/>
        <item x="329"/>
        <item x="331"/>
        <item x="337"/>
        <item x="338"/>
        <item x="340"/>
        <item x="341"/>
        <item x="342"/>
        <item x="343"/>
        <item x="345"/>
        <item x="348"/>
        <item x="349"/>
        <item x="350"/>
        <item x="351"/>
        <item x="353"/>
        <item x="354"/>
        <item x="356"/>
        <item x="358"/>
        <item x="359"/>
        <item x="360"/>
        <item x="361"/>
        <item x="362"/>
        <item x="363"/>
        <item x="364"/>
        <item x="365"/>
        <item x="368"/>
        <item x="371"/>
        <item x="374"/>
        <item x="377"/>
        <item x="379"/>
        <item x="380"/>
        <item x="381"/>
        <item x="388"/>
        <item x="390"/>
        <item x="391"/>
        <item x="396"/>
        <item x="397"/>
        <item x="398"/>
        <item x="400"/>
        <item x="404"/>
        <item x="405"/>
        <item x="406"/>
        <item x="407"/>
        <item x="409"/>
        <item x="410"/>
        <item x="413"/>
        <item x="416"/>
        <item x="417"/>
        <item x="420"/>
        <item x="421"/>
        <item x="422"/>
        <item x="423"/>
        <item x="424"/>
        <item x="426"/>
        <item x="429"/>
        <item x="433"/>
        <item x="435"/>
        <item x="436"/>
        <item x="438"/>
        <item x="439"/>
        <item x="442"/>
        <item x="445"/>
        <item x="447"/>
        <item x="451"/>
        <item x="452"/>
        <item x="453"/>
        <item x="457"/>
        <item x="458"/>
        <item x="459"/>
        <item x="462"/>
        <item x="464"/>
        <item x="465"/>
        <item x="466"/>
        <item x="467"/>
        <item x="468"/>
        <item x="470"/>
        <item x="471"/>
        <item x="474"/>
        <item x="477"/>
        <item x="478"/>
        <item x="479"/>
        <item x="480"/>
        <item x="482"/>
        <item x="483"/>
        <item x="484"/>
        <item x="488"/>
        <item x="490"/>
        <item x="491"/>
        <item x="492"/>
        <item x="494"/>
        <item x="504"/>
        <item x="507"/>
        <item x="508"/>
        <item x="510"/>
        <item x="512"/>
        <item x="514"/>
        <item x="515"/>
        <item x="517"/>
        <item x="519"/>
        <item x="523"/>
        <item x="525"/>
        <item x="529"/>
        <item x="534"/>
        <item x="538"/>
        <item x="540"/>
        <item x="542"/>
        <item x="545"/>
        <item x="546"/>
        <item x="550"/>
        <item x="551"/>
        <item x="552"/>
        <item x="553"/>
        <item x="556"/>
        <item x="559"/>
        <item x="560"/>
        <item x="564"/>
        <item x="565"/>
        <item x="566"/>
        <item x="573"/>
        <item x="574"/>
        <item x="575"/>
        <item x="577"/>
        <item x="581"/>
        <item x="582"/>
        <item x="584"/>
        <item x="585"/>
        <item x="587"/>
        <item x="588"/>
        <item x="590"/>
        <item x="592"/>
        <item x="593"/>
        <item x="594"/>
        <item x="595"/>
        <item x="598"/>
        <item x="599"/>
        <item x="601"/>
        <item x="602"/>
        <item x="604"/>
        <item x="606"/>
        <item x="607"/>
        <item x="610"/>
        <item x="612"/>
        <item x="613"/>
        <item x="615"/>
        <item x="618"/>
        <item x="619"/>
        <item x="623"/>
        <item x="624"/>
        <item x="625"/>
        <item x="626"/>
        <item x="627"/>
        <item x="628"/>
        <item x="631"/>
        <item x="632"/>
        <item x="633"/>
        <item x="636"/>
        <item x="637"/>
        <item x="639"/>
        <item x="641"/>
        <item x="643"/>
        <item x="647"/>
        <item x="648"/>
        <item x="650"/>
        <item x="651"/>
        <item x="653"/>
        <item x="657"/>
        <item x="658"/>
        <item x="659"/>
        <item x="663"/>
        <item x="664"/>
        <item x="665"/>
        <item x="666"/>
        <item x="667"/>
        <item x="668"/>
        <item x="670"/>
        <item x="675"/>
        <item x="676"/>
        <item x="677"/>
        <item x="679"/>
        <item x="684"/>
        <item x="687"/>
        <item x="688"/>
        <item x="689"/>
        <item x="693"/>
        <item x="694"/>
        <item x="695"/>
        <item x="697"/>
        <item x="700"/>
        <item x="701"/>
        <item x="703"/>
        <item x="706"/>
        <item x="707"/>
        <item x="712"/>
        <item x="715"/>
        <item x="718"/>
        <item x="719"/>
        <item x="720"/>
        <item x="721"/>
        <item x="722"/>
        <item x="724"/>
        <item x="725"/>
        <item x="726"/>
        <item x="727"/>
        <item x="728"/>
        <item x="729"/>
        <item x="730"/>
        <item x="731"/>
        <item x="735"/>
        <item x="736"/>
        <item x="745"/>
        <item x="750"/>
        <item x="751"/>
        <item x="752"/>
        <item x="753"/>
        <item x="755"/>
        <item x="756"/>
        <item x="762"/>
        <item x="763"/>
        <item x="764"/>
        <item x="765"/>
        <item x="767"/>
        <item x="768"/>
        <item x="771"/>
        <item x="772"/>
        <item x="773"/>
        <item x="774"/>
        <item x="775"/>
        <item x="779"/>
        <item x="780"/>
        <item x="781"/>
        <item x="783"/>
        <item x="785"/>
        <item x="788"/>
        <item x="789"/>
        <item x="790"/>
        <item x="793"/>
        <item x="794"/>
        <item x="795"/>
        <item x="797"/>
        <item x="799"/>
        <item x="801"/>
        <item x="802"/>
        <item x="803"/>
        <item x="804"/>
        <item x="806"/>
        <item x="808"/>
        <item x="810"/>
        <item x="812"/>
        <item x="813"/>
        <item x="814"/>
        <item x="815"/>
        <item x="817"/>
        <item x="818"/>
        <item x="821"/>
        <item x="823"/>
        <item x="824"/>
        <item x="825"/>
        <item x="827"/>
        <item x="829"/>
        <item x="831"/>
        <item x="833"/>
        <item x="841"/>
        <item x="843"/>
        <item x="844"/>
        <item x="846"/>
        <item x="848"/>
        <item x="849"/>
        <item x="850"/>
        <item x="851"/>
        <item x="852"/>
        <item x="853"/>
        <item x="854"/>
        <item x="855"/>
        <item x="856"/>
        <item x="857"/>
        <item x="859"/>
        <item x="860"/>
        <item x="861"/>
        <item x="862"/>
        <item x="864"/>
        <item x="867"/>
        <item x="869"/>
        <item x="873"/>
        <item x="874"/>
        <item x="875"/>
        <item x="877"/>
        <item x="881"/>
        <item x="882"/>
        <item x="883"/>
        <item x="885"/>
        <item x="887"/>
        <item x="889"/>
        <item x="890"/>
        <item x="893"/>
        <item x="895"/>
        <item x="896"/>
        <item x="897"/>
        <item x="898"/>
        <item x="900"/>
        <item x="902"/>
        <item x="904"/>
        <item x="905"/>
        <item x="908"/>
        <item x="909"/>
        <item x="910"/>
        <item x="911"/>
        <item x="912"/>
        <item x="913"/>
        <item x="914"/>
        <item x="916"/>
        <item x="925"/>
        <item x="926"/>
        <item x="928"/>
        <item x="930"/>
        <item x="933"/>
        <item x="939"/>
        <item x="941"/>
        <item x="944"/>
        <item x="945"/>
        <item x="947"/>
        <item x="948"/>
        <item x="950"/>
        <item x="951"/>
        <item x="952"/>
        <item x="954"/>
        <item x="955"/>
        <item x="957"/>
        <item x="962"/>
        <item x="965"/>
        <item x="967"/>
        <item x="968"/>
        <item x="970"/>
        <item x="972"/>
        <item x="974"/>
        <item x="976"/>
        <item x="977"/>
        <item x="979"/>
        <item x="980"/>
        <item x="982"/>
        <item x="984"/>
        <item x="986"/>
        <item x="989"/>
        <item x="990"/>
        <item x="992"/>
        <item x="993"/>
        <item x="994"/>
        <item x="997"/>
        <item x="998"/>
        <item x="1000"/>
        <item x="1004"/>
        <item x="1006"/>
        <item x="1007"/>
        <item x="1008"/>
        <item x="1011"/>
        <item x="1015"/>
        <item x="1016"/>
        <item x="1018"/>
        <item x="1019"/>
        <item x="1020"/>
        <item x="1021"/>
        <item x="1023"/>
        <item x="1024"/>
        <item x="1026"/>
        <item x="1029"/>
        <item x="1031"/>
        <item x="1032"/>
        <item x="1034"/>
        <item x="1035"/>
        <item x="1041"/>
        <item x="1043"/>
        <item x="1045"/>
        <item x="1046"/>
        <item x="1049"/>
        <item x="1050"/>
        <item x="1051"/>
        <item x="1055"/>
        <item x="1059"/>
        <item x="1062"/>
        <item x="1064"/>
        <item x="1066"/>
        <item x="1069"/>
        <item x="1071"/>
        <item x="1072"/>
        <item x="1073"/>
        <item x="1078"/>
        <item x="1079"/>
        <item x="1080"/>
        <item x="1081"/>
        <item x="1083"/>
        <item x="1084"/>
        <item x="1086"/>
        <item x="1087"/>
        <item x="1088"/>
        <item x="1089"/>
        <item x="1091"/>
        <item x="1093"/>
        <item x="1095"/>
        <item x="1096"/>
        <item x="1097"/>
        <item x="1099"/>
        <item x="1100"/>
        <item x="1102"/>
        <item x="1104"/>
        <item x="1105"/>
        <item x="1106"/>
        <item x="1107"/>
        <item x="1109"/>
        <item x="1110"/>
        <item x="1112"/>
        <item x="1117"/>
        <item x="1118"/>
        <item x="1119"/>
        <item x="1120"/>
        <item x="1121"/>
        <item x="1124"/>
        <item x="1125"/>
        <item x="1127"/>
        <item x="1128"/>
        <item x="1133"/>
        <item x="1136"/>
        <item x="1137"/>
        <item x="1142"/>
        <item x="1143"/>
        <item x="1144"/>
        <item x="1146"/>
        <item x="1147"/>
        <item x="1150"/>
        <item x="1153"/>
        <item x="1155"/>
        <item x="1158"/>
        <item x="1161"/>
        <item x="1162"/>
        <item x="1164"/>
        <item x="1165"/>
        <item x="1168"/>
        <item x="1169"/>
        <item x="1170"/>
        <item x="1171"/>
        <item x="1174"/>
        <item x="1176"/>
        <item x="1177"/>
        <item x="1178"/>
        <item x="1180"/>
        <item x="1182"/>
        <item x="1184"/>
        <item x="1186"/>
        <item x="1188"/>
        <item x="1189"/>
        <item x="1190"/>
        <item x="1193"/>
        <item x="1194"/>
        <item x="1196"/>
        <item x="1197"/>
        <item x="1200"/>
        <item x="1201"/>
        <item x="1203"/>
        <item x="1204"/>
        <item x="1207"/>
        <item x="1208"/>
        <item x="1210"/>
        <item x="1211"/>
        <item x="1212"/>
        <item x="1215"/>
        <item x="1216"/>
        <item x="1219"/>
        <item x="1221"/>
        <item x="1222"/>
        <item x="1224"/>
        <item x="1226"/>
        <item x="1227"/>
        <item x="1228"/>
        <item x="1230"/>
        <item x="1231"/>
        <item x="1232"/>
        <item x="1233"/>
        <item x="1235"/>
        <item x="1238"/>
        <item x="1240"/>
        <item x="1241"/>
        <item x="1242"/>
        <item x="1243"/>
        <item x="1244"/>
        <item x="1248"/>
        <item x="1249"/>
        <item x="1251"/>
        <item x="1252"/>
        <item x="1254"/>
        <item x="1255"/>
        <item x="1256"/>
        <item x="1260"/>
        <item x="1262"/>
        <item x="1269"/>
        <item x="1272"/>
        <item x="1273"/>
        <item x="1274"/>
        <item x="1275"/>
        <item x="1278"/>
        <item x="1279"/>
        <item x="1282"/>
        <item x="1284"/>
        <item x="1286"/>
        <item x="1288"/>
        <item x="1289"/>
        <item x="1293"/>
        <item x="1294"/>
        <item x="1295"/>
        <item x="1296"/>
        <item x="1297"/>
        <item x="1298"/>
        <item x="1300"/>
        <item x="1303"/>
        <item x="1304"/>
        <item x="1307"/>
        <item x="1308"/>
        <item x="1309"/>
        <item x="1310"/>
        <item x="1311"/>
        <item x="1312"/>
        <item x="1313"/>
        <item x="1314"/>
        <item x="1316"/>
        <item x="1321"/>
        <item x="1322"/>
        <item x="1323"/>
        <item x="1326"/>
        <item x="1328"/>
        <item x="1337"/>
        <item x="1338"/>
        <item x="1341"/>
        <item x="1343"/>
        <item x="1344"/>
        <item x="1345"/>
        <item x="1346"/>
        <item x="1349"/>
        <item x="1350"/>
        <item x="1351"/>
        <item x="1352"/>
        <item x="1353"/>
        <item x="1354"/>
        <item x="1358"/>
        <item x="1359"/>
        <item x="1360"/>
        <item x="1362"/>
        <item x="1364"/>
        <item x="1367"/>
        <item x="1369"/>
        <item x="1370"/>
        <item x="1373"/>
        <item x="1375"/>
        <item x="1376"/>
        <item x="1378"/>
        <item x="1379"/>
        <item x="1381"/>
        <item x="1382"/>
        <item x="1383"/>
        <item x="1384"/>
        <item x="1386"/>
        <item x="1387"/>
        <item x="1388"/>
        <item x="1391"/>
        <item x="1393"/>
        <item x="1395"/>
        <item x="1396"/>
        <item x="1397"/>
        <item x="1400"/>
        <item x="1401"/>
        <item x="1403"/>
        <item x="1404"/>
        <item x="1406"/>
        <item x="1411"/>
        <item x="1414"/>
        <item x="1415"/>
        <item x="1420"/>
        <item x="1421"/>
        <item x="1422"/>
        <item x="1425"/>
        <item x="1426"/>
        <item x="1428"/>
        <item x="1431"/>
        <item x="1437"/>
        <item x="1443"/>
        <item x="1445"/>
        <item x="1446"/>
        <item x="1448"/>
        <item x="1449"/>
        <item x="1450"/>
        <item x="1451"/>
        <item x="1452"/>
        <item x="1453"/>
        <item x="1454"/>
        <item x="1458"/>
        <item x="1461"/>
        <item x="1462"/>
        <item x="1465"/>
        <item x="1467"/>
        <item x="1468"/>
        <item x="1471"/>
        <item x="1472"/>
        <item x="1473"/>
        <item x="1476"/>
        <item x="1477"/>
        <item x="1479"/>
        <item x="1480"/>
        <item x="1482"/>
        <item x="1484"/>
        <item x="1486"/>
        <item x="1487"/>
        <item x="1488"/>
        <item x="1492"/>
        <item x="1494"/>
        <item x="1497"/>
        <item x="1498"/>
        <item x="1499"/>
        <item x="1"/>
        <item x="5"/>
        <item x="7"/>
        <item x="9"/>
        <item x="12"/>
        <item x="14"/>
        <item x="16"/>
        <item x="18"/>
        <item x="21"/>
        <item x="22"/>
        <item x="23"/>
        <item x="27"/>
        <item x="31"/>
        <item x="32"/>
        <item x="34"/>
        <item x="35"/>
        <item x="36"/>
        <item x="37"/>
        <item x="39"/>
        <item x="40"/>
        <item x="41"/>
        <item x="43"/>
        <item x="45"/>
        <item x="46"/>
        <item x="50"/>
        <item x="51"/>
        <item x="56"/>
        <item x="59"/>
        <item x="60"/>
        <item x="61"/>
        <item x="62"/>
        <item x="66"/>
        <item x="67"/>
        <item x="69"/>
        <item x="70"/>
        <item x="72"/>
        <item x="73"/>
        <item x="74"/>
        <item x="75"/>
        <item x="76"/>
        <item x="81"/>
        <item x="82"/>
        <item x="83"/>
        <item x="85"/>
        <item x="87"/>
        <item x="88"/>
        <item x="93"/>
        <item x="94"/>
        <item x="99"/>
        <item x="102"/>
        <item x="103"/>
        <item x="106"/>
        <item x="107"/>
        <item x="108"/>
        <item x="109"/>
        <item x="110"/>
        <item x="112"/>
        <item x="113"/>
        <item x="121"/>
        <item x="122"/>
        <item x="123"/>
        <item x="124"/>
        <item x="126"/>
        <item x="127"/>
        <item x="128"/>
        <item x="129"/>
        <item x="130"/>
        <item x="131"/>
        <item x="134"/>
        <item x="135"/>
        <item x="136"/>
        <item x="139"/>
        <item x="140"/>
        <item x="141"/>
        <item x="142"/>
        <item x="144"/>
        <item x="146"/>
        <item x="147"/>
        <item x="149"/>
        <item x="151"/>
        <item x="153"/>
        <item x="155"/>
        <item x="158"/>
        <item x="159"/>
        <item x="160"/>
        <item x="161"/>
        <item x="162"/>
        <item x="164"/>
        <item x="165"/>
        <item x="168"/>
        <item x="169"/>
        <item x="171"/>
        <item x="175"/>
        <item x="176"/>
        <item x="178"/>
        <item x="179"/>
        <item x="182"/>
        <item x="183"/>
        <item x="184"/>
        <item x="185"/>
        <item x="187"/>
        <item x="190"/>
        <item x="191"/>
        <item x="192"/>
        <item x="193"/>
        <item x="194"/>
        <item x="195"/>
        <item x="197"/>
        <item x="199"/>
        <item x="200"/>
        <item x="201"/>
        <item x="203"/>
        <item x="204"/>
        <item x="205"/>
        <item x="207"/>
        <item x="208"/>
        <item x="210"/>
        <item x="213"/>
        <item x="215"/>
        <item x="217"/>
        <item x="218"/>
        <item x="219"/>
        <item x="222"/>
        <item x="223"/>
        <item x="224"/>
        <item x="225"/>
        <item x="226"/>
        <item x="228"/>
        <item x="232"/>
        <item x="235"/>
        <item x="237"/>
        <item x="239"/>
        <item x="244"/>
        <item x="246"/>
        <item x="247"/>
        <item x="249"/>
        <item x="252"/>
        <item x="253"/>
        <item x="254"/>
        <item x="255"/>
        <item x="257"/>
        <item x="258"/>
        <item x="260"/>
        <item x="262"/>
        <item x="266"/>
        <item x="267"/>
        <item x="271"/>
        <item x="272"/>
        <item x="278"/>
        <item x="281"/>
        <item x="285"/>
        <item x="286"/>
        <item x="287"/>
        <item x="288"/>
        <item x="289"/>
        <item x="290"/>
        <item x="295"/>
        <item x="296"/>
        <item x="300"/>
        <item x="302"/>
        <item x="303"/>
        <item x="305"/>
        <item x="306"/>
        <item x="308"/>
        <item x="309"/>
        <item x="312"/>
        <item x="313"/>
        <item x="315"/>
        <item x="316"/>
        <item x="317"/>
        <item x="318"/>
        <item x="320"/>
        <item x="324"/>
        <item x="325"/>
        <item x="330"/>
        <item x="332"/>
        <item x="333"/>
        <item x="334"/>
        <item x="335"/>
        <item x="336"/>
        <item x="339"/>
        <item x="344"/>
        <item x="346"/>
        <item x="347"/>
        <item x="352"/>
        <item x="355"/>
        <item x="357"/>
        <item x="366"/>
        <item x="367"/>
        <item x="369"/>
        <item x="370"/>
        <item x="372"/>
        <item x="373"/>
        <item x="375"/>
        <item x="376"/>
        <item x="378"/>
        <item x="382"/>
        <item x="383"/>
        <item x="384"/>
        <item x="385"/>
        <item x="386"/>
        <item x="387"/>
        <item x="389"/>
        <item x="392"/>
        <item x="393"/>
        <item x="394"/>
        <item x="395"/>
        <item x="399"/>
        <item x="401"/>
        <item x="402"/>
        <item x="403"/>
        <item x="408"/>
        <item x="411"/>
        <item x="412"/>
        <item x="414"/>
        <item x="415"/>
        <item x="418"/>
        <item x="419"/>
        <item x="425"/>
        <item x="427"/>
        <item x="428"/>
        <item x="430"/>
        <item x="431"/>
        <item x="432"/>
        <item x="434"/>
        <item x="437"/>
        <item x="440"/>
        <item x="441"/>
        <item x="443"/>
        <item x="444"/>
        <item x="446"/>
        <item x="448"/>
        <item x="449"/>
        <item x="450"/>
        <item x="454"/>
        <item x="455"/>
        <item x="456"/>
        <item x="460"/>
        <item x="461"/>
        <item x="463"/>
        <item x="469"/>
        <item x="472"/>
        <item x="473"/>
        <item x="475"/>
        <item x="476"/>
        <item x="481"/>
        <item x="485"/>
        <item x="486"/>
        <item x="487"/>
        <item x="489"/>
        <item x="493"/>
        <item x="495"/>
        <item x="496"/>
        <item x="497"/>
        <item x="498"/>
        <item x="499"/>
        <item x="500"/>
        <item x="501"/>
        <item x="502"/>
        <item x="503"/>
        <item x="505"/>
        <item x="506"/>
        <item x="509"/>
        <item x="511"/>
        <item x="513"/>
        <item x="516"/>
        <item x="518"/>
        <item x="520"/>
        <item x="521"/>
        <item x="522"/>
        <item x="524"/>
        <item x="526"/>
        <item x="527"/>
        <item x="528"/>
        <item x="530"/>
        <item x="531"/>
        <item x="532"/>
        <item x="533"/>
        <item x="535"/>
        <item x="536"/>
        <item x="537"/>
        <item x="539"/>
        <item x="541"/>
        <item x="543"/>
        <item x="544"/>
        <item x="547"/>
        <item x="548"/>
        <item x="549"/>
        <item x="554"/>
        <item x="555"/>
        <item x="557"/>
        <item x="558"/>
        <item x="561"/>
        <item x="562"/>
        <item x="563"/>
        <item x="567"/>
        <item x="568"/>
        <item x="569"/>
        <item x="570"/>
        <item x="571"/>
        <item x="572"/>
        <item x="576"/>
        <item x="578"/>
        <item x="579"/>
        <item x="580"/>
        <item x="583"/>
        <item x="586"/>
        <item x="589"/>
        <item x="591"/>
        <item x="596"/>
        <item x="597"/>
        <item x="600"/>
        <item x="603"/>
        <item x="605"/>
        <item x="608"/>
        <item x="609"/>
        <item x="611"/>
        <item x="614"/>
        <item x="616"/>
        <item x="617"/>
        <item x="620"/>
        <item x="621"/>
        <item x="622"/>
        <item x="629"/>
        <item x="630"/>
        <item x="634"/>
        <item x="635"/>
        <item x="638"/>
        <item x="640"/>
        <item x="642"/>
        <item x="644"/>
        <item x="645"/>
        <item x="646"/>
        <item x="649"/>
        <item x="652"/>
        <item x="654"/>
        <item x="655"/>
        <item x="656"/>
        <item x="660"/>
        <item x="661"/>
        <item x="662"/>
        <item x="669"/>
        <item x="671"/>
        <item x="672"/>
        <item x="673"/>
        <item x="674"/>
        <item x="678"/>
        <item x="680"/>
        <item x="681"/>
        <item x="682"/>
        <item x="683"/>
        <item x="685"/>
        <item x="686"/>
        <item x="690"/>
        <item x="691"/>
        <item x="692"/>
        <item x="696"/>
        <item x="698"/>
        <item x="699"/>
        <item x="702"/>
        <item x="704"/>
        <item x="705"/>
        <item x="708"/>
        <item x="709"/>
        <item x="710"/>
        <item x="711"/>
        <item x="713"/>
        <item x="714"/>
        <item x="716"/>
        <item x="717"/>
        <item x="723"/>
        <item x="732"/>
        <item x="733"/>
        <item x="734"/>
        <item x="737"/>
        <item x="738"/>
        <item x="739"/>
        <item x="740"/>
        <item x="741"/>
        <item x="742"/>
        <item x="743"/>
        <item x="744"/>
        <item x="746"/>
        <item x="747"/>
        <item x="748"/>
        <item x="749"/>
        <item x="754"/>
        <item x="757"/>
        <item x="758"/>
        <item x="759"/>
        <item x="760"/>
        <item x="761"/>
        <item x="766"/>
        <item x="769"/>
        <item x="770"/>
        <item x="776"/>
        <item x="777"/>
        <item x="778"/>
        <item x="782"/>
        <item x="784"/>
        <item x="786"/>
        <item x="787"/>
        <item x="791"/>
        <item x="792"/>
        <item x="796"/>
        <item x="798"/>
        <item x="800"/>
        <item x="805"/>
        <item x="807"/>
        <item x="809"/>
        <item x="811"/>
        <item x="816"/>
        <item x="819"/>
        <item x="820"/>
        <item x="822"/>
        <item x="826"/>
        <item x="828"/>
        <item x="830"/>
        <item x="832"/>
        <item x="834"/>
        <item x="835"/>
        <item x="836"/>
        <item x="837"/>
        <item x="838"/>
        <item x="839"/>
        <item x="840"/>
        <item x="842"/>
        <item x="845"/>
        <item x="847"/>
        <item x="858"/>
        <item x="863"/>
        <item x="865"/>
        <item x="866"/>
        <item x="868"/>
        <item x="870"/>
        <item x="871"/>
        <item x="872"/>
        <item x="876"/>
        <item x="878"/>
        <item x="879"/>
        <item x="880"/>
        <item x="884"/>
        <item x="886"/>
        <item x="888"/>
        <item x="891"/>
        <item x="892"/>
        <item x="894"/>
        <item x="899"/>
        <item x="901"/>
        <item x="903"/>
        <item x="906"/>
        <item x="907"/>
        <item x="915"/>
        <item x="917"/>
        <item x="918"/>
        <item x="919"/>
        <item x="920"/>
        <item x="921"/>
        <item x="922"/>
        <item x="923"/>
        <item x="924"/>
        <item x="927"/>
        <item x="929"/>
        <item x="931"/>
        <item x="932"/>
        <item x="934"/>
        <item x="935"/>
        <item x="936"/>
        <item x="937"/>
        <item x="938"/>
        <item x="940"/>
        <item x="942"/>
        <item x="943"/>
        <item x="946"/>
        <item x="949"/>
        <item x="953"/>
        <item x="956"/>
        <item x="958"/>
        <item x="959"/>
        <item x="960"/>
        <item x="961"/>
        <item x="963"/>
        <item x="964"/>
        <item x="966"/>
        <item x="969"/>
        <item x="971"/>
        <item x="973"/>
        <item x="975"/>
        <item x="978"/>
        <item x="981"/>
        <item x="983"/>
        <item x="985"/>
        <item x="987"/>
        <item x="988"/>
        <item x="991"/>
        <item x="995"/>
        <item x="996"/>
        <item x="999"/>
        <item x="1001"/>
        <item x="1002"/>
        <item x="1003"/>
        <item x="1005"/>
        <item x="1009"/>
        <item x="1010"/>
        <item x="1012"/>
        <item x="1013"/>
        <item x="1014"/>
        <item x="1017"/>
        <item x="1022"/>
        <item x="1025"/>
        <item x="1027"/>
        <item x="1028"/>
        <item x="1030"/>
        <item x="1033"/>
        <item x="1036"/>
        <item x="1037"/>
        <item x="1038"/>
        <item x="1039"/>
        <item x="1040"/>
        <item x="1042"/>
        <item x="1044"/>
        <item x="1047"/>
        <item x="1048"/>
        <item x="1052"/>
        <item x="1053"/>
        <item x="1054"/>
        <item x="1056"/>
        <item x="1057"/>
        <item x="1058"/>
        <item x="1060"/>
        <item x="1061"/>
        <item x="1063"/>
        <item x="1065"/>
        <item x="1067"/>
        <item x="1068"/>
        <item x="1070"/>
        <item x="1074"/>
        <item x="1075"/>
        <item x="1076"/>
        <item x="1077"/>
        <item x="1082"/>
        <item x="1085"/>
        <item x="1090"/>
        <item x="1092"/>
        <item x="1094"/>
        <item x="1098"/>
        <item x="1101"/>
        <item x="1103"/>
        <item x="1108"/>
        <item x="1111"/>
        <item x="1113"/>
        <item x="1114"/>
        <item x="1115"/>
        <item x="1116"/>
        <item x="1122"/>
        <item x="1123"/>
        <item x="1126"/>
        <item x="1129"/>
        <item x="1130"/>
        <item x="1131"/>
        <item x="1132"/>
        <item x="1134"/>
        <item x="1135"/>
        <item x="1138"/>
        <item x="1139"/>
        <item x="1140"/>
        <item x="1141"/>
        <item x="1145"/>
        <item x="1148"/>
        <item x="1149"/>
        <item x="1151"/>
        <item x="1152"/>
        <item x="1154"/>
        <item x="1156"/>
        <item x="1157"/>
        <item x="1159"/>
        <item x="1160"/>
        <item x="1163"/>
        <item x="1166"/>
        <item x="1167"/>
        <item x="1172"/>
        <item x="1173"/>
        <item x="1175"/>
        <item x="1179"/>
        <item x="1181"/>
        <item x="1183"/>
        <item x="1185"/>
        <item x="1187"/>
        <item x="1191"/>
        <item x="1192"/>
        <item x="1195"/>
        <item x="1198"/>
        <item x="1199"/>
        <item x="1202"/>
        <item x="1205"/>
        <item x="1206"/>
        <item x="1209"/>
        <item x="1213"/>
        <item x="1214"/>
        <item x="1217"/>
        <item x="1218"/>
        <item x="1220"/>
        <item x="1223"/>
        <item x="1225"/>
        <item x="1229"/>
        <item x="1234"/>
        <item x="1236"/>
        <item x="1237"/>
        <item x="1239"/>
        <item x="1245"/>
        <item x="1246"/>
        <item x="1247"/>
        <item x="1250"/>
        <item x="1253"/>
        <item x="1257"/>
        <item x="1258"/>
        <item x="1259"/>
        <item x="1261"/>
        <item x="1263"/>
        <item x="1264"/>
        <item x="1265"/>
        <item x="1266"/>
        <item x="1267"/>
        <item x="1268"/>
        <item x="1270"/>
        <item x="1271"/>
        <item x="1276"/>
        <item x="1277"/>
        <item x="1280"/>
        <item x="1281"/>
        <item x="1283"/>
        <item x="1285"/>
        <item x="1287"/>
        <item x="1290"/>
        <item x="1291"/>
        <item x="1292"/>
        <item x="1299"/>
        <item x="1301"/>
        <item x="1302"/>
        <item x="1305"/>
        <item x="1306"/>
        <item x="1315"/>
        <item x="1317"/>
        <item x="1318"/>
        <item x="1319"/>
        <item x="1320"/>
        <item x="1324"/>
        <item x="1325"/>
        <item x="1327"/>
        <item x="1329"/>
        <item x="1330"/>
        <item x="1331"/>
        <item x="1332"/>
        <item x="1333"/>
        <item x="1334"/>
        <item x="1335"/>
        <item x="1336"/>
        <item x="1339"/>
        <item x="1340"/>
        <item x="1342"/>
        <item x="1347"/>
        <item x="1348"/>
        <item x="1355"/>
        <item x="1356"/>
        <item x="1357"/>
        <item x="1361"/>
        <item x="1363"/>
        <item x="1365"/>
        <item x="1366"/>
        <item x="1368"/>
        <item x="1371"/>
        <item x="1372"/>
        <item x="1374"/>
        <item x="1377"/>
        <item x="1380"/>
        <item x="1385"/>
        <item x="1389"/>
        <item x="1390"/>
        <item x="1392"/>
        <item x="1394"/>
        <item x="1398"/>
        <item x="1399"/>
        <item x="1402"/>
        <item x="1405"/>
        <item x="1407"/>
        <item x="1408"/>
        <item x="1409"/>
        <item x="1410"/>
        <item x="1412"/>
        <item x="1413"/>
        <item x="1416"/>
        <item x="1417"/>
        <item x="1418"/>
        <item x="1419"/>
        <item x="1423"/>
        <item x="1424"/>
        <item x="1427"/>
        <item x="1429"/>
        <item x="1430"/>
        <item x="1432"/>
        <item x="1433"/>
        <item x="1434"/>
        <item x="1435"/>
        <item x="1436"/>
        <item x="1438"/>
        <item x="1439"/>
        <item x="1440"/>
        <item x="1441"/>
        <item x="1442"/>
        <item x="1444"/>
        <item x="1447"/>
        <item x="1455"/>
        <item x="1456"/>
        <item x="1457"/>
        <item x="1459"/>
        <item x="1460"/>
        <item x="1463"/>
        <item x="1464"/>
        <item x="1466"/>
        <item x="1469"/>
        <item x="1470"/>
        <item x="1474"/>
        <item x="1475"/>
        <item x="1478"/>
        <item x="1481"/>
        <item x="1483"/>
        <item x="1485"/>
        <item x="1489"/>
        <item x="1490"/>
        <item x="1491"/>
        <item x="1493"/>
        <item x="1495"/>
        <item x="1496"/>
        <item x="1500"/>
        <item t="default"/>
      </items>
    </pivotField>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showAll="0">
      <items count="14">
        <item x="5"/>
        <item x="7"/>
        <item x="1"/>
        <item x="6"/>
        <item x="9"/>
        <item x="10"/>
        <item x="3"/>
        <item x="8"/>
        <item x="4"/>
        <item x="11"/>
        <item x="2"/>
        <item x="0"/>
        <item x="12"/>
        <item t="default"/>
      </items>
    </pivotField>
    <pivotField showAll="0">
      <items count="837">
        <item x="589"/>
        <item x="710"/>
        <item x="323"/>
        <item x="473"/>
        <item x="726"/>
        <item x="230"/>
        <item x="15"/>
        <item x="57"/>
        <item x="475"/>
        <item x="775"/>
        <item x="434"/>
        <item x="268"/>
        <item x="261"/>
        <item x="682"/>
        <item x="802"/>
        <item x="765"/>
        <item x="582"/>
        <item x="801"/>
        <item x="215"/>
        <item x="259"/>
        <item x="37"/>
        <item x="829"/>
        <item x="251"/>
        <item x="221"/>
        <item x="352"/>
        <item x="30"/>
        <item x="476"/>
        <item x="155"/>
        <item x="825"/>
        <item x="828"/>
        <item x="181"/>
        <item x="218"/>
        <item x="625"/>
        <item x="138"/>
        <item x="233"/>
        <item x="467"/>
        <item x="131"/>
        <item x="813"/>
        <item x="435"/>
        <item x="344"/>
        <item x="768"/>
        <item x="232"/>
        <item x="764"/>
        <item x="355"/>
        <item x="9"/>
        <item x="470"/>
        <item x="740"/>
        <item x="287"/>
        <item x="109"/>
        <item x="95"/>
        <item x="466"/>
        <item x="774"/>
        <item x="264"/>
        <item x="532"/>
        <item x="543"/>
        <item x="339"/>
        <item x="12"/>
        <item x="507"/>
        <item x="659"/>
        <item x="237"/>
        <item x="207"/>
        <item x="23"/>
        <item x="821"/>
        <item x="736"/>
        <item x="43"/>
        <item x="255"/>
        <item x="593"/>
        <item x="479"/>
        <item x="477"/>
        <item x="518"/>
        <item x="818"/>
        <item x="206"/>
        <item x="830"/>
        <item x="381"/>
        <item x="116"/>
        <item x="165"/>
        <item x="349"/>
        <item x="666"/>
        <item x="563"/>
        <item x="746"/>
        <item x="669"/>
        <item x="431"/>
        <item x="317"/>
        <item x="660"/>
        <item x="86"/>
        <item x="803"/>
        <item x="404"/>
        <item x="426"/>
        <item x="384"/>
        <item x="59"/>
        <item x="534"/>
        <item x="170"/>
        <item x="178"/>
        <item x="790"/>
        <item x="292"/>
        <item x="570"/>
        <item x="654"/>
        <item x="49"/>
        <item x="718"/>
        <item x="338"/>
        <item x="742"/>
        <item x="732"/>
        <item x="319"/>
        <item x="602"/>
        <item x="560"/>
        <item x="700"/>
        <item x="741"/>
        <item x="337"/>
        <item x="239"/>
        <item x="281"/>
        <item x="707"/>
        <item x="62"/>
        <item x="382"/>
        <item x="333"/>
        <item x="574"/>
        <item x="686"/>
        <item x="107"/>
        <item x="11"/>
        <item x="711"/>
        <item x="294"/>
        <item x="108"/>
        <item x="31"/>
        <item x="517"/>
        <item x="175"/>
        <item x="454"/>
        <item x="68"/>
        <item x="387"/>
        <item x="172"/>
        <item x="588"/>
        <item x="324"/>
        <item x="389"/>
        <item x="376"/>
        <item x="635"/>
        <item x="497"/>
        <item x="812"/>
        <item x="786"/>
        <item x="810"/>
        <item x="594"/>
        <item x="7"/>
        <item x="87"/>
        <item x="122"/>
        <item x="584"/>
        <item x="88"/>
        <item x="407"/>
        <item x="222"/>
        <item x="219"/>
        <item x="392"/>
        <item x="53"/>
        <item x="163"/>
        <item x="320"/>
        <item x="439"/>
        <item x="533"/>
        <item x="139"/>
        <item x="83"/>
        <item x="596"/>
        <item x="314"/>
        <item x="41"/>
        <item x="6"/>
        <item x="513"/>
        <item x="284"/>
        <item x="809"/>
        <item x="332"/>
        <item x="564"/>
        <item x="411"/>
        <item x="798"/>
        <item x="453"/>
        <item x="495"/>
        <item x="558"/>
        <item x="248"/>
        <item x="641"/>
        <item x="52"/>
        <item x="29"/>
        <item x="665"/>
        <item x="758"/>
        <item x="167"/>
        <item x="822"/>
        <item x="378"/>
        <item x="285"/>
        <item x="767"/>
        <item x="681"/>
        <item x="289"/>
        <item x="350"/>
        <item x="60"/>
        <item x="77"/>
        <item x="2"/>
        <item x="180"/>
        <item x="351"/>
        <item x="1"/>
        <item x="151"/>
        <item x="134"/>
        <item x="199"/>
        <item x="157"/>
        <item x="368"/>
        <item x="32"/>
        <item x="256"/>
        <item x="353"/>
        <item x="590"/>
        <item x="300"/>
        <item x="334"/>
        <item x="633"/>
        <item x="174"/>
        <item x="696"/>
        <item x="97"/>
        <item x="737"/>
        <item x="240"/>
        <item x="703"/>
        <item x="118"/>
        <item x="220"/>
        <item x="739"/>
        <item x="577"/>
        <item x="427"/>
        <item x="744"/>
        <item x="370"/>
        <item x="587"/>
        <item x="301"/>
        <item x="624"/>
        <item x="606"/>
        <item x="20"/>
        <item x="657"/>
        <item x="203"/>
        <item x="528"/>
        <item x="223"/>
        <item x="723"/>
        <item x="42"/>
        <item x="98"/>
        <item x="781"/>
        <item x="75"/>
        <item x="451"/>
        <item x="197"/>
        <item x="209"/>
        <item x="731"/>
        <item x="362"/>
        <item x="13"/>
        <item x="216"/>
        <item x="322"/>
        <item x="291"/>
        <item x="698"/>
        <item x="142"/>
        <item x="465"/>
        <item x="605"/>
        <item x="330"/>
        <item x="683"/>
        <item x="363"/>
        <item x="586"/>
        <item x="150"/>
        <item x="279"/>
        <item x="436"/>
        <item x="735"/>
        <item x="458"/>
        <item x="538"/>
        <item x="714"/>
        <item x="10"/>
        <item x="100"/>
        <item x="530"/>
        <item x="652"/>
        <item x="399"/>
        <item x="135"/>
        <item x="595"/>
        <item x="276"/>
        <item x="480"/>
        <item x="408"/>
        <item x="474"/>
        <item x="293"/>
        <item x="380"/>
        <item x="537"/>
        <item x="556"/>
        <item x="680"/>
        <item x="106"/>
        <item x="759"/>
        <item x="832"/>
        <item x="147"/>
        <item x="772"/>
        <item x="360"/>
        <item x="140"/>
        <item x="44"/>
        <item x="648"/>
        <item x="275"/>
        <item x="129"/>
        <item x="642"/>
        <item x="149"/>
        <item x="504"/>
        <item x="687"/>
        <item x="689"/>
        <item x="247"/>
        <item x="623"/>
        <item x="674"/>
        <item x="716"/>
        <item x="177"/>
        <item x="365"/>
        <item x="385"/>
        <item x="799"/>
        <item x="402"/>
        <item x="578"/>
        <item x="202"/>
        <item x="410"/>
        <item x="608"/>
        <item x="792"/>
        <item x="91"/>
        <item x="603"/>
        <item x="421"/>
        <item x="819"/>
        <item x="604"/>
        <item x="85"/>
        <item x="204"/>
        <item x="658"/>
        <item x="734"/>
        <item x="729"/>
        <item x="808"/>
        <item x="128"/>
        <item x="379"/>
        <item x="663"/>
        <item x="159"/>
        <item x="22"/>
        <item x="569"/>
        <item x="478"/>
        <item x="576"/>
        <item x="308"/>
        <item x="817"/>
        <item x="335"/>
        <item x="708"/>
        <item x="429"/>
        <item x="90"/>
        <item x="784"/>
        <item x="442"/>
        <item x="571"/>
        <item x="271"/>
        <item x="695"/>
        <item x="228"/>
        <item x="745"/>
        <item x="234"/>
        <item x="693"/>
        <item x="21"/>
        <item x="342"/>
        <item x="656"/>
        <item x="523"/>
        <item x="79"/>
        <item x="728"/>
        <item x="778"/>
        <item x="397"/>
        <item x="104"/>
        <item x="388"/>
        <item x="469"/>
        <item x="712"/>
        <item x="748"/>
        <item x="27"/>
        <item x="643"/>
        <item x="484"/>
        <item x="672"/>
        <item x="152"/>
        <item x="806"/>
        <item x="226"/>
        <item x="691"/>
        <item x="112"/>
        <item x="730"/>
        <item x="715"/>
        <item x="529"/>
        <item x="425"/>
        <item x="357"/>
        <item x="73"/>
        <item x="826"/>
        <item x="34"/>
        <item x="400"/>
        <item x="273"/>
        <item x="752"/>
        <item x="341"/>
        <item x="756"/>
        <item x="415"/>
        <item x="486"/>
        <item x="373"/>
        <item x="787"/>
        <item x="144"/>
        <item x="372"/>
        <item x="554"/>
        <item x="502"/>
        <item x="460"/>
        <item x="579"/>
        <item x="776"/>
        <item x="447"/>
        <item x="278"/>
        <item x="304"/>
        <item x="110"/>
        <item x="762"/>
        <item x="527"/>
        <item x="148"/>
        <item x="33"/>
        <item x="494"/>
        <item x="121"/>
        <item x="788"/>
        <item x="600"/>
        <item x="72"/>
        <item x="210"/>
        <item x="568"/>
        <item x="263"/>
        <item x="176"/>
        <item x="286"/>
        <item x="472"/>
        <item x="612"/>
        <item x="721"/>
        <item x="565"/>
        <item x="544"/>
        <item x="96"/>
        <item x="694"/>
        <item x="28"/>
        <item x="430"/>
        <item x="805"/>
        <item x="511"/>
        <item x="797"/>
        <item x="200"/>
        <item x="414"/>
        <item x="205"/>
        <item x="536"/>
        <item x="123"/>
        <item x="463"/>
        <item x="725"/>
        <item x="699"/>
        <item x="393"/>
        <item x="169"/>
        <item x="361"/>
        <item x="626"/>
        <item x="592"/>
        <item x="679"/>
        <item x="115"/>
        <item x="685"/>
        <item x="807"/>
        <item x="103"/>
        <item x="8"/>
        <item x="468"/>
        <item x="750"/>
        <item x="670"/>
        <item x="336"/>
        <item x="706"/>
        <item x="198"/>
        <item x="677"/>
        <item x="418"/>
        <item x="539"/>
        <item x="243"/>
        <item x="277"/>
        <item x="307"/>
        <item x="567"/>
        <item x="445"/>
        <item x="763"/>
        <item x="638"/>
        <item x="194"/>
        <item x="327"/>
        <item x="814"/>
        <item x="506"/>
        <item x="19"/>
        <item x="80"/>
        <item x="684"/>
        <item x="356"/>
        <item x="789"/>
        <item x="257"/>
        <item x="188"/>
        <item x="650"/>
        <item x="722"/>
        <item x="553"/>
        <item x="773"/>
        <item x="99"/>
        <item x="4"/>
        <item x="769"/>
        <item x="347"/>
        <item x="489"/>
        <item x="520"/>
        <item x="364"/>
        <item x="509"/>
        <item x="766"/>
        <item x="615"/>
        <item x="678"/>
        <item x="667"/>
        <item x="601"/>
        <item x="65"/>
        <item x="145"/>
        <item x="35"/>
        <item x="38"/>
        <item x="438"/>
        <item x="64"/>
        <item x="804"/>
        <item x="613"/>
        <item x="184"/>
        <item x="386"/>
        <item x="780"/>
        <item x="627"/>
        <item x="620"/>
        <item x="158"/>
        <item x="377"/>
        <item x="514"/>
        <item x="760"/>
        <item x="272"/>
        <item x="14"/>
        <item x="224"/>
        <item x="244"/>
        <item x="796"/>
        <item x="66"/>
        <item x="526"/>
        <item x="815"/>
        <item x="492"/>
        <item x="800"/>
        <item x="229"/>
        <item x="309"/>
        <item x="63"/>
        <item x="348"/>
        <item x="246"/>
        <item x="305"/>
        <item x="46"/>
        <item x="749"/>
        <item x="704"/>
        <item x="619"/>
        <item x="545"/>
        <item x="510"/>
        <item x="146"/>
        <item x="390"/>
        <item x="692"/>
        <item x="242"/>
        <item x="154"/>
        <item x="456"/>
        <item x="559"/>
        <item x="84"/>
        <item x="785"/>
        <item x="269"/>
        <item x="795"/>
        <item x="359"/>
        <item x="94"/>
        <item x="754"/>
        <item x="101"/>
        <item x="125"/>
        <item x="303"/>
        <item x="632"/>
        <item x="551"/>
        <item x="597"/>
        <item x="617"/>
        <item x="92"/>
        <item x="354"/>
        <item x="195"/>
        <item x="71"/>
        <item x="182"/>
        <item x="321"/>
        <item x="720"/>
        <item x="566"/>
        <item x="541"/>
        <item x="549"/>
        <item x="614"/>
        <item x="17"/>
        <item x="573"/>
        <item x="54"/>
        <item x="747"/>
        <item x="437"/>
        <item x="552"/>
        <item x="443"/>
        <item x="383"/>
        <item x="283"/>
        <item x="631"/>
        <item x="505"/>
        <item x="290"/>
        <item x="208"/>
        <item x="717"/>
        <item x="183"/>
        <item x="326"/>
        <item x="227"/>
        <item x="491"/>
        <item x="297"/>
        <item x="81"/>
        <item x="634"/>
        <item x="444"/>
        <item x="288"/>
        <item x="156"/>
        <item x="783"/>
        <item x="249"/>
        <item x="191"/>
        <item x="124"/>
        <item x="419"/>
        <item x="664"/>
        <item x="457"/>
        <item x="265"/>
        <item x="598"/>
        <item x="522"/>
        <item x="254"/>
        <item x="236"/>
        <item x="448"/>
        <item x="794"/>
        <item x="171"/>
        <item x="820"/>
        <item x="282"/>
        <item x="498"/>
        <item x="483"/>
        <item x="312"/>
        <item x="501"/>
        <item x="580"/>
        <item x="811"/>
        <item x="433"/>
        <item x="782"/>
        <item x="446"/>
        <item x="280"/>
        <item x="610"/>
        <item x="306"/>
        <item x="462"/>
        <item x="455"/>
        <item x="791"/>
        <item x="629"/>
        <item x="713"/>
        <item x="488"/>
        <item x="82"/>
        <item x="540"/>
        <item x="343"/>
        <item x="298"/>
        <item x="644"/>
        <item x="346"/>
        <item x="622"/>
        <item x="16"/>
        <item x="166"/>
        <item x="777"/>
        <item x="5"/>
        <item x="40"/>
        <item x="653"/>
        <item x="581"/>
        <item x="315"/>
        <item x="318"/>
        <item x="738"/>
        <item x="316"/>
        <item x="671"/>
        <item x="117"/>
        <item x="375"/>
        <item x="137"/>
        <item x="295"/>
        <item x="503"/>
        <item x="69"/>
        <item x="111"/>
        <item x="55"/>
        <item x="743"/>
        <item x="217"/>
        <item x="521"/>
        <item x="313"/>
        <item x="531"/>
        <item x="61"/>
        <item x="557"/>
        <item x="676"/>
        <item x="406"/>
        <item x="394"/>
        <item x="133"/>
        <item x="724"/>
        <item x="161"/>
        <item x="93"/>
        <item x="524"/>
        <item x="424"/>
        <item x="525"/>
        <item x="770"/>
        <item x="572"/>
        <item x="369"/>
        <item x="50"/>
        <item x="771"/>
        <item x="599"/>
        <item x="827"/>
        <item x="547"/>
        <item x="482"/>
        <item x="45"/>
        <item x="398"/>
        <item x="412"/>
        <item x="136"/>
        <item x="213"/>
        <item x="645"/>
        <item x="555"/>
        <item x="153"/>
        <item x="779"/>
        <item x="130"/>
        <item x="250"/>
        <item x="260"/>
        <item x="651"/>
        <item x="636"/>
        <item x="515"/>
        <item x="834"/>
        <item x="173"/>
        <item x="47"/>
        <item x="583"/>
        <item x="143"/>
        <item x="358"/>
        <item x="688"/>
        <item x="833"/>
        <item x="160"/>
        <item x="120"/>
        <item x="535"/>
        <item x="374"/>
        <item x="420"/>
        <item x="422"/>
        <item x="76"/>
        <item x="432"/>
        <item x="709"/>
        <item x="546"/>
        <item x="391"/>
        <item x="519"/>
        <item x="74"/>
        <item x="401"/>
        <item x="705"/>
        <item x="459"/>
        <item x="296"/>
        <item x="542"/>
        <item x="396"/>
        <item x="274"/>
        <item x="270"/>
        <item x="493"/>
        <item x="371"/>
        <item x="719"/>
        <item x="471"/>
        <item x="345"/>
        <item x="196"/>
        <item x="461"/>
        <item x="637"/>
        <item x="655"/>
        <item x="661"/>
        <item x="395"/>
        <item x="450"/>
        <item x="831"/>
        <item x="649"/>
        <item x="127"/>
        <item x="793"/>
        <item x="561"/>
        <item x="701"/>
        <item x="428"/>
        <item x="630"/>
        <item x="58"/>
        <item x="302"/>
        <item x="132"/>
        <item x="67"/>
        <item x="39"/>
        <item x="331"/>
        <item x="325"/>
        <item x="413"/>
        <item x="417"/>
        <item x="267"/>
        <item x="440"/>
        <item x="189"/>
        <item x="403"/>
        <item x="753"/>
        <item x="225"/>
        <item x="452"/>
        <item x="18"/>
        <item x="639"/>
        <item x="616"/>
        <item x="496"/>
        <item x="607"/>
        <item x="231"/>
        <item x="662"/>
        <item x="310"/>
        <item x="591"/>
        <item x="329"/>
        <item x="262"/>
        <item x="211"/>
        <item x="449"/>
        <item x="252"/>
        <item x="235"/>
        <item x="214"/>
        <item x="464"/>
        <item x="162"/>
        <item x="238"/>
        <item x="192"/>
        <item x="757"/>
        <item x="668"/>
        <item x="311"/>
        <item x="340"/>
        <item x="3"/>
        <item x="56"/>
        <item x="89"/>
        <item x="618"/>
        <item x="628"/>
        <item x="70"/>
        <item x="508"/>
        <item x="727"/>
        <item x="114"/>
        <item x="187"/>
        <item x="185"/>
        <item x="405"/>
        <item x="485"/>
        <item x="751"/>
        <item x="212"/>
        <item x="366"/>
        <item x="673"/>
        <item x="697"/>
        <item x="258"/>
        <item x="0"/>
        <item x="24"/>
        <item x="416"/>
        <item x="102"/>
        <item x="328"/>
        <item x="675"/>
        <item x="490"/>
        <item x="245"/>
        <item x="499"/>
        <item x="179"/>
        <item x="702"/>
        <item x="119"/>
        <item x="48"/>
        <item x="26"/>
        <item x="201"/>
        <item x="25"/>
        <item x="126"/>
        <item x="481"/>
        <item x="113"/>
        <item x="141"/>
        <item x="609"/>
        <item x="423"/>
        <item x="253"/>
        <item x="105"/>
        <item x="186"/>
        <item x="823"/>
        <item x="621"/>
        <item x="487"/>
        <item x="168"/>
        <item x="500"/>
        <item x="266"/>
        <item x="78"/>
        <item x="562"/>
        <item x="611"/>
        <item x="646"/>
        <item x="190"/>
        <item x="575"/>
        <item x="51"/>
        <item x="550"/>
        <item x="585"/>
        <item x="755"/>
        <item x="36"/>
        <item x="647"/>
        <item x="299"/>
        <item x="516"/>
        <item x="548"/>
        <item x="367"/>
        <item x="816"/>
        <item x="761"/>
        <item x="441"/>
        <item x="733"/>
        <item x="193"/>
        <item x="512"/>
        <item x="164"/>
        <item x="640"/>
        <item x="690"/>
        <item x="409"/>
        <item x="824"/>
        <item x="241"/>
        <item x="83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37AB6-CD12-4855-98B9-F6265DA8BAE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3:L14" firstHeaderRow="1" firstDataRow="1" firstDataCol="0"/>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847AC4-A157-4FCC-A570-83E95AF3AF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3:R8" firstHeaderRow="1" firstDataRow="1" firstDataCol="1"/>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529B00-3DE8-4B10-9D2B-6CB8CB7C9C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5:L6" firstHeaderRow="1" firstDataRow="1" firstDataCol="0"/>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C5986E-C210-4A14-91AD-A23CBEA8E49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28:B41" firstHeaderRow="1" firstDataRow="1" firstDataCol="1"/>
  <pivotFields count="24">
    <pivotField showAll="0"/>
    <pivotField showAll="0"/>
    <pivotField axis="axisRow"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items count="3">
        <item x="0"/>
        <item x="1"/>
        <item t="default"/>
      </items>
    </pivotField>
    <pivotField showAll="0">
      <items count="12">
        <item x="9"/>
        <item x="5"/>
        <item x="6"/>
        <item x="1"/>
        <item x="2"/>
        <item x="0"/>
        <item x="3"/>
        <item x="7"/>
        <item x="8"/>
        <item x="4"/>
        <item x="10"/>
        <item t="default"/>
      </items>
    </pivotField>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1"/>
    <field x="2"/>
    <field x="23"/>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2236E6-DFDC-41C6-BBA2-CAB38F7449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36:R49" firstHeaderRow="1" firstDataRow="1" firstDataCol="1"/>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showAll="0">
      <items count="7">
        <item x="0"/>
        <item x="4"/>
        <item x="1"/>
        <item x="2"/>
        <item x="3"/>
        <item x="5"/>
        <item t="default"/>
      </items>
    </pivotField>
    <pivotField showAll="0"/>
    <pivotField showAll="0">
      <items count="5">
        <item x="0"/>
        <item x="1"/>
        <item x="2"/>
        <item x="3"/>
        <item t="default"/>
      </items>
    </pivotField>
    <pivotField axis="axisRow" showAll="0">
      <items count="14">
        <item x="5"/>
        <item x="7"/>
        <item x="1"/>
        <item x="6"/>
        <item x="9"/>
        <item x="10"/>
        <item x="3"/>
        <item x="8"/>
        <item x="4"/>
        <item x="11"/>
        <item x="2"/>
        <item x="0"/>
        <item h="1" x="1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Profit" fld="20" baseField="0" baseItem="0"/>
  </dataField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6F91EE-8961-49D6-83ED-A3BC6B7D4E0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15:B21" firstHeaderRow="1" firstDataRow="1" firstDataCol="1"/>
  <pivotFields count="24">
    <pivotField showAll="0"/>
    <pivotField showAll="0"/>
    <pivotField showAll="0">
      <items count="632">
        <item x="419"/>
        <item x="65"/>
        <item x="503"/>
        <item x="523"/>
        <item x="125"/>
        <item x="520"/>
        <item x="502"/>
        <item x="433"/>
        <item x="222"/>
        <item x="443"/>
        <item x="555"/>
        <item x="353"/>
        <item x="533"/>
        <item x="51"/>
        <item x="93"/>
        <item x="342"/>
        <item x="258"/>
        <item x="271"/>
        <item x="376"/>
        <item x="285"/>
        <item x="6"/>
        <item x="29"/>
        <item x="337"/>
        <item x="383"/>
        <item x="496"/>
        <item x="251"/>
        <item x="110"/>
        <item x="402"/>
        <item x="574"/>
        <item x="113"/>
        <item x="461"/>
        <item x="61"/>
        <item x="140"/>
        <item x="221"/>
        <item x="247"/>
        <item x="281"/>
        <item x="519"/>
        <item x="91"/>
        <item x="389"/>
        <item x="351"/>
        <item x="616"/>
        <item x="261"/>
        <item x="303"/>
        <item x="114"/>
        <item x="256"/>
        <item x="292"/>
        <item x="86"/>
        <item x="227"/>
        <item x="584"/>
        <item x="493"/>
        <item x="310"/>
        <item x="33"/>
        <item x="486"/>
        <item x="374"/>
        <item x="99"/>
        <item x="94"/>
        <item x="509"/>
        <item x="330"/>
        <item x="410"/>
        <item x="4"/>
        <item x="490"/>
        <item x="395"/>
        <item x="361"/>
        <item x="325"/>
        <item x="457"/>
        <item x="424"/>
        <item x="63"/>
        <item x="590"/>
        <item x="455"/>
        <item x="571"/>
        <item x="456"/>
        <item x="145"/>
        <item x="585"/>
        <item x="13"/>
        <item x="538"/>
        <item x="354"/>
        <item x="412"/>
        <item x="56"/>
        <item x="485"/>
        <item x="331"/>
        <item x="462"/>
        <item x="136"/>
        <item x="548"/>
        <item x="469"/>
        <item x="119"/>
        <item x="15"/>
        <item x="614"/>
        <item x="0"/>
        <item x="233"/>
        <item x="450"/>
        <item x="68"/>
        <item x="3"/>
        <item x="613"/>
        <item x="387"/>
        <item x="478"/>
        <item x="235"/>
        <item x="173"/>
        <item x="580"/>
        <item x="358"/>
        <item x="266"/>
        <item x="312"/>
        <item x="316"/>
        <item x="445"/>
        <item x="228"/>
        <item x="491"/>
        <item x="8"/>
        <item x="190"/>
        <item x="198"/>
        <item x="295"/>
        <item x="415"/>
        <item x="313"/>
        <item x="270"/>
        <item x="96"/>
        <item x="184"/>
        <item x="17"/>
        <item x="409"/>
        <item x="391"/>
        <item x="422"/>
        <item x="111"/>
        <item x="517"/>
        <item x="475"/>
        <item x="100"/>
        <item x="528"/>
        <item x="557"/>
        <item x="628"/>
        <item x="290"/>
        <item x="196"/>
        <item x="437"/>
        <item x="446"/>
        <item x="204"/>
        <item x="205"/>
        <item x="423"/>
        <item x="296"/>
        <item x="210"/>
        <item x="226"/>
        <item x="236"/>
        <item x="326"/>
        <item x="278"/>
        <item x="570"/>
        <item x="92"/>
        <item x="260"/>
        <item x="551"/>
        <item x="142"/>
        <item x="26"/>
        <item x="74"/>
        <item x="238"/>
        <item x="403"/>
        <item x="473"/>
        <item x="46"/>
        <item x="350"/>
        <item x="399"/>
        <item x="138"/>
        <item x="259"/>
        <item x="417"/>
        <item x="397"/>
        <item x="579"/>
        <item x="280"/>
        <item x="377"/>
        <item x="434"/>
        <item x="544"/>
        <item x="339"/>
        <item x="264"/>
        <item x="411"/>
        <item x="479"/>
        <item x="189"/>
        <item x="390"/>
        <item x="199"/>
        <item x="88"/>
        <item x="321"/>
        <item x="38"/>
        <item x="267"/>
        <item x="24"/>
        <item x="400"/>
        <item x="242"/>
        <item x="301"/>
        <item x="195"/>
        <item x="618"/>
        <item x="112"/>
        <item x="75"/>
        <item x="188"/>
        <item x="332"/>
        <item x="477"/>
        <item x="62"/>
        <item x="129"/>
        <item x="224"/>
        <item x="597"/>
        <item x="558"/>
        <item x="508"/>
        <item x="425"/>
        <item x="492"/>
        <item x="10"/>
        <item x="499"/>
        <item x="87"/>
        <item x="126"/>
        <item x="181"/>
        <item x="581"/>
        <item x="340"/>
        <item x="447"/>
        <item x="154"/>
        <item x="252"/>
        <item x="234"/>
        <item x="510"/>
        <item x="426"/>
        <item x="248"/>
        <item x="109"/>
        <item x="171"/>
        <item x="167"/>
        <item x="392"/>
        <item x="466"/>
        <item x="319"/>
        <item x="448"/>
        <item x="134"/>
        <item x="52"/>
        <item x="144"/>
        <item x="42"/>
        <item x="625"/>
        <item x="279"/>
        <item x="186"/>
        <item x="472"/>
        <item x="463"/>
        <item x="444"/>
        <item x="80"/>
        <item x="30"/>
        <item x="218"/>
        <item x="268"/>
        <item x="497"/>
        <item x="344"/>
        <item x="160"/>
        <item x="531"/>
        <item x="214"/>
        <item x="300"/>
        <item x="380"/>
        <item x="627"/>
        <item x="176"/>
        <item x="305"/>
        <item x="76"/>
        <item x="2"/>
        <item x="320"/>
        <item x="373"/>
        <item x="47"/>
        <item x="615"/>
        <item x="25"/>
        <item x="599"/>
        <item x="372"/>
        <item x="193"/>
        <item x="483"/>
        <item x="449"/>
        <item x="157"/>
        <item x="253"/>
        <item x="329"/>
        <item x="576"/>
        <item x="603"/>
        <item x="275"/>
        <item x="106"/>
        <item x="537"/>
        <item x="554"/>
        <item x="629"/>
        <item x="192"/>
        <item x="539"/>
        <item x="82"/>
        <item x="562"/>
        <item x="212"/>
        <item x="526"/>
        <item x="408"/>
        <item x="263"/>
        <item x="468"/>
        <item x="217"/>
        <item x="298"/>
        <item x="465"/>
        <item x="471"/>
        <item x="19"/>
        <item x="607"/>
        <item x="624"/>
        <item x="501"/>
        <item x="567"/>
        <item x="28"/>
        <item x="515"/>
        <item x="50"/>
        <item x="165"/>
        <item x="534"/>
        <item x="513"/>
        <item x="286"/>
        <item x="521"/>
        <item x="269"/>
        <item x="552"/>
        <item x="341"/>
        <item x="200"/>
        <item x="407"/>
        <item x="586"/>
        <item x="535"/>
        <item x="430"/>
        <item x="11"/>
        <item x="536"/>
        <item x="470"/>
        <item x="343"/>
        <item x="495"/>
        <item x="85"/>
        <item x="404"/>
        <item x="55"/>
        <item x="334"/>
        <item x="297"/>
        <item x="20"/>
        <item x="53"/>
        <item x="568"/>
        <item x="152"/>
        <item x="202"/>
        <item x="302"/>
        <item x="291"/>
        <item x="560"/>
        <item x="336"/>
        <item x="431"/>
        <item x="161"/>
        <item x="481"/>
        <item x="418"/>
        <item x="505"/>
        <item x="594"/>
        <item x="249"/>
        <item x="57"/>
        <item x="370"/>
        <item x="306"/>
        <item x="564"/>
        <item x="620"/>
        <item x="14"/>
        <item x="168"/>
        <item x="245"/>
        <item x="363"/>
        <item x="156"/>
        <item x="561"/>
        <item x="107"/>
        <item x="89"/>
        <item x="589"/>
        <item x="382"/>
        <item x="155"/>
        <item x="23"/>
        <item x="178"/>
        <item x="48"/>
        <item x="467"/>
        <item x="66"/>
        <item x="543"/>
        <item x="103"/>
        <item x="128"/>
        <item x="366"/>
        <item x="378"/>
        <item x="352"/>
        <item x="127"/>
        <item x="287"/>
        <item x="191"/>
        <item x="71"/>
        <item x="182"/>
        <item x="225"/>
        <item x="451"/>
        <item x="608"/>
        <item x="116"/>
        <item x="283"/>
        <item x="421"/>
        <item x="527"/>
        <item x="163"/>
        <item x="362"/>
        <item x="22"/>
        <item x="211"/>
        <item x="185"/>
        <item x="349"/>
        <item x="357"/>
        <item x="105"/>
        <item x="231"/>
        <item x="232"/>
        <item x="577"/>
        <item x="512"/>
        <item x="623"/>
        <item x="347"/>
        <item x="59"/>
        <item x="575"/>
        <item x="566"/>
        <item x="333"/>
        <item x="327"/>
        <item x="1"/>
        <item x="453"/>
        <item x="250"/>
        <item x="187"/>
        <item x="626"/>
        <item x="428"/>
        <item x="175"/>
        <item x="514"/>
        <item x="299"/>
        <item x="379"/>
        <item x="459"/>
        <item x="323"/>
        <item x="545"/>
        <item x="460"/>
        <item x="442"/>
        <item x="416"/>
        <item x="588"/>
        <item x="220"/>
        <item x="58"/>
        <item x="77"/>
        <item x="367"/>
        <item x="454"/>
        <item x="12"/>
        <item x="27"/>
        <item x="131"/>
        <item x="78"/>
        <item x="201"/>
        <item x="487"/>
        <item x="9"/>
        <item x="522"/>
        <item x="384"/>
        <item x="244"/>
        <item x="289"/>
        <item x="98"/>
        <item x="153"/>
        <item x="311"/>
        <item x="32"/>
        <item x="36"/>
        <item x="69"/>
        <item x="547"/>
        <item x="254"/>
        <item x="610"/>
        <item x="385"/>
        <item x="44"/>
        <item x="318"/>
        <item x="207"/>
        <item x="108"/>
        <item x="587"/>
        <item x="21"/>
        <item x="90"/>
        <item x="600"/>
        <item x="405"/>
        <item x="174"/>
        <item x="612"/>
        <item x="101"/>
        <item x="406"/>
        <item x="360"/>
        <item x="436"/>
        <item x="115"/>
        <item x="241"/>
        <item x="43"/>
        <item x="151"/>
        <item x="609"/>
        <item x="420"/>
        <item x="60"/>
        <item x="177"/>
        <item x="34"/>
        <item x="257"/>
        <item x="315"/>
        <item x="591"/>
        <item x="255"/>
        <item x="401"/>
        <item x="262"/>
        <item x="396"/>
        <item x="480"/>
        <item x="95"/>
        <item x="338"/>
        <item x="592"/>
        <item x="489"/>
        <item x="141"/>
        <item x="429"/>
        <item x="621"/>
        <item x="569"/>
        <item x="414"/>
        <item x="427"/>
        <item x="488"/>
        <item x="507"/>
        <item x="282"/>
        <item x="435"/>
        <item x="139"/>
        <item x="474"/>
        <item x="518"/>
        <item x="346"/>
        <item x="476"/>
        <item x="122"/>
        <item x="369"/>
        <item x="530"/>
        <item x="208"/>
        <item x="598"/>
        <item x="130"/>
        <item x="73"/>
        <item x="147"/>
        <item x="439"/>
        <item x="529"/>
        <item x="317"/>
        <item x="31"/>
        <item x="64"/>
        <item x="40"/>
        <item x="135"/>
        <item x="54"/>
        <item x="67"/>
        <item x="41"/>
        <item x="386"/>
        <item x="272"/>
        <item x="619"/>
        <item x="216"/>
        <item x="494"/>
        <item x="117"/>
        <item x="133"/>
        <item x="605"/>
        <item x="348"/>
        <item x="146"/>
        <item x="542"/>
        <item x="240"/>
        <item x="324"/>
        <item x="516"/>
        <item x="230"/>
        <item x="394"/>
        <item x="578"/>
        <item x="617"/>
        <item x="102"/>
        <item x="440"/>
        <item x="511"/>
        <item x="375"/>
        <item x="549"/>
        <item x="601"/>
        <item x="49"/>
        <item x="356"/>
        <item x="309"/>
        <item x="355"/>
        <item x="524"/>
        <item x="265"/>
        <item x="170"/>
        <item x="197"/>
        <item x="194"/>
        <item x="213"/>
        <item x="335"/>
        <item x="123"/>
        <item x="7"/>
        <item x="540"/>
        <item x="359"/>
        <item x="149"/>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219"/>
        <item x="398"/>
        <item x="288"/>
        <item x="137"/>
        <item x="304"/>
        <item x="308"/>
        <item x="393"/>
        <item x="223"/>
        <item x="203"/>
        <item x="565"/>
        <item x="18"/>
        <item x="276"/>
        <item x="16"/>
        <item x="293"/>
        <item x="500"/>
        <item x="484"/>
        <item x="432"/>
        <item x="546"/>
        <item x="246"/>
        <item x="169"/>
        <item x="229"/>
        <item x="464"/>
        <item x="104"/>
        <item x="365"/>
        <item x="166"/>
        <item x="582"/>
        <item x="239"/>
        <item x="35"/>
        <item x="559"/>
        <item x="120"/>
        <item x="284"/>
        <item x="273"/>
        <item x="39"/>
        <item x="243"/>
        <item x="368"/>
        <item x="345"/>
        <item x="132"/>
        <item x="172"/>
        <item x="388"/>
        <item x="371"/>
        <item x="482"/>
        <item x="328"/>
        <item x="294"/>
        <item x="143"/>
        <item x="37"/>
        <item x="5"/>
        <item x="81"/>
        <item x="70"/>
        <item x="322"/>
        <item x="606"/>
        <item x="237"/>
        <item x="593"/>
        <item x="441"/>
        <item x="162"/>
        <item x="206"/>
        <item x="556"/>
        <item x="611"/>
        <item x="413"/>
        <item x="525"/>
        <item x="458"/>
        <item x="381"/>
        <item x="498"/>
        <item x="84"/>
        <item x="596"/>
        <item x="622"/>
        <item x="573"/>
        <item x="438"/>
        <item x="83"/>
        <item x="121"/>
        <item x="79"/>
        <item x="118"/>
        <item x="364"/>
        <item x="72"/>
        <item x="604"/>
        <item x="630"/>
        <item t="default"/>
      </items>
    </pivotField>
    <pivotField showAll="0"/>
    <pivotField showAll="0">
      <items count="6">
        <item x="3"/>
        <item x="2"/>
        <item x="0"/>
        <item x="1"/>
        <item x="4"/>
        <item t="default"/>
      </items>
    </pivotField>
    <pivotField showAll="0"/>
    <pivotField showAll="0"/>
    <pivotField showAll="0">
      <items count="5">
        <item x="2"/>
        <item x="1"/>
        <item x="0"/>
        <item x="3"/>
        <item t="default"/>
      </items>
    </pivotField>
    <pivotField showAll="0"/>
    <pivotField showAll="0"/>
    <pivotField showAll="0"/>
    <pivotField showAll="0"/>
    <pivotField axis="axisRow" showAll="0">
      <items count="7">
        <item x="0"/>
        <item x="4"/>
        <item x="1"/>
        <item x="2"/>
        <item x="3"/>
        <item h="1" x="5"/>
        <item t="default"/>
      </items>
    </pivotField>
    <pivotField showAll="0"/>
    <pivotField showAll="0">
      <items count="5">
        <item x="0"/>
        <item x="1"/>
        <item x="2"/>
        <item x="3"/>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Profit" fld="20" baseField="0" baseItem="0"/>
  </dataFields>
  <chartFormats count="21">
    <chartFormat chart="1"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2" count="1" selected="0">
            <x v="0"/>
          </reference>
        </references>
      </pivotArea>
    </chartFormat>
    <chartFormat chart="8" format="10">
      <pivotArea type="data" outline="0" fieldPosition="0">
        <references count="2">
          <reference field="4294967294" count="1" selected="0">
            <x v="0"/>
          </reference>
          <reference field="12" count="1" selected="0">
            <x v="1"/>
          </reference>
        </references>
      </pivotArea>
    </chartFormat>
    <chartFormat chart="8" format="11">
      <pivotArea type="data" outline="0" fieldPosition="0">
        <references count="2">
          <reference field="4294967294" count="1" selected="0">
            <x v="0"/>
          </reference>
          <reference field="12" count="1" selected="0">
            <x v="2"/>
          </reference>
        </references>
      </pivotArea>
    </chartFormat>
    <chartFormat chart="8" format="12">
      <pivotArea type="data" outline="0" fieldPosition="0">
        <references count="2">
          <reference field="4294967294" count="1" selected="0">
            <x v="0"/>
          </reference>
          <reference field="12" count="1" selected="0">
            <x v="3"/>
          </reference>
        </references>
      </pivotArea>
    </chartFormat>
    <chartFormat chart="8" format="13">
      <pivotArea type="data" outline="0" fieldPosition="0">
        <references count="2">
          <reference field="4294967294" count="1" selected="0">
            <x v="0"/>
          </reference>
          <reference field="12" count="1" selected="0">
            <x v="4"/>
          </reference>
        </references>
      </pivotArea>
    </chartFormat>
    <chartFormat chart="8" format="14">
      <pivotArea type="data" outline="0" fieldPosition="0">
        <references count="2">
          <reference field="4294967294" count="1" selected="0">
            <x v="0"/>
          </reference>
          <reference field="12" count="1" selected="0">
            <x v="5"/>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1" format="5">
      <pivotArea type="data" outline="0" fieldPosition="0">
        <references count="2">
          <reference field="4294967294" count="1" selected="0">
            <x v="0"/>
          </reference>
          <reference field="12" count="1" selected="0">
            <x v="4"/>
          </reference>
        </references>
      </pivotArea>
    </chartFormat>
    <chartFormat chart="1" format="6">
      <pivotArea type="data" outline="0" fieldPosition="0">
        <references count="2">
          <reference field="4294967294" count="1" selected="0">
            <x v="0"/>
          </reference>
          <reference field="12" count="1" selected="0">
            <x v="5"/>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12" count="1" selected="0">
            <x v="0"/>
          </reference>
        </references>
      </pivotArea>
    </chartFormat>
    <chartFormat chart="13" format="24">
      <pivotArea type="data" outline="0" fieldPosition="0">
        <references count="2">
          <reference field="4294967294" count="1" selected="0">
            <x v="0"/>
          </reference>
          <reference field="12" count="1" selected="0">
            <x v="1"/>
          </reference>
        </references>
      </pivotArea>
    </chartFormat>
    <chartFormat chart="13" format="25">
      <pivotArea type="data" outline="0" fieldPosition="0">
        <references count="2">
          <reference field="4294967294" count="1" selected="0">
            <x v="0"/>
          </reference>
          <reference field="12" count="1" selected="0">
            <x v="2"/>
          </reference>
        </references>
      </pivotArea>
    </chartFormat>
    <chartFormat chart="13" format="26">
      <pivotArea type="data" outline="0" fieldPosition="0">
        <references count="2">
          <reference field="4294967294" count="1" selected="0">
            <x v="0"/>
          </reference>
          <reference field="12" count="1" selected="0">
            <x v="3"/>
          </reference>
        </references>
      </pivotArea>
    </chartFormat>
    <chartFormat chart="13" format="27">
      <pivotArea type="data" outline="0" fieldPosition="0">
        <references count="2">
          <reference field="4294967294" count="1" selected="0">
            <x v="0"/>
          </reference>
          <reference field="12" count="1" selected="0">
            <x v="4"/>
          </reference>
        </references>
      </pivotArea>
    </chartFormat>
    <chartFormat chart="13" format="28">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125683-56F6-408C-872E-E76AD4AA9AB3}" sourceName="Category">
  <pivotTables>
    <pivotTable tabId="4" name="PivotTable2"/>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PivotTable9"/>
  </pivotTables>
  <data>
    <tabular pivotCacheId="104408377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4C2DB8F-668F-4A0B-BE0B-981427887CFE}" sourceName="Years (Order Date)">
  <pivotTables>
    <pivotTable tabId="4" name="PivotTable2"/>
    <pivotTable tabId="4" name="PivotTable11"/>
    <pivotTable tabId="4" name="PivotTable12"/>
    <pivotTable tabId="4" name="PivotTable4"/>
    <pivotTable tabId="4" name="PivotTable5"/>
    <pivotTable tabId="4" name="PivotTable6"/>
    <pivotTable tabId="4" name="PivotTable7"/>
    <pivotTable tabId="4" name="PivotTable8"/>
    <pivotTable tabId="4" name="PivotTable9"/>
  </pivotTables>
  <data>
    <tabular pivotCacheId="1044083772">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F7A1EF-BF68-4080-BF61-4D79E423C7F3}" sourceName="Region">
  <pivotTables>
    <pivotTable tabId="4" name="PivotTable2"/>
    <pivotTable tabId="4" name="PivotTable11"/>
    <pivotTable tabId="4" name="PivotTable12"/>
    <pivotTable tabId="4" name="PivotTable4"/>
    <pivotTable tabId="4" name="PivotTable5"/>
    <pivotTable tabId="4" name="PivotTable6"/>
    <pivotTable tabId="4" name="PivotTable7"/>
    <pivotTable tabId="4" name="PivotTable8"/>
    <pivotTable tabId="4" name="PivotTable9"/>
  </pivotTables>
  <data>
    <tabular pivotCacheId="1044083772">
      <items count="6">
        <i x="0" s="1"/>
        <i x="4" s="1"/>
        <i x="1" s="1"/>
        <i x="2" s="1"/>
        <i x="3"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D637E29-0188-47F1-814E-566C79916A0E}" sourceName="Segment">
  <pivotTables>
    <pivotTable tabId="4" name="PivotTable2"/>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PivotTable9"/>
  </pivotTables>
  <data>
    <tabular pivotCacheId="1044083772">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FBE70F1-5AF7-46D5-91E1-E20A969E73AD}" sourceName="Ship Mode">
  <pivotTables>
    <pivotTable tabId="4" name="PivotTable2"/>
    <pivotTable tabId="4" name="PivotTable11"/>
    <pivotTable tabId="4" name="PivotTable12"/>
    <pivotTable tabId="4" name="PivotTable3"/>
    <pivotTable tabId="4" name="PivotTable4"/>
    <pivotTable tabId="4" name="PivotTable7"/>
    <pivotTable tabId="4" name="PivotTable8"/>
    <pivotTable tabId="4" name="PivotTable9"/>
  </pivotTables>
  <data>
    <tabular pivotCacheId="1044083772">
      <items count="5">
        <i x="3" s="1"/>
        <i x="2" s="1"/>
        <i x="0" s="1"/>
        <i x="1"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3D55AB-BB73-4CD5-9466-5DEECFF98CA6}" cache="Slicer_Category" caption="Category" columnCount="2" style="SlicerStyleDark4" rowHeight="234950"/>
  <slicer name="Years (Order Date)" xr10:uid="{4DAE575A-7953-4D55-BC8C-610C295D9AC2}" cache="Slicer_Years__Order_Date" caption="Years (Order Date)" columnCount="2" style="SlicerStyleDark4" rowHeight="234950"/>
  <slicer name="Region" xr10:uid="{FD565394-D61C-45B2-BDFE-99FA9D164EF5}" cache="Slicer_Region" caption="Region" columnCount="2" style="SlicerStyleDark4" rowHeight="234950"/>
  <slicer name="Segment" xr10:uid="{7D5BA6E7-4A18-4524-A7F9-160DF6D7E803}" cache="Slicer_Segment" caption="Segment" columnCount="2" style="SlicerStyleDark4" rowHeight="234950"/>
  <slicer name="Ship Mode" xr10:uid="{60BE5A8E-7802-4289-A485-9691F6A7E2A7}" cache="Slicer_Ship_Mode" caption="Ship Mode" columnCount="2"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84A8507-44F0-46F4-9BFF-FA35F8667E55}" cache="Slicer_Category" caption="Category" columnCount="2" style="SlicerStyleDark4" rowHeight="234950"/>
  <slicer name="Years (Order Date) 1" xr10:uid="{D2B3DC5B-94A3-4E62-A1E8-A34EFA63F8D1}" cache="Slicer_Years__Order_Date" caption="Years (Order Date)" columnCount="2" style="SlicerStyleDark4" rowHeight="234950"/>
  <slicer name="Region 1" xr10:uid="{3F2022AF-2A31-4826-89E8-A6AB8E20EAA8}" cache="Slicer_Region" caption="Region" columnCount="2" style="SlicerStyleDark4" rowHeight="234950"/>
  <slicer name="Segment 1" xr10:uid="{33BF15A9-22E2-4252-9BB4-AAF3C6D1566B}" cache="Slicer_Segment" caption="Segment" columnCount="2" style="SlicerStyleDark4" rowHeight="234950"/>
  <slicer name="Ship Mode 1" xr10:uid="{46FF37AD-C443-4FAF-AE58-915440569E97}" cache="Slicer_Ship_Mode" caption="Ship Mode" columnCount="2"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zoomScale="53" zoomScaleNormal="69" workbookViewId="0">
      <selection activeCell="Y24" sqref="Y24"/>
    </sheetView>
  </sheetViews>
  <sheetFormatPr defaultRowHeight="14.4" x14ac:dyDescent="0.3"/>
  <cols>
    <col min="1" max="1" width="9.5546875" bestFit="1" customWidth="1"/>
    <col min="2" max="2" width="19.5546875" bestFit="1" customWidth="1"/>
    <col min="3" max="4" width="23.21875" bestFit="1" customWidth="1"/>
    <col min="5" max="5" width="16" bestFit="1" customWidth="1"/>
    <col min="6" max="6" width="15.6640625" bestFit="1" customWidth="1"/>
    <col min="7" max="7" width="20" bestFit="1" customWidth="1"/>
    <col min="8" max="8" width="13.33203125" bestFit="1" customWidth="1"/>
    <col min="9" max="9" width="10.77734375" bestFit="1" customWidth="1"/>
    <col min="10" max="11" width="12.109375" bestFit="1" customWidth="1"/>
    <col min="12" max="12" width="15.88671875" bestFit="1" customWidth="1"/>
    <col min="13" max="13" width="10" bestFit="1" customWidth="1"/>
    <col min="14" max="14" width="14" bestFit="1" customWidth="1"/>
    <col min="15" max="15" width="16" bestFit="1" customWidth="1"/>
    <col min="16" max="16" width="18.33203125" bestFit="1" customWidth="1"/>
    <col min="17" max="17" width="26.109375" bestFit="1" customWidth="1"/>
    <col min="18" max="18" width="10.21875" bestFit="1" customWidth="1"/>
    <col min="19" max="19" width="11.6640625" bestFit="1" customWidth="1"/>
    <col min="20" max="20" width="12.109375" bestFit="1" customWidth="1"/>
    <col min="21" max="21" width="10"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45394</v>
      </c>
      <c r="D2" s="2">
        <v>45397</v>
      </c>
      <c r="E2" t="s">
        <v>1521</v>
      </c>
      <c r="F2" t="s">
        <v>1525</v>
      </c>
      <c r="G2" t="s">
        <v>1920</v>
      </c>
      <c r="H2" t="s">
        <v>2314</v>
      </c>
      <c r="I2" t="s">
        <v>2317</v>
      </c>
      <c r="J2" t="s">
        <v>2318</v>
      </c>
      <c r="K2" t="s">
        <v>2318</v>
      </c>
      <c r="L2">
        <v>272502</v>
      </c>
      <c r="M2" t="s">
        <v>2328</v>
      </c>
      <c r="N2" t="s">
        <v>2333</v>
      </c>
      <c r="O2" t="s">
        <v>3053</v>
      </c>
      <c r="P2" t="s">
        <v>3056</v>
      </c>
      <c r="Q2" t="s">
        <v>3068</v>
      </c>
      <c r="R2">
        <v>364.26</v>
      </c>
      <c r="S2">
        <v>4</v>
      </c>
      <c r="T2">
        <v>0.15</v>
      </c>
      <c r="U2">
        <v>44.32</v>
      </c>
    </row>
    <row r="3" spans="1:21" x14ac:dyDescent="0.3">
      <c r="A3">
        <v>2</v>
      </c>
      <c r="B3" t="s">
        <v>22</v>
      </c>
      <c r="C3" s="2">
        <v>45727</v>
      </c>
      <c r="D3" s="2">
        <v>45730</v>
      </c>
      <c r="E3" t="s">
        <v>1522</v>
      </c>
      <c r="F3" t="s">
        <v>1526</v>
      </c>
      <c r="G3" t="s">
        <v>1921</v>
      </c>
      <c r="H3" t="s">
        <v>2314</v>
      </c>
      <c r="I3" t="s">
        <v>2317</v>
      </c>
      <c r="J3" t="s">
        <v>2319</v>
      </c>
      <c r="K3" t="s">
        <v>2319</v>
      </c>
      <c r="L3">
        <v>235370</v>
      </c>
      <c r="M3" t="s">
        <v>2329</v>
      </c>
      <c r="N3" t="s">
        <v>2334</v>
      </c>
      <c r="O3" t="s">
        <v>3054</v>
      </c>
      <c r="P3" t="s">
        <v>3057</v>
      </c>
      <c r="Q3" t="s">
        <v>3069</v>
      </c>
      <c r="R3">
        <v>276.76</v>
      </c>
      <c r="S3">
        <v>3</v>
      </c>
      <c r="T3">
        <v>0.3</v>
      </c>
      <c r="U3">
        <v>24.4</v>
      </c>
    </row>
    <row r="4" spans="1:21" x14ac:dyDescent="0.3">
      <c r="A4">
        <v>3</v>
      </c>
      <c r="B4" t="s">
        <v>23</v>
      </c>
      <c r="C4" s="2">
        <v>45562</v>
      </c>
      <c r="D4" s="2">
        <v>45564</v>
      </c>
      <c r="E4" t="s">
        <v>1522</v>
      </c>
      <c r="F4" t="s">
        <v>1527</v>
      </c>
      <c r="G4" t="s">
        <v>1922</v>
      </c>
      <c r="H4" t="s">
        <v>2315</v>
      </c>
      <c r="I4" t="s">
        <v>2317</v>
      </c>
      <c r="J4" t="s">
        <v>2320</v>
      </c>
      <c r="K4" t="s">
        <v>2320</v>
      </c>
      <c r="L4">
        <v>517216</v>
      </c>
      <c r="M4" t="s">
        <v>2330</v>
      </c>
      <c r="N4" t="s">
        <v>2335</v>
      </c>
      <c r="O4" t="s">
        <v>3054</v>
      </c>
      <c r="P4" t="s">
        <v>3057</v>
      </c>
      <c r="Q4" t="s">
        <v>3070</v>
      </c>
      <c r="R4">
        <v>41.01</v>
      </c>
      <c r="S4">
        <v>5</v>
      </c>
      <c r="T4">
        <v>0.4</v>
      </c>
      <c r="U4">
        <v>-4.07</v>
      </c>
    </row>
    <row r="5" spans="1:21" x14ac:dyDescent="0.3">
      <c r="A5">
        <v>4</v>
      </c>
      <c r="B5" t="s">
        <v>24</v>
      </c>
      <c r="C5" s="2">
        <v>45398</v>
      </c>
      <c r="D5" s="2">
        <v>45403</v>
      </c>
      <c r="E5" t="s">
        <v>1521</v>
      </c>
      <c r="F5" t="s">
        <v>1528</v>
      </c>
      <c r="G5" t="s">
        <v>1923</v>
      </c>
      <c r="H5" t="s">
        <v>2315</v>
      </c>
      <c r="I5" t="s">
        <v>2317</v>
      </c>
      <c r="J5" t="s">
        <v>2318</v>
      </c>
      <c r="K5" t="s">
        <v>2318</v>
      </c>
      <c r="L5">
        <v>741480</v>
      </c>
      <c r="M5" t="s">
        <v>2328</v>
      </c>
      <c r="N5" t="s">
        <v>2336</v>
      </c>
      <c r="O5" t="s">
        <v>3054</v>
      </c>
      <c r="P5" t="s">
        <v>3058</v>
      </c>
      <c r="Q5" t="s">
        <v>3071</v>
      </c>
      <c r="R5">
        <v>94.59</v>
      </c>
      <c r="S5">
        <v>7</v>
      </c>
      <c r="T5">
        <v>0.1</v>
      </c>
      <c r="U5">
        <v>-19.22</v>
      </c>
    </row>
    <row r="6" spans="1:21" x14ac:dyDescent="0.3">
      <c r="A6">
        <v>5</v>
      </c>
      <c r="B6" t="s">
        <v>25</v>
      </c>
      <c r="C6" s="2">
        <v>45363</v>
      </c>
      <c r="D6" s="2">
        <v>45364</v>
      </c>
      <c r="E6" t="s">
        <v>1522</v>
      </c>
      <c r="F6" t="s">
        <v>1529</v>
      </c>
      <c r="G6" t="s">
        <v>1924</v>
      </c>
      <c r="H6" t="s">
        <v>2316</v>
      </c>
      <c r="I6" t="s">
        <v>2317</v>
      </c>
      <c r="J6" t="s">
        <v>2319</v>
      </c>
      <c r="K6" t="s">
        <v>2319</v>
      </c>
      <c r="L6">
        <v>962318</v>
      </c>
      <c r="M6" t="s">
        <v>2329</v>
      </c>
      <c r="N6" t="s">
        <v>2337</v>
      </c>
      <c r="O6" t="s">
        <v>3055</v>
      </c>
      <c r="P6" t="s">
        <v>3059</v>
      </c>
      <c r="Q6" t="s">
        <v>3072</v>
      </c>
      <c r="R6">
        <v>240.92</v>
      </c>
      <c r="S6">
        <v>5</v>
      </c>
      <c r="T6">
        <v>0.05</v>
      </c>
      <c r="U6">
        <v>21.43</v>
      </c>
    </row>
    <row r="7" spans="1:21" x14ac:dyDescent="0.3">
      <c r="A7">
        <v>6</v>
      </c>
      <c r="B7" t="s">
        <v>26</v>
      </c>
      <c r="C7" s="2">
        <v>45992</v>
      </c>
      <c r="D7" s="2">
        <v>45997</v>
      </c>
      <c r="E7" t="s">
        <v>1523</v>
      </c>
      <c r="F7" t="s">
        <v>1530</v>
      </c>
      <c r="G7" t="s">
        <v>1925</v>
      </c>
      <c r="H7" t="s">
        <v>2314</v>
      </c>
      <c r="I7" t="s">
        <v>2317</v>
      </c>
      <c r="J7" t="s">
        <v>2318</v>
      </c>
      <c r="K7" t="s">
        <v>2318</v>
      </c>
      <c r="L7">
        <v>220592</v>
      </c>
      <c r="M7" t="s">
        <v>2328</v>
      </c>
      <c r="N7" t="s">
        <v>2338</v>
      </c>
      <c r="O7" t="s">
        <v>3055</v>
      </c>
      <c r="P7" t="s">
        <v>3060</v>
      </c>
      <c r="Q7" t="s">
        <v>3073</v>
      </c>
      <c r="R7">
        <v>418.01</v>
      </c>
      <c r="S7">
        <v>6</v>
      </c>
      <c r="T7">
        <v>0</v>
      </c>
      <c r="U7">
        <v>77.959999999999994</v>
      </c>
    </row>
    <row r="8" spans="1:21" x14ac:dyDescent="0.3">
      <c r="A8">
        <v>7</v>
      </c>
      <c r="B8" t="s">
        <v>27</v>
      </c>
      <c r="C8" s="2">
        <v>45312</v>
      </c>
      <c r="D8" s="2">
        <v>45315</v>
      </c>
      <c r="E8" t="s">
        <v>1521</v>
      </c>
      <c r="F8" t="s">
        <v>1531</v>
      </c>
      <c r="G8" t="s">
        <v>1926</v>
      </c>
      <c r="H8" t="s">
        <v>2316</v>
      </c>
      <c r="I8" t="s">
        <v>2317</v>
      </c>
      <c r="J8" t="s">
        <v>2321</v>
      </c>
      <c r="K8" t="s">
        <v>2321</v>
      </c>
      <c r="L8">
        <v>342318</v>
      </c>
      <c r="M8" t="s">
        <v>2329</v>
      </c>
      <c r="N8" t="s">
        <v>2339</v>
      </c>
      <c r="O8" t="s">
        <v>3054</v>
      </c>
      <c r="P8" t="s">
        <v>3057</v>
      </c>
      <c r="Q8" t="s">
        <v>3074</v>
      </c>
      <c r="R8">
        <v>60.08</v>
      </c>
      <c r="S8">
        <v>1</v>
      </c>
      <c r="T8">
        <v>0.3</v>
      </c>
      <c r="U8">
        <v>26.92</v>
      </c>
    </row>
    <row r="9" spans="1:21" x14ac:dyDescent="0.3">
      <c r="A9">
        <v>8</v>
      </c>
      <c r="B9" t="s">
        <v>28</v>
      </c>
      <c r="C9" s="2">
        <v>45906</v>
      </c>
      <c r="D9" s="2">
        <v>45909</v>
      </c>
      <c r="E9" t="s">
        <v>1521</v>
      </c>
      <c r="F9" t="s">
        <v>1532</v>
      </c>
      <c r="G9" t="s">
        <v>1927</v>
      </c>
      <c r="H9" t="s">
        <v>2315</v>
      </c>
      <c r="I9" t="s">
        <v>2317</v>
      </c>
      <c r="J9" t="s">
        <v>2322</v>
      </c>
      <c r="K9" t="s">
        <v>2322</v>
      </c>
      <c r="L9">
        <v>908985</v>
      </c>
      <c r="M9" t="s">
        <v>2331</v>
      </c>
      <c r="N9" t="s">
        <v>2340</v>
      </c>
      <c r="O9" t="s">
        <v>3054</v>
      </c>
      <c r="P9" t="s">
        <v>3057</v>
      </c>
      <c r="Q9" t="s">
        <v>3075</v>
      </c>
      <c r="R9">
        <v>45.45</v>
      </c>
      <c r="S9">
        <v>1</v>
      </c>
      <c r="T9">
        <v>0</v>
      </c>
      <c r="U9">
        <v>-8.31</v>
      </c>
    </row>
    <row r="10" spans="1:21" x14ac:dyDescent="0.3">
      <c r="A10">
        <v>9</v>
      </c>
      <c r="B10" t="s">
        <v>29</v>
      </c>
      <c r="C10" s="2">
        <v>45413</v>
      </c>
      <c r="D10" s="2">
        <v>45416</v>
      </c>
      <c r="E10" t="s">
        <v>1522</v>
      </c>
      <c r="F10" t="s">
        <v>1533</v>
      </c>
      <c r="G10" t="s">
        <v>1928</v>
      </c>
      <c r="H10" t="s">
        <v>2314</v>
      </c>
      <c r="I10" t="s">
        <v>2317</v>
      </c>
      <c r="J10" t="s">
        <v>2323</v>
      </c>
      <c r="K10" t="s">
        <v>2323</v>
      </c>
      <c r="L10">
        <v>901151</v>
      </c>
      <c r="M10" t="s">
        <v>2328</v>
      </c>
      <c r="N10" t="s">
        <v>2341</v>
      </c>
      <c r="O10" t="s">
        <v>3055</v>
      </c>
      <c r="P10" t="s">
        <v>3059</v>
      </c>
      <c r="Q10" t="s">
        <v>3076</v>
      </c>
      <c r="R10">
        <v>575.35</v>
      </c>
      <c r="S10">
        <v>4</v>
      </c>
      <c r="T10">
        <v>0.15</v>
      </c>
      <c r="U10">
        <v>13.56</v>
      </c>
    </row>
    <row r="11" spans="1:21" x14ac:dyDescent="0.3">
      <c r="A11">
        <v>10</v>
      </c>
      <c r="B11" t="s">
        <v>30</v>
      </c>
      <c r="C11" s="2">
        <v>45758</v>
      </c>
      <c r="D11" s="2">
        <v>45761</v>
      </c>
      <c r="E11" t="s">
        <v>1523</v>
      </c>
      <c r="F11" t="s">
        <v>1534</v>
      </c>
      <c r="G11" t="s">
        <v>1929</v>
      </c>
      <c r="H11" t="s">
        <v>2316</v>
      </c>
      <c r="I11" t="s">
        <v>2317</v>
      </c>
      <c r="J11" t="s">
        <v>2320</v>
      </c>
      <c r="K11" t="s">
        <v>2320</v>
      </c>
      <c r="L11">
        <v>909340</v>
      </c>
      <c r="M11" t="s">
        <v>2330</v>
      </c>
      <c r="N11" t="s">
        <v>2342</v>
      </c>
      <c r="O11" t="s">
        <v>3055</v>
      </c>
      <c r="P11" t="s">
        <v>3061</v>
      </c>
      <c r="Q11" t="s">
        <v>3077</v>
      </c>
      <c r="R11">
        <v>304.06</v>
      </c>
      <c r="S11">
        <v>3</v>
      </c>
      <c r="T11">
        <v>0.15</v>
      </c>
      <c r="U11">
        <v>7.81</v>
      </c>
    </row>
    <row r="12" spans="1:21" x14ac:dyDescent="0.3">
      <c r="A12">
        <v>11</v>
      </c>
      <c r="B12" t="s">
        <v>31</v>
      </c>
      <c r="C12" s="2">
        <v>45506</v>
      </c>
      <c r="D12" s="2">
        <v>45509</v>
      </c>
      <c r="E12" t="s">
        <v>1521</v>
      </c>
      <c r="F12" t="s">
        <v>1535</v>
      </c>
      <c r="G12" t="s">
        <v>1930</v>
      </c>
      <c r="H12" t="s">
        <v>2315</v>
      </c>
      <c r="I12" t="s">
        <v>2317</v>
      </c>
      <c r="J12" t="s">
        <v>2320</v>
      </c>
      <c r="K12" t="s">
        <v>2320</v>
      </c>
      <c r="L12">
        <v>693731</v>
      </c>
      <c r="M12" t="s">
        <v>2330</v>
      </c>
      <c r="N12" t="s">
        <v>2343</v>
      </c>
      <c r="O12" t="s">
        <v>3053</v>
      </c>
      <c r="P12" t="s">
        <v>3062</v>
      </c>
      <c r="Q12" t="s">
        <v>3078</v>
      </c>
      <c r="R12">
        <v>182.38</v>
      </c>
      <c r="S12">
        <v>2</v>
      </c>
      <c r="T12">
        <v>0.1</v>
      </c>
      <c r="U12">
        <v>-9.56</v>
      </c>
    </row>
    <row r="13" spans="1:21" x14ac:dyDescent="0.3">
      <c r="A13">
        <v>12</v>
      </c>
      <c r="B13" t="s">
        <v>32</v>
      </c>
      <c r="C13" s="2">
        <v>45622</v>
      </c>
      <c r="D13" s="2">
        <v>45625</v>
      </c>
      <c r="E13" t="s">
        <v>1521</v>
      </c>
      <c r="F13" t="s">
        <v>1536</v>
      </c>
      <c r="G13" t="s">
        <v>1931</v>
      </c>
      <c r="H13" t="s">
        <v>2314</v>
      </c>
      <c r="I13" t="s">
        <v>2317</v>
      </c>
      <c r="J13" t="s">
        <v>2324</v>
      </c>
      <c r="K13" t="s">
        <v>2324</v>
      </c>
      <c r="L13">
        <v>276298</v>
      </c>
      <c r="M13" t="s">
        <v>2330</v>
      </c>
      <c r="N13" t="s">
        <v>2344</v>
      </c>
      <c r="O13" t="s">
        <v>3054</v>
      </c>
      <c r="P13" t="s">
        <v>3063</v>
      </c>
      <c r="Q13" t="s">
        <v>3079</v>
      </c>
      <c r="R13">
        <v>36.68</v>
      </c>
      <c r="S13">
        <v>4</v>
      </c>
      <c r="T13">
        <v>0.3</v>
      </c>
      <c r="U13">
        <v>-6.76</v>
      </c>
    </row>
    <row r="14" spans="1:21" x14ac:dyDescent="0.3">
      <c r="A14">
        <v>13</v>
      </c>
      <c r="B14" t="s">
        <v>33</v>
      </c>
      <c r="C14" s="2">
        <v>45750</v>
      </c>
      <c r="D14" s="2">
        <v>45753</v>
      </c>
      <c r="E14" t="s">
        <v>1521</v>
      </c>
      <c r="F14" t="s">
        <v>1537</v>
      </c>
      <c r="G14" t="s">
        <v>1932</v>
      </c>
      <c r="H14" t="s">
        <v>2315</v>
      </c>
      <c r="I14" t="s">
        <v>2317</v>
      </c>
      <c r="J14" t="s">
        <v>2325</v>
      </c>
      <c r="K14" t="s">
        <v>2325</v>
      </c>
      <c r="L14">
        <v>924516</v>
      </c>
      <c r="M14" t="s">
        <v>2332</v>
      </c>
      <c r="N14" t="s">
        <v>2345</v>
      </c>
      <c r="O14" t="s">
        <v>3055</v>
      </c>
      <c r="P14" t="s">
        <v>3061</v>
      </c>
      <c r="Q14" t="s">
        <v>3080</v>
      </c>
      <c r="R14">
        <v>405.19</v>
      </c>
      <c r="S14">
        <v>2</v>
      </c>
      <c r="T14">
        <v>0.15</v>
      </c>
      <c r="U14">
        <v>48.72</v>
      </c>
    </row>
    <row r="15" spans="1:21" x14ac:dyDescent="0.3">
      <c r="A15">
        <v>14</v>
      </c>
      <c r="B15" t="s">
        <v>34</v>
      </c>
      <c r="C15" s="2">
        <v>45379</v>
      </c>
      <c r="D15" s="2">
        <v>45382</v>
      </c>
      <c r="E15" t="s">
        <v>1521</v>
      </c>
      <c r="F15" t="s">
        <v>1538</v>
      </c>
      <c r="G15" t="s">
        <v>1933</v>
      </c>
      <c r="H15" t="s">
        <v>2316</v>
      </c>
      <c r="I15" t="s">
        <v>2317</v>
      </c>
      <c r="J15" t="s">
        <v>2321</v>
      </c>
      <c r="K15" t="s">
        <v>2321</v>
      </c>
      <c r="L15">
        <v>193078</v>
      </c>
      <c r="M15" t="s">
        <v>2329</v>
      </c>
      <c r="N15" t="s">
        <v>2346</v>
      </c>
      <c r="O15" t="s">
        <v>3053</v>
      </c>
      <c r="P15" t="s">
        <v>3062</v>
      </c>
      <c r="Q15" t="s">
        <v>3081</v>
      </c>
      <c r="R15">
        <v>181.19</v>
      </c>
      <c r="S15">
        <v>2</v>
      </c>
      <c r="T15">
        <v>0.2</v>
      </c>
      <c r="U15">
        <v>6.85</v>
      </c>
    </row>
    <row r="16" spans="1:21" x14ac:dyDescent="0.3">
      <c r="A16">
        <v>15</v>
      </c>
      <c r="B16" t="s">
        <v>35</v>
      </c>
      <c r="C16" s="2">
        <v>45664</v>
      </c>
      <c r="D16" s="2">
        <v>45669</v>
      </c>
      <c r="E16" t="s">
        <v>1521</v>
      </c>
      <c r="F16" t="s">
        <v>1539</v>
      </c>
      <c r="G16" t="s">
        <v>1934</v>
      </c>
      <c r="H16" t="s">
        <v>2314</v>
      </c>
      <c r="I16" t="s">
        <v>2317</v>
      </c>
      <c r="J16" t="s">
        <v>2321</v>
      </c>
      <c r="K16" t="s">
        <v>2321</v>
      </c>
      <c r="L16">
        <v>440414</v>
      </c>
      <c r="M16" t="s">
        <v>2329</v>
      </c>
      <c r="N16" t="s">
        <v>2347</v>
      </c>
      <c r="O16" t="s">
        <v>3054</v>
      </c>
      <c r="P16" t="s">
        <v>3064</v>
      </c>
      <c r="Q16" t="s">
        <v>3082</v>
      </c>
      <c r="R16">
        <v>97.58</v>
      </c>
      <c r="S16">
        <v>2</v>
      </c>
      <c r="T16">
        <v>0.1</v>
      </c>
      <c r="U16">
        <v>-28.12</v>
      </c>
    </row>
    <row r="17" spans="1:21" x14ac:dyDescent="0.3">
      <c r="A17">
        <v>16</v>
      </c>
      <c r="B17" t="s">
        <v>36</v>
      </c>
      <c r="C17" s="2">
        <v>45391</v>
      </c>
      <c r="D17" s="2">
        <v>45393</v>
      </c>
      <c r="E17" t="s">
        <v>1523</v>
      </c>
      <c r="F17" t="s">
        <v>1540</v>
      </c>
      <c r="G17" t="s">
        <v>1935</v>
      </c>
      <c r="H17" t="s">
        <v>2315</v>
      </c>
      <c r="I17" t="s">
        <v>2317</v>
      </c>
      <c r="J17" t="s">
        <v>2326</v>
      </c>
      <c r="K17" t="s">
        <v>2326</v>
      </c>
      <c r="L17">
        <v>445280</v>
      </c>
      <c r="M17" t="s">
        <v>2331</v>
      </c>
      <c r="N17" t="s">
        <v>2348</v>
      </c>
      <c r="O17" t="s">
        <v>3055</v>
      </c>
      <c r="P17" t="s">
        <v>3061</v>
      </c>
      <c r="Q17" t="s">
        <v>3083</v>
      </c>
      <c r="R17">
        <v>175.1</v>
      </c>
      <c r="S17">
        <v>1</v>
      </c>
      <c r="T17">
        <v>0.1</v>
      </c>
      <c r="U17">
        <v>48.21</v>
      </c>
    </row>
    <row r="18" spans="1:21" x14ac:dyDescent="0.3">
      <c r="A18">
        <v>17</v>
      </c>
      <c r="B18" t="s">
        <v>37</v>
      </c>
      <c r="C18" s="2">
        <v>45955</v>
      </c>
      <c r="D18" s="2">
        <v>45957</v>
      </c>
      <c r="E18" t="s">
        <v>1521</v>
      </c>
      <c r="F18" t="s">
        <v>1541</v>
      </c>
      <c r="G18" t="s">
        <v>1936</v>
      </c>
      <c r="H18" t="s">
        <v>2314</v>
      </c>
      <c r="I18" t="s">
        <v>2317</v>
      </c>
      <c r="J18" t="s">
        <v>2318</v>
      </c>
      <c r="K18" t="s">
        <v>2318</v>
      </c>
      <c r="L18">
        <v>834276</v>
      </c>
      <c r="M18" t="s">
        <v>2328</v>
      </c>
      <c r="N18" t="s">
        <v>2349</v>
      </c>
      <c r="O18" t="s">
        <v>3055</v>
      </c>
      <c r="P18" t="s">
        <v>3060</v>
      </c>
      <c r="Q18" t="s">
        <v>3084</v>
      </c>
      <c r="R18">
        <v>76.58</v>
      </c>
      <c r="S18">
        <v>3</v>
      </c>
      <c r="T18">
        <v>0.1</v>
      </c>
      <c r="U18">
        <v>-26.13</v>
      </c>
    </row>
    <row r="19" spans="1:21" x14ac:dyDescent="0.3">
      <c r="A19">
        <v>18</v>
      </c>
      <c r="B19" t="s">
        <v>38</v>
      </c>
      <c r="C19" s="2">
        <v>45422</v>
      </c>
      <c r="D19" s="2">
        <v>45426</v>
      </c>
      <c r="E19" t="s">
        <v>1521</v>
      </c>
      <c r="F19" t="s">
        <v>1542</v>
      </c>
      <c r="G19" t="s">
        <v>1937</v>
      </c>
      <c r="H19" t="s">
        <v>2314</v>
      </c>
      <c r="I19" t="s">
        <v>2317</v>
      </c>
      <c r="J19" t="s">
        <v>2325</v>
      </c>
      <c r="K19" t="s">
        <v>2325</v>
      </c>
      <c r="L19">
        <v>237854</v>
      </c>
      <c r="M19" t="s">
        <v>2332</v>
      </c>
      <c r="N19" t="s">
        <v>2350</v>
      </c>
      <c r="O19" t="s">
        <v>3054</v>
      </c>
      <c r="P19" t="s">
        <v>3064</v>
      </c>
      <c r="Q19" t="s">
        <v>3085</v>
      </c>
      <c r="R19">
        <v>64.650000000000006</v>
      </c>
      <c r="S19">
        <v>9</v>
      </c>
      <c r="T19">
        <v>0.1</v>
      </c>
      <c r="U19">
        <v>-0.38</v>
      </c>
    </row>
    <row r="20" spans="1:21" x14ac:dyDescent="0.3">
      <c r="A20">
        <v>19</v>
      </c>
      <c r="B20" t="s">
        <v>39</v>
      </c>
      <c r="C20" s="2">
        <v>45953</v>
      </c>
      <c r="D20" s="2">
        <v>45957</v>
      </c>
      <c r="E20" t="s">
        <v>1521</v>
      </c>
      <c r="F20" t="s">
        <v>1543</v>
      </c>
      <c r="G20" t="s">
        <v>1938</v>
      </c>
      <c r="H20" t="s">
        <v>2314</v>
      </c>
      <c r="I20" t="s">
        <v>2317</v>
      </c>
      <c r="J20" t="s">
        <v>2322</v>
      </c>
      <c r="K20" t="s">
        <v>2322</v>
      </c>
      <c r="L20">
        <v>578928</v>
      </c>
      <c r="M20" t="s">
        <v>2331</v>
      </c>
      <c r="N20" t="s">
        <v>2351</v>
      </c>
      <c r="O20" t="s">
        <v>3054</v>
      </c>
      <c r="P20" t="s">
        <v>3058</v>
      </c>
      <c r="Q20" t="s">
        <v>3086</v>
      </c>
      <c r="R20">
        <v>54.9</v>
      </c>
      <c r="S20">
        <v>4</v>
      </c>
      <c r="T20">
        <v>0.1</v>
      </c>
      <c r="U20">
        <v>1.24</v>
      </c>
    </row>
    <row r="21" spans="1:21" x14ac:dyDescent="0.3">
      <c r="A21">
        <v>20</v>
      </c>
      <c r="B21" t="s">
        <v>40</v>
      </c>
      <c r="C21" s="2">
        <v>45600</v>
      </c>
      <c r="D21" s="2">
        <v>45603</v>
      </c>
      <c r="E21" t="s">
        <v>1521</v>
      </c>
      <c r="F21" t="s">
        <v>1544</v>
      </c>
      <c r="G21" t="s">
        <v>1939</v>
      </c>
      <c r="H21" t="s">
        <v>2315</v>
      </c>
      <c r="I21" t="s">
        <v>2317</v>
      </c>
      <c r="J21" t="s">
        <v>2322</v>
      </c>
      <c r="K21" t="s">
        <v>2322</v>
      </c>
      <c r="L21">
        <v>621144</v>
      </c>
      <c r="M21" t="s">
        <v>2331</v>
      </c>
      <c r="N21" t="s">
        <v>2352</v>
      </c>
      <c r="O21" t="s">
        <v>3055</v>
      </c>
      <c r="P21" t="s">
        <v>3059</v>
      </c>
      <c r="Q21" t="s">
        <v>3087</v>
      </c>
      <c r="R21">
        <v>237.91</v>
      </c>
      <c r="S21">
        <v>9</v>
      </c>
      <c r="T21">
        <v>0</v>
      </c>
      <c r="U21">
        <v>35.409999999999997</v>
      </c>
    </row>
    <row r="22" spans="1:21" x14ac:dyDescent="0.3">
      <c r="A22">
        <v>21</v>
      </c>
      <c r="B22" t="s">
        <v>41</v>
      </c>
      <c r="C22" s="2">
        <v>45635</v>
      </c>
      <c r="D22" s="2">
        <v>45639</v>
      </c>
      <c r="E22" t="s">
        <v>1524</v>
      </c>
      <c r="F22" t="s">
        <v>1545</v>
      </c>
      <c r="G22" t="s">
        <v>1940</v>
      </c>
      <c r="H22" t="s">
        <v>2314</v>
      </c>
      <c r="I22" t="s">
        <v>2317</v>
      </c>
      <c r="J22" t="s">
        <v>2321</v>
      </c>
      <c r="K22" t="s">
        <v>2321</v>
      </c>
      <c r="L22">
        <v>374349</v>
      </c>
      <c r="M22" t="s">
        <v>2329</v>
      </c>
      <c r="N22" t="s">
        <v>2353</v>
      </c>
      <c r="O22" t="s">
        <v>3053</v>
      </c>
      <c r="P22" t="s">
        <v>3062</v>
      </c>
      <c r="Q22" t="s">
        <v>3088</v>
      </c>
      <c r="R22">
        <v>225.99</v>
      </c>
      <c r="S22">
        <v>4</v>
      </c>
      <c r="T22">
        <v>0.1</v>
      </c>
      <c r="U22">
        <v>23.5</v>
      </c>
    </row>
    <row r="23" spans="1:21" x14ac:dyDescent="0.3">
      <c r="A23">
        <v>22</v>
      </c>
      <c r="B23" t="s">
        <v>42</v>
      </c>
      <c r="C23" s="2">
        <v>45783</v>
      </c>
      <c r="D23" s="2">
        <v>45785</v>
      </c>
      <c r="E23" t="s">
        <v>1521</v>
      </c>
      <c r="F23" t="s">
        <v>1546</v>
      </c>
      <c r="G23" t="s">
        <v>1941</v>
      </c>
      <c r="H23" t="s">
        <v>2315</v>
      </c>
      <c r="I23" t="s">
        <v>2317</v>
      </c>
      <c r="J23" t="s">
        <v>2322</v>
      </c>
      <c r="K23" t="s">
        <v>2322</v>
      </c>
      <c r="L23">
        <v>323068</v>
      </c>
      <c r="M23" t="s">
        <v>2331</v>
      </c>
      <c r="N23" t="s">
        <v>2354</v>
      </c>
      <c r="O23" t="s">
        <v>3053</v>
      </c>
      <c r="P23" t="s">
        <v>3065</v>
      </c>
      <c r="Q23" t="s">
        <v>3089</v>
      </c>
      <c r="R23">
        <v>139.58000000000001</v>
      </c>
      <c r="S23">
        <v>1</v>
      </c>
      <c r="T23">
        <v>0.1</v>
      </c>
      <c r="U23">
        <v>-19.010000000000002</v>
      </c>
    </row>
    <row r="24" spans="1:21" x14ac:dyDescent="0.3">
      <c r="A24">
        <v>23</v>
      </c>
      <c r="B24" t="s">
        <v>43</v>
      </c>
      <c r="C24" s="2">
        <v>45705</v>
      </c>
      <c r="D24" s="2">
        <v>45708</v>
      </c>
      <c r="E24" t="s">
        <v>1522</v>
      </c>
      <c r="F24" t="s">
        <v>1547</v>
      </c>
      <c r="G24" t="s">
        <v>1942</v>
      </c>
      <c r="H24" t="s">
        <v>2314</v>
      </c>
      <c r="I24" t="s">
        <v>2317</v>
      </c>
      <c r="J24" t="s">
        <v>2324</v>
      </c>
      <c r="K24" t="s">
        <v>2324</v>
      </c>
      <c r="L24">
        <v>276355</v>
      </c>
      <c r="M24" t="s">
        <v>2330</v>
      </c>
      <c r="N24" t="s">
        <v>2355</v>
      </c>
      <c r="O24" t="s">
        <v>3053</v>
      </c>
      <c r="P24" t="s">
        <v>3065</v>
      </c>
      <c r="Q24" t="s">
        <v>3090</v>
      </c>
      <c r="R24">
        <v>341.69</v>
      </c>
      <c r="S24">
        <v>7</v>
      </c>
      <c r="T24">
        <v>0</v>
      </c>
      <c r="U24">
        <v>18.21</v>
      </c>
    </row>
    <row r="25" spans="1:21" x14ac:dyDescent="0.3">
      <c r="A25">
        <v>24</v>
      </c>
      <c r="B25" t="s">
        <v>44</v>
      </c>
      <c r="C25" s="2">
        <v>45677</v>
      </c>
      <c r="D25" s="2">
        <v>45682</v>
      </c>
      <c r="E25" t="s">
        <v>1522</v>
      </c>
      <c r="F25" t="s">
        <v>1548</v>
      </c>
      <c r="G25" t="s">
        <v>1943</v>
      </c>
      <c r="H25" t="s">
        <v>2315</v>
      </c>
      <c r="I25" t="s">
        <v>2317</v>
      </c>
      <c r="J25" t="s">
        <v>2320</v>
      </c>
      <c r="K25" t="s">
        <v>2320</v>
      </c>
      <c r="L25">
        <v>629214</v>
      </c>
      <c r="M25" t="s">
        <v>2330</v>
      </c>
      <c r="N25" t="s">
        <v>2356</v>
      </c>
      <c r="O25" t="s">
        <v>3054</v>
      </c>
      <c r="P25" t="s">
        <v>3063</v>
      </c>
      <c r="Q25" t="s">
        <v>3091</v>
      </c>
      <c r="R25">
        <v>52.4</v>
      </c>
      <c r="S25">
        <v>3</v>
      </c>
      <c r="T25">
        <v>0.1</v>
      </c>
      <c r="U25">
        <v>-9.3000000000000007</v>
      </c>
    </row>
    <row r="26" spans="1:21" x14ac:dyDescent="0.3">
      <c r="A26">
        <v>25</v>
      </c>
      <c r="B26" t="s">
        <v>45</v>
      </c>
      <c r="C26" s="2">
        <v>45483</v>
      </c>
      <c r="D26" s="2">
        <v>45486</v>
      </c>
      <c r="E26" t="s">
        <v>1522</v>
      </c>
      <c r="F26" t="s">
        <v>1549</v>
      </c>
      <c r="G26" t="s">
        <v>1944</v>
      </c>
      <c r="H26" t="s">
        <v>2314</v>
      </c>
      <c r="I26" t="s">
        <v>2317</v>
      </c>
      <c r="J26" t="s">
        <v>2327</v>
      </c>
      <c r="K26" t="s">
        <v>2327</v>
      </c>
      <c r="L26">
        <v>821827</v>
      </c>
      <c r="M26" t="s">
        <v>2330</v>
      </c>
      <c r="N26" t="s">
        <v>2357</v>
      </c>
      <c r="O26" t="s">
        <v>3053</v>
      </c>
      <c r="P26" t="s">
        <v>3056</v>
      </c>
      <c r="Q26" t="s">
        <v>3092</v>
      </c>
      <c r="R26">
        <v>609.53</v>
      </c>
      <c r="S26">
        <v>2</v>
      </c>
      <c r="T26">
        <v>0.05</v>
      </c>
      <c r="U26">
        <v>28.8</v>
      </c>
    </row>
    <row r="27" spans="1:21" x14ac:dyDescent="0.3">
      <c r="A27">
        <v>26</v>
      </c>
      <c r="B27" t="s">
        <v>46</v>
      </c>
      <c r="C27" s="2">
        <v>45568</v>
      </c>
      <c r="D27" s="2">
        <v>45571</v>
      </c>
      <c r="E27" t="s">
        <v>1521</v>
      </c>
      <c r="F27" t="s">
        <v>1550</v>
      </c>
      <c r="G27" t="s">
        <v>1945</v>
      </c>
      <c r="H27" t="s">
        <v>2314</v>
      </c>
      <c r="I27" t="s">
        <v>2317</v>
      </c>
      <c r="J27" t="s">
        <v>2323</v>
      </c>
      <c r="K27" t="s">
        <v>2323</v>
      </c>
      <c r="L27">
        <v>778525</v>
      </c>
      <c r="M27" t="s">
        <v>2328</v>
      </c>
      <c r="N27" t="s">
        <v>2358</v>
      </c>
      <c r="O27" t="s">
        <v>3053</v>
      </c>
      <c r="P27" t="s">
        <v>3056</v>
      </c>
      <c r="Q27" t="s">
        <v>3093</v>
      </c>
      <c r="R27">
        <v>263.98</v>
      </c>
      <c r="S27">
        <v>6</v>
      </c>
      <c r="T27">
        <v>0.05</v>
      </c>
      <c r="U27">
        <v>30.83</v>
      </c>
    </row>
    <row r="28" spans="1:21" x14ac:dyDescent="0.3">
      <c r="A28">
        <v>27</v>
      </c>
      <c r="B28" t="s">
        <v>47</v>
      </c>
      <c r="C28" s="2">
        <v>45452</v>
      </c>
      <c r="D28" s="2">
        <v>45454</v>
      </c>
      <c r="E28" t="s">
        <v>1524</v>
      </c>
      <c r="F28" t="s">
        <v>1551</v>
      </c>
      <c r="G28" t="s">
        <v>1946</v>
      </c>
      <c r="H28" t="s">
        <v>2315</v>
      </c>
      <c r="I28" t="s">
        <v>2317</v>
      </c>
      <c r="J28" t="s">
        <v>2326</v>
      </c>
      <c r="K28" t="s">
        <v>2326</v>
      </c>
      <c r="L28">
        <v>602237</v>
      </c>
      <c r="M28" t="s">
        <v>2331</v>
      </c>
      <c r="N28" t="s">
        <v>2344</v>
      </c>
      <c r="O28" t="s">
        <v>3053</v>
      </c>
      <c r="P28" t="s">
        <v>3056</v>
      </c>
      <c r="Q28" t="s">
        <v>3094</v>
      </c>
      <c r="R28">
        <v>172.22</v>
      </c>
      <c r="S28">
        <v>4</v>
      </c>
      <c r="T28">
        <v>0.4</v>
      </c>
      <c r="U28">
        <v>-24.1</v>
      </c>
    </row>
    <row r="29" spans="1:21" x14ac:dyDescent="0.3">
      <c r="A29">
        <v>28</v>
      </c>
      <c r="B29" t="s">
        <v>48</v>
      </c>
      <c r="C29" s="2">
        <v>45751</v>
      </c>
      <c r="D29" s="2">
        <v>45754</v>
      </c>
      <c r="E29" t="s">
        <v>1523</v>
      </c>
      <c r="F29" t="s">
        <v>1552</v>
      </c>
      <c r="G29" t="s">
        <v>1947</v>
      </c>
      <c r="H29" t="s">
        <v>2315</v>
      </c>
      <c r="I29" t="s">
        <v>2317</v>
      </c>
      <c r="J29" t="s">
        <v>2318</v>
      </c>
      <c r="K29" t="s">
        <v>2318</v>
      </c>
      <c r="L29">
        <v>987099</v>
      </c>
      <c r="M29" t="s">
        <v>2328</v>
      </c>
      <c r="N29" t="s">
        <v>2359</v>
      </c>
      <c r="O29" t="s">
        <v>3053</v>
      </c>
      <c r="P29" t="s">
        <v>3065</v>
      </c>
      <c r="Q29" t="s">
        <v>3095</v>
      </c>
      <c r="R29">
        <v>168.57</v>
      </c>
      <c r="S29">
        <v>5</v>
      </c>
      <c r="T29">
        <v>0.15</v>
      </c>
      <c r="U29">
        <v>22.44</v>
      </c>
    </row>
    <row r="30" spans="1:21" x14ac:dyDescent="0.3">
      <c r="A30">
        <v>29</v>
      </c>
      <c r="B30" t="s">
        <v>49</v>
      </c>
      <c r="C30" s="2">
        <v>45605</v>
      </c>
      <c r="D30" s="2">
        <v>45608</v>
      </c>
      <c r="E30" t="s">
        <v>1523</v>
      </c>
      <c r="F30" t="s">
        <v>1553</v>
      </c>
      <c r="G30" t="s">
        <v>1948</v>
      </c>
      <c r="H30" t="s">
        <v>2315</v>
      </c>
      <c r="I30" t="s">
        <v>2317</v>
      </c>
      <c r="J30" t="s">
        <v>2323</v>
      </c>
      <c r="K30" t="s">
        <v>2323</v>
      </c>
      <c r="L30">
        <v>813611</v>
      </c>
      <c r="M30" t="s">
        <v>2328</v>
      </c>
      <c r="N30" t="s">
        <v>2360</v>
      </c>
      <c r="O30" t="s">
        <v>3053</v>
      </c>
      <c r="P30" t="s">
        <v>3066</v>
      </c>
      <c r="Q30" t="s">
        <v>3096</v>
      </c>
      <c r="R30">
        <v>248.14</v>
      </c>
      <c r="S30">
        <v>7</v>
      </c>
      <c r="T30">
        <v>0.2</v>
      </c>
      <c r="U30">
        <v>10.64</v>
      </c>
    </row>
    <row r="31" spans="1:21" x14ac:dyDescent="0.3">
      <c r="A31">
        <v>30</v>
      </c>
      <c r="B31" t="s">
        <v>50</v>
      </c>
      <c r="C31" s="2">
        <v>45313</v>
      </c>
      <c r="D31" s="2">
        <v>45316</v>
      </c>
      <c r="E31" t="s">
        <v>1523</v>
      </c>
      <c r="F31" t="s">
        <v>1538</v>
      </c>
      <c r="G31" t="s">
        <v>1949</v>
      </c>
      <c r="H31" t="s">
        <v>2315</v>
      </c>
      <c r="I31" t="s">
        <v>2317</v>
      </c>
      <c r="J31" t="s">
        <v>2318</v>
      </c>
      <c r="K31" t="s">
        <v>2318</v>
      </c>
      <c r="L31">
        <v>734151</v>
      </c>
      <c r="M31" t="s">
        <v>2328</v>
      </c>
      <c r="N31" t="s">
        <v>2361</v>
      </c>
      <c r="O31" t="s">
        <v>3054</v>
      </c>
      <c r="P31" t="s">
        <v>3057</v>
      </c>
      <c r="Q31" t="s">
        <v>3097</v>
      </c>
      <c r="R31">
        <v>171.95</v>
      </c>
      <c r="S31">
        <v>1</v>
      </c>
      <c r="T31">
        <v>0.2</v>
      </c>
      <c r="U31">
        <v>27.97</v>
      </c>
    </row>
    <row r="32" spans="1:21" x14ac:dyDescent="0.3">
      <c r="A32">
        <v>31</v>
      </c>
      <c r="B32" t="s">
        <v>51</v>
      </c>
      <c r="C32" s="2">
        <v>45544</v>
      </c>
      <c r="D32" s="2">
        <v>45547</v>
      </c>
      <c r="E32" t="s">
        <v>1523</v>
      </c>
      <c r="F32" t="s">
        <v>1554</v>
      </c>
      <c r="G32" t="s">
        <v>1950</v>
      </c>
      <c r="H32" t="s">
        <v>2315</v>
      </c>
      <c r="I32" t="s">
        <v>2317</v>
      </c>
      <c r="J32" t="s">
        <v>2319</v>
      </c>
      <c r="K32" t="s">
        <v>2319</v>
      </c>
      <c r="L32">
        <v>560829</v>
      </c>
      <c r="M32" t="s">
        <v>2329</v>
      </c>
      <c r="N32" t="s">
        <v>2362</v>
      </c>
      <c r="O32" t="s">
        <v>3055</v>
      </c>
      <c r="P32" t="s">
        <v>3061</v>
      </c>
      <c r="Q32" t="s">
        <v>3098</v>
      </c>
      <c r="R32">
        <v>755.37</v>
      </c>
      <c r="S32">
        <v>3</v>
      </c>
      <c r="T32">
        <v>0.15</v>
      </c>
      <c r="U32">
        <v>29.09</v>
      </c>
    </row>
    <row r="33" spans="1:21" x14ac:dyDescent="0.3">
      <c r="A33">
        <v>32</v>
      </c>
      <c r="B33" t="s">
        <v>52</v>
      </c>
      <c r="C33" s="2">
        <v>45852</v>
      </c>
      <c r="D33" s="2">
        <v>45854</v>
      </c>
      <c r="E33" t="s">
        <v>1523</v>
      </c>
      <c r="F33" t="s">
        <v>1555</v>
      </c>
      <c r="G33" t="s">
        <v>1951</v>
      </c>
      <c r="H33" t="s">
        <v>2315</v>
      </c>
      <c r="I33" t="s">
        <v>2317</v>
      </c>
      <c r="J33" t="s">
        <v>2323</v>
      </c>
      <c r="K33" t="s">
        <v>2323</v>
      </c>
      <c r="L33">
        <v>544718</v>
      </c>
      <c r="M33" t="s">
        <v>2328</v>
      </c>
      <c r="N33" t="s">
        <v>2363</v>
      </c>
      <c r="O33" t="s">
        <v>3054</v>
      </c>
      <c r="P33" t="s">
        <v>3063</v>
      </c>
      <c r="Q33" t="s">
        <v>3099</v>
      </c>
      <c r="R33">
        <v>78.569999999999993</v>
      </c>
      <c r="S33">
        <v>9</v>
      </c>
      <c r="T33">
        <v>0.4</v>
      </c>
      <c r="U33">
        <v>-12.43</v>
      </c>
    </row>
    <row r="34" spans="1:21" x14ac:dyDescent="0.3">
      <c r="A34">
        <v>33</v>
      </c>
      <c r="B34" t="s">
        <v>53</v>
      </c>
      <c r="C34" s="2">
        <v>45766</v>
      </c>
      <c r="D34" s="2">
        <v>45772</v>
      </c>
      <c r="E34" t="s">
        <v>1523</v>
      </c>
      <c r="F34" t="s">
        <v>1556</v>
      </c>
      <c r="G34" t="s">
        <v>1952</v>
      </c>
      <c r="H34" t="s">
        <v>2316</v>
      </c>
      <c r="I34" t="s">
        <v>2317</v>
      </c>
      <c r="J34" t="s">
        <v>2327</v>
      </c>
      <c r="K34" t="s">
        <v>2327</v>
      </c>
      <c r="L34">
        <v>121067</v>
      </c>
      <c r="M34" t="s">
        <v>2330</v>
      </c>
      <c r="N34" t="s">
        <v>2364</v>
      </c>
      <c r="O34" t="s">
        <v>3054</v>
      </c>
      <c r="P34" t="s">
        <v>3057</v>
      </c>
      <c r="Q34" t="s">
        <v>3100</v>
      </c>
      <c r="R34">
        <v>101.75</v>
      </c>
      <c r="S34">
        <v>6</v>
      </c>
      <c r="T34">
        <v>0.05</v>
      </c>
      <c r="U34">
        <v>-1.85</v>
      </c>
    </row>
    <row r="35" spans="1:21" x14ac:dyDescent="0.3">
      <c r="A35">
        <v>34</v>
      </c>
      <c r="B35" t="s">
        <v>54</v>
      </c>
      <c r="C35" s="2">
        <v>45350</v>
      </c>
      <c r="D35" s="2">
        <v>45352</v>
      </c>
      <c r="E35" t="s">
        <v>1524</v>
      </c>
      <c r="F35" t="s">
        <v>1554</v>
      </c>
      <c r="G35" t="s">
        <v>1953</v>
      </c>
      <c r="H35" t="s">
        <v>2316</v>
      </c>
      <c r="I35" t="s">
        <v>2317</v>
      </c>
      <c r="J35" t="s">
        <v>2321</v>
      </c>
      <c r="K35" t="s">
        <v>2321</v>
      </c>
      <c r="L35">
        <v>869217</v>
      </c>
      <c r="M35" t="s">
        <v>2329</v>
      </c>
      <c r="N35" t="s">
        <v>2365</v>
      </c>
      <c r="O35" t="s">
        <v>3055</v>
      </c>
      <c r="P35" t="s">
        <v>3059</v>
      </c>
      <c r="Q35" t="s">
        <v>3076</v>
      </c>
      <c r="R35">
        <v>174.49</v>
      </c>
      <c r="S35">
        <v>9</v>
      </c>
      <c r="T35">
        <v>0.15</v>
      </c>
      <c r="U35">
        <v>61.31</v>
      </c>
    </row>
    <row r="36" spans="1:21" x14ac:dyDescent="0.3">
      <c r="A36">
        <v>35</v>
      </c>
      <c r="B36" t="s">
        <v>55</v>
      </c>
      <c r="C36" s="2">
        <v>45802</v>
      </c>
      <c r="D36" s="2">
        <v>45803</v>
      </c>
      <c r="E36" t="s">
        <v>1521</v>
      </c>
      <c r="F36" t="s">
        <v>1557</v>
      </c>
      <c r="G36" t="s">
        <v>1932</v>
      </c>
      <c r="H36" t="s">
        <v>2315</v>
      </c>
      <c r="I36" t="s">
        <v>2317</v>
      </c>
      <c r="J36" t="s">
        <v>2324</v>
      </c>
      <c r="K36" t="s">
        <v>2324</v>
      </c>
      <c r="L36">
        <v>776513</v>
      </c>
      <c r="M36" t="s">
        <v>2330</v>
      </c>
      <c r="N36" t="s">
        <v>2366</v>
      </c>
      <c r="O36" t="s">
        <v>3053</v>
      </c>
      <c r="P36" t="s">
        <v>3066</v>
      </c>
      <c r="Q36" t="s">
        <v>3101</v>
      </c>
      <c r="R36">
        <v>631.47</v>
      </c>
      <c r="S36">
        <v>5</v>
      </c>
      <c r="T36">
        <v>0.15</v>
      </c>
      <c r="U36">
        <v>66.14</v>
      </c>
    </row>
    <row r="37" spans="1:21" x14ac:dyDescent="0.3">
      <c r="A37">
        <v>36</v>
      </c>
      <c r="B37" t="s">
        <v>56</v>
      </c>
      <c r="C37" s="2">
        <v>45973</v>
      </c>
      <c r="D37" s="2">
        <v>45976</v>
      </c>
      <c r="E37" t="s">
        <v>1523</v>
      </c>
      <c r="F37" t="s">
        <v>1549</v>
      </c>
      <c r="G37" t="s">
        <v>1927</v>
      </c>
      <c r="H37" t="s">
        <v>2316</v>
      </c>
      <c r="I37" t="s">
        <v>2317</v>
      </c>
      <c r="J37" t="s">
        <v>2320</v>
      </c>
      <c r="K37" t="s">
        <v>2320</v>
      </c>
      <c r="L37">
        <v>651852</v>
      </c>
      <c r="M37" t="s">
        <v>2330</v>
      </c>
      <c r="N37" t="s">
        <v>2356</v>
      </c>
      <c r="O37" t="s">
        <v>3053</v>
      </c>
      <c r="P37" t="s">
        <v>3066</v>
      </c>
      <c r="Q37" t="s">
        <v>3102</v>
      </c>
      <c r="R37">
        <v>293.08999999999997</v>
      </c>
      <c r="S37">
        <v>6</v>
      </c>
      <c r="T37">
        <v>0.1</v>
      </c>
      <c r="U37">
        <v>-2.21</v>
      </c>
    </row>
    <row r="38" spans="1:21" x14ac:dyDescent="0.3">
      <c r="A38">
        <v>37</v>
      </c>
      <c r="B38" t="s">
        <v>57</v>
      </c>
      <c r="C38" s="2">
        <v>45767</v>
      </c>
      <c r="D38" s="2">
        <v>45770</v>
      </c>
      <c r="E38" t="s">
        <v>1521</v>
      </c>
      <c r="F38" t="s">
        <v>1558</v>
      </c>
      <c r="G38" t="s">
        <v>1954</v>
      </c>
      <c r="H38" t="s">
        <v>2315</v>
      </c>
      <c r="I38" t="s">
        <v>2317</v>
      </c>
      <c r="J38" t="s">
        <v>2320</v>
      </c>
      <c r="K38" t="s">
        <v>2320</v>
      </c>
      <c r="L38">
        <v>340011</v>
      </c>
      <c r="M38" t="s">
        <v>2330</v>
      </c>
      <c r="N38" t="s">
        <v>2367</v>
      </c>
      <c r="O38" t="s">
        <v>3055</v>
      </c>
      <c r="P38" t="s">
        <v>3059</v>
      </c>
      <c r="Q38" t="s">
        <v>3103</v>
      </c>
      <c r="R38">
        <v>197.4</v>
      </c>
      <c r="S38">
        <v>6</v>
      </c>
      <c r="T38">
        <v>0.2</v>
      </c>
      <c r="U38">
        <v>-7.94</v>
      </c>
    </row>
    <row r="39" spans="1:21" x14ac:dyDescent="0.3">
      <c r="A39">
        <v>38</v>
      </c>
      <c r="B39" t="s">
        <v>58</v>
      </c>
      <c r="C39" s="2">
        <v>45991</v>
      </c>
      <c r="D39" s="2">
        <v>45994</v>
      </c>
      <c r="E39" t="s">
        <v>1523</v>
      </c>
      <c r="F39" t="s">
        <v>1559</v>
      </c>
      <c r="G39" t="s">
        <v>1955</v>
      </c>
      <c r="H39" t="s">
        <v>2316</v>
      </c>
      <c r="I39" t="s">
        <v>2317</v>
      </c>
      <c r="J39" t="s">
        <v>2324</v>
      </c>
      <c r="K39" t="s">
        <v>2324</v>
      </c>
      <c r="L39">
        <v>837651</v>
      </c>
      <c r="M39" t="s">
        <v>2330</v>
      </c>
      <c r="N39" t="s">
        <v>2368</v>
      </c>
      <c r="O39" t="s">
        <v>3053</v>
      </c>
      <c r="P39" t="s">
        <v>3056</v>
      </c>
      <c r="Q39" t="s">
        <v>3104</v>
      </c>
      <c r="R39">
        <v>250.92</v>
      </c>
      <c r="S39">
        <v>7</v>
      </c>
      <c r="T39">
        <v>0.3</v>
      </c>
      <c r="U39">
        <v>-19.829999999999998</v>
      </c>
    </row>
    <row r="40" spans="1:21" x14ac:dyDescent="0.3">
      <c r="A40">
        <v>39</v>
      </c>
      <c r="B40" t="s">
        <v>59</v>
      </c>
      <c r="C40" s="2">
        <v>45481</v>
      </c>
      <c r="D40" s="2">
        <v>45485</v>
      </c>
      <c r="E40" t="s">
        <v>1522</v>
      </c>
      <c r="F40" t="s">
        <v>1560</v>
      </c>
      <c r="G40" t="s">
        <v>1956</v>
      </c>
      <c r="H40" t="s">
        <v>2314</v>
      </c>
      <c r="I40" t="s">
        <v>2317</v>
      </c>
      <c r="J40" t="s">
        <v>2325</v>
      </c>
      <c r="K40" t="s">
        <v>2325</v>
      </c>
      <c r="L40">
        <v>556324</v>
      </c>
      <c r="M40" t="s">
        <v>2332</v>
      </c>
      <c r="N40" t="s">
        <v>2369</v>
      </c>
      <c r="O40" t="s">
        <v>3055</v>
      </c>
      <c r="P40" t="s">
        <v>3061</v>
      </c>
      <c r="Q40" t="s">
        <v>3105</v>
      </c>
      <c r="R40">
        <v>165.51</v>
      </c>
      <c r="S40">
        <v>1</v>
      </c>
      <c r="T40">
        <v>0</v>
      </c>
      <c r="U40">
        <v>30.93</v>
      </c>
    </row>
    <row r="41" spans="1:21" x14ac:dyDescent="0.3">
      <c r="A41">
        <v>40</v>
      </c>
      <c r="B41" t="s">
        <v>60</v>
      </c>
      <c r="C41" s="2">
        <v>45978</v>
      </c>
      <c r="D41" s="2">
        <v>45980</v>
      </c>
      <c r="E41" t="s">
        <v>1523</v>
      </c>
      <c r="F41" t="s">
        <v>1561</v>
      </c>
      <c r="G41" t="s">
        <v>1957</v>
      </c>
      <c r="H41" t="s">
        <v>2314</v>
      </c>
      <c r="I41" t="s">
        <v>2317</v>
      </c>
      <c r="J41" t="s">
        <v>2319</v>
      </c>
      <c r="K41" t="s">
        <v>2319</v>
      </c>
      <c r="L41">
        <v>697578</v>
      </c>
      <c r="M41" t="s">
        <v>2329</v>
      </c>
      <c r="N41" t="s">
        <v>2370</v>
      </c>
      <c r="O41" t="s">
        <v>3055</v>
      </c>
      <c r="P41" t="s">
        <v>3059</v>
      </c>
      <c r="Q41" t="s">
        <v>3106</v>
      </c>
      <c r="R41">
        <v>964.01</v>
      </c>
      <c r="S41">
        <v>9</v>
      </c>
      <c r="T41">
        <v>0.4</v>
      </c>
      <c r="U41">
        <v>-85.02</v>
      </c>
    </row>
    <row r="42" spans="1:21" x14ac:dyDescent="0.3">
      <c r="A42">
        <v>41</v>
      </c>
      <c r="B42" t="s">
        <v>61</v>
      </c>
      <c r="C42" s="2">
        <v>45854</v>
      </c>
      <c r="D42" s="2">
        <v>45856</v>
      </c>
      <c r="E42" t="s">
        <v>1522</v>
      </c>
      <c r="F42" t="s">
        <v>1562</v>
      </c>
      <c r="G42" t="s">
        <v>1958</v>
      </c>
      <c r="H42" t="s">
        <v>2315</v>
      </c>
      <c r="I42" t="s">
        <v>2317</v>
      </c>
      <c r="J42" t="s">
        <v>2318</v>
      </c>
      <c r="K42" t="s">
        <v>2318</v>
      </c>
      <c r="L42">
        <v>169639</v>
      </c>
      <c r="M42" t="s">
        <v>2328</v>
      </c>
      <c r="N42" t="s">
        <v>2371</v>
      </c>
      <c r="O42" t="s">
        <v>3054</v>
      </c>
      <c r="P42" t="s">
        <v>3058</v>
      </c>
      <c r="Q42" t="s">
        <v>3107</v>
      </c>
      <c r="R42">
        <v>183.47</v>
      </c>
      <c r="S42">
        <v>6</v>
      </c>
      <c r="T42">
        <v>0.1</v>
      </c>
      <c r="U42">
        <v>31.38</v>
      </c>
    </row>
    <row r="43" spans="1:21" x14ac:dyDescent="0.3">
      <c r="A43">
        <v>42</v>
      </c>
      <c r="B43" t="s">
        <v>62</v>
      </c>
      <c r="C43" s="2">
        <v>45858</v>
      </c>
      <c r="D43" s="2">
        <v>45861</v>
      </c>
      <c r="E43" t="s">
        <v>1523</v>
      </c>
      <c r="F43" t="s">
        <v>1563</v>
      </c>
      <c r="G43" t="s">
        <v>1959</v>
      </c>
      <c r="H43" t="s">
        <v>2314</v>
      </c>
      <c r="I43" t="s">
        <v>2317</v>
      </c>
      <c r="J43" t="s">
        <v>2327</v>
      </c>
      <c r="K43" t="s">
        <v>2327</v>
      </c>
      <c r="L43">
        <v>972437</v>
      </c>
      <c r="M43" t="s">
        <v>2330</v>
      </c>
      <c r="N43" t="s">
        <v>2372</v>
      </c>
      <c r="O43" t="s">
        <v>3055</v>
      </c>
      <c r="P43" t="s">
        <v>3060</v>
      </c>
      <c r="Q43" t="s">
        <v>3108</v>
      </c>
      <c r="R43">
        <v>605.33000000000004</v>
      </c>
      <c r="S43">
        <v>3</v>
      </c>
      <c r="T43">
        <v>0.05</v>
      </c>
      <c r="U43">
        <v>110.37</v>
      </c>
    </row>
    <row r="44" spans="1:21" x14ac:dyDescent="0.3">
      <c r="A44">
        <v>43</v>
      </c>
      <c r="B44" t="s">
        <v>63</v>
      </c>
      <c r="C44" s="2">
        <v>45535</v>
      </c>
      <c r="D44" s="2">
        <v>45539</v>
      </c>
      <c r="E44" t="s">
        <v>1524</v>
      </c>
      <c r="F44" t="s">
        <v>1564</v>
      </c>
      <c r="G44" t="s">
        <v>1960</v>
      </c>
      <c r="H44" t="s">
        <v>2315</v>
      </c>
      <c r="I44" t="s">
        <v>2317</v>
      </c>
      <c r="J44" t="s">
        <v>2322</v>
      </c>
      <c r="K44" t="s">
        <v>2322</v>
      </c>
      <c r="L44">
        <v>677263</v>
      </c>
      <c r="M44" t="s">
        <v>2331</v>
      </c>
      <c r="N44" t="s">
        <v>2373</v>
      </c>
      <c r="O44" t="s">
        <v>3054</v>
      </c>
      <c r="P44" t="s">
        <v>3057</v>
      </c>
      <c r="Q44" t="s">
        <v>3109</v>
      </c>
      <c r="R44">
        <v>59.34</v>
      </c>
      <c r="S44">
        <v>9</v>
      </c>
      <c r="T44">
        <v>0.15</v>
      </c>
      <c r="U44">
        <v>-37.67</v>
      </c>
    </row>
    <row r="45" spans="1:21" x14ac:dyDescent="0.3">
      <c r="A45">
        <v>44</v>
      </c>
      <c r="B45" t="s">
        <v>64</v>
      </c>
      <c r="C45" s="2">
        <v>45796</v>
      </c>
      <c r="D45" s="2">
        <v>45798</v>
      </c>
      <c r="E45" t="s">
        <v>1521</v>
      </c>
      <c r="F45" t="s">
        <v>1565</v>
      </c>
      <c r="G45" t="s">
        <v>1961</v>
      </c>
      <c r="H45" t="s">
        <v>2315</v>
      </c>
      <c r="I45" t="s">
        <v>2317</v>
      </c>
      <c r="J45" t="s">
        <v>2323</v>
      </c>
      <c r="K45" t="s">
        <v>2323</v>
      </c>
      <c r="L45">
        <v>184577</v>
      </c>
      <c r="M45" t="s">
        <v>2328</v>
      </c>
      <c r="N45" t="s">
        <v>2374</v>
      </c>
      <c r="O45" t="s">
        <v>3053</v>
      </c>
      <c r="P45" t="s">
        <v>3062</v>
      </c>
      <c r="Q45" t="s">
        <v>3110</v>
      </c>
      <c r="R45">
        <v>249.91</v>
      </c>
      <c r="S45">
        <v>9</v>
      </c>
      <c r="T45">
        <v>0.15</v>
      </c>
      <c r="U45">
        <v>-15.73</v>
      </c>
    </row>
    <row r="46" spans="1:21" x14ac:dyDescent="0.3">
      <c r="A46">
        <v>45</v>
      </c>
      <c r="B46" t="s">
        <v>65</v>
      </c>
      <c r="C46" s="2">
        <v>45422</v>
      </c>
      <c r="D46" s="2">
        <v>45427</v>
      </c>
      <c r="E46" t="s">
        <v>1523</v>
      </c>
      <c r="F46" t="s">
        <v>1566</v>
      </c>
      <c r="G46" t="s">
        <v>1962</v>
      </c>
      <c r="H46" t="s">
        <v>2315</v>
      </c>
      <c r="I46" t="s">
        <v>2317</v>
      </c>
      <c r="J46" t="s">
        <v>2319</v>
      </c>
      <c r="K46" t="s">
        <v>2319</v>
      </c>
      <c r="L46">
        <v>446030</v>
      </c>
      <c r="M46" t="s">
        <v>2329</v>
      </c>
      <c r="N46" t="s">
        <v>2375</v>
      </c>
      <c r="O46" t="s">
        <v>3054</v>
      </c>
      <c r="P46" t="s">
        <v>3063</v>
      </c>
      <c r="Q46" t="s">
        <v>3111</v>
      </c>
      <c r="R46">
        <v>46.41</v>
      </c>
      <c r="S46">
        <v>6</v>
      </c>
      <c r="T46">
        <v>0.15</v>
      </c>
      <c r="U46">
        <v>-22.46</v>
      </c>
    </row>
    <row r="47" spans="1:21" x14ac:dyDescent="0.3">
      <c r="A47">
        <v>46</v>
      </c>
      <c r="B47" t="s">
        <v>66</v>
      </c>
      <c r="C47" s="2">
        <v>45776</v>
      </c>
      <c r="D47" s="2">
        <v>45779</v>
      </c>
      <c r="E47" t="s">
        <v>1524</v>
      </c>
      <c r="F47" t="s">
        <v>1567</v>
      </c>
      <c r="G47" t="s">
        <v>1963</v>
      </c>
      <c r="H47" t="s">
        <v>2316</v>
      </c>
      <c r="I47" t="s">
        <v>2317</v>
      </c>
      <c r="J47" t="s">
        <v>2323</v>
      </c>
      <c r="K47" t="s">
        <v>2323</v>
      </c>
      <c r="L47">
        <v>882381</v>
      </c>
      <c r="M47" t="s">
        <v>2328</v>
      </c>
      <c r="N47" t="s">
        <v>2376</v>
      </c>
      <c r="O47" t="s">
        <v>3053</v>
      </c>
      <c r="P47" t="s">
        <v>3062</v>
      </c>
      <c r="Q47" t="s">
        <v>3112</v>
      </c>
      <c r="R47">
        <v>90.54</v>
      </c>
      <c r="S47">
        <v>7</v>
      </c>
      <c r="T47">
        <v>0.2</v>
      </c>
      <c r="U47">
        <v>-3.72</v>
      </c>
    </row>
    <row r="48" spans="1:21" x14ac:dyDescent="0.3">
      <c r="A48">
        <v>47</v>
      </c>
      <c r="B48" t="s">
        <v>67</v>
      </c>
      <c r="C48" s="2">
        <v>45938</v>
      </c>
      <c r="D48" s="2">
        <v>45940</v>
      </c>
      <c r="E48" t="s">
        <v>1523</v>
      </c>
      <c r="F48" t="s">
        <v>1568</v>
      </c>
      <c r="G48" t="s">
        <v>1964</v>
      </c>
      <c r="H48" t="s">
        <v>2315</v>
      </c>
      <c r="I48" t="s">
        <v>2317</v>
      </c>
      <c r="J48" t="s">
        <v>2327</v>
      </c>
      <c r="K48" t="s">
        <v>2327</v>
      </c>
      <c r="L48">
        <v>402619</v>
      </c>
      <c r="M48" t="s">
        <v>2330</v>
      </c>
      <c r="N48" t="s">
        <v>2377</v>
      </c>
      <c r="O48" t="s">
        <v>3055</v>
      </c>
      <c r="P48" t="s">
        <v>3067</v>
      </c>
      <c r="Q48" t="s">
        <v>3113</v>
      </c>
      <c r="R48">
        <v>526.04</v>
      </c>
      <c r="S48">
        <v>9</v>
      </c>
      <c r="T48">
        <v>0.2</v>
      </c>
      <c r="U48">
        <v>30.96</v>
      </c>
    </row>
    <row r="49" spans="1:21" x14ac:dyDescent="0.3">
      <c r="A49">
        <v>48</v>
      </c>
      <c r="B49" t="s">
        <v>68</v>
      </c>
      <c r="C49" s="2">
        <v>45312</v>
      </c>
      <c r="D49" s="2">
        <v>45314</v>
      </c>
      <c r="E49" t="s">
        <v>1521</v>
      </c>
      <c r="F49" t="s">
        <v>1569</v>
      </c>
      <c r="G49" t="s">
        <v>1965</v>
      </c>
      <c r="H49" t="s">
        <v>2314</v>
      </c>
      <c r="I49" t="s">
        <v>2317</v>
      </c>
      <c r="J49" t="s">
        <v>2326</v>
      </c>
      <c r="K49" t="s">
        <v>2326</v>
      </c>
      <c r="L49">
        <v>440687</v>
      </c>
      <c r="M49" t="s">
        <v>2331</v>
      </c>
      <c r="N49" t="s">
        <v>2378</v>
      </c>
      <c r="O49" t="s">
        <v>3054</v>
      </c>
      <c r="P49" t="s">
        <v>3064</v>
      </c>
      <c r="Q49" t="s">
        <v>3114</v>
      </c>
      <c r="R49">
        <v>71.099999999999994</v>
      </c>
      <c r="S49">
        <v>9</v>
      </c>
      <c r="T49">
        <v>0.15</v>
      </c>
      <c r="U49">
        <v>-5.43</v>
      </c>
    </row>
    <row r="50" spans="1:21" x14ac:dyDescent="0.3">
      <c r="A50">
        <v>49</v>
      </c>
      <c r="B50" t="s">
        <v>69</v>
      </c>
      <c r="C50" s="2">
        <v>45458</v>
      </c>
      <c r="D50" s="2">
        <v>45461</v>
      </c>
      <c r="E50" t="s">
        <v>1523</v>
      </c>
      <c r="F50" t="s">
        <v>1570</v>
      </c>
      <c r="G50" t="s">
        <v>1927</v>
      </c>
      <c r="H50" t="s">
        <v>2315</v>
      </c>
      <c r="I50" t="s">
        <v>2317</v>
      </c>
      <c r="J50" t="s">
        <v>2326</v>
      </c>
      <c r="K50" t="s">
        <v>2326</v>
      </c>
      <c r="L50">
        <v>201894</v>
      </c>
      <c r="M50" t="s">
        <v>2331</v>
      </c>
      <c r="N50" t="s">
        <v>2379</v>
      </c>
      <c r="O50" t="s">
        <v>3055</v>
      </c>
      <c r="P50" t="s">
        <v>3067</v>
      </c>
      <c r="Q50" t="s">
        <v>3115</v>
      </c>
      <c r="R50">
        <v>935.99</v>
      </c>
      <c r="S50">
        <v>8</v>
      </c>
      <c r="T50">
        <v>0.15</v>
      </c>
      <c r="U50">
        <v>109.58</v>
      </c>
    </row>
    <row r="51" spans="1:21" x14ac:dyDescent="0.3">
      <c r="A51">
        <v>50</v>
      </c>
      <c r="B51" t="s">
        <v>70</v>
      </c>
      <c r="C51" s="2">
        <v>45565</v>
      </c>
      <c r="D51" s="2">
        <v>45568</v>
      </c>
      <c r="E51" t="s">
        <v>1521</v>
      </c>
      <c r="F51" t="s">
        <v>1571</v>
      </c>
      <c r="G51" t="s">
        <v>1966</v>
      </c>
      <c r="H51" t="s">
        <v>2316</v>
      </c>
      <c r="I51" t="s">
        <v>2317</v>
      </c>
      <c r="J51" t="s">
        <v>2319</v>
      </c>
      <c r="K51" t="s">
        <v>2319</v>
      </c>
      <c r="L51">
        <v>892299</v>
      </c>
      <c r="M51" t="s">
        <v>2329</v>
      </c>
      <c r="N51" t="s">
        <v>2380</v>
      </c>
      <c r="O51" t="s">
        <v>3053</v>
      </c>
      <c r="P51" t="s">
        <v>3056</v>
      </c>
      <c r="Q51" t="s">
        <v>3116</v>
      </c>
      <c r="R51">
        <v>209.2</v>
      </c>
      <c r="S51">
        <v>1</v>
      </c>
      <c r="T51">
        <v>0.15</v>
      </c>
      <c r="U51">
        <v>-24.13</v>
      </c>
    </row>
    <row r="52" spans="1:21" x14ac:dyDescent="0.3">
      <c r="A52">
        <v>51</v>
      </c>
      <c r="B52" t="s">
        <v>71</v>
      </c>
      <c r="C52" s="2">
        <v>45679</v>
      </c>
      <c r="D52" s="2">
        <v>45680</v>
      </c>
      <c r="E52" t="s">
        <v>1521</v>
      </c>
      <c r="F52" t="s">
        <v>1572</v>
      </c>
      <c r="G52" t="s">
        <v>1935</v>
      </c>
      <c r="H52" t="s">
        <v>2316</v>
      </c>
      <c r="I52" t="s">
        <v>2317</v>
      </c>
      <c r="J52" t="s">
        <v>2321</v>
      </c>
      <c r="K52" t="s">
        <v>2321</v>
      </c>
      <c r="L52">
        <v>576055</v>
      </c>
      <c r="M52" t="s">
        <v>2329</v>
      </c>
      <c r="N52" t="s">
        <v>2381</v>
      </c>
      <c r="O52" t="s">
        <v>3054</v>
      </c>
      <c r="P52" t="s">
        <v>3063</v>
      </c>
      <c r="Q52" t="s">
        <v>3117</v>
      </c>
      <c r="R52">
        <v>212.18</v>
      </c>
      <c r="S52">
        <v>1</v>
      </c>
      <c r="T52">
        <v>0.05</v>
      </c>
      <c r="U52">
        <v>55.07</v>
      </c>
    </row>
    <row r="53" spans="1:21" x14ac:dyDescent="0.3">
      <c r="A53">
        <v>52</v>
      </c>
      <c r="B53" t="s">
        <v>72</v>
      </c>
      <c r="C53" s="2">
        <v>45892</v>
      </c>
      <c r="D53" s="2">
        <v>45894</v>
      </c>
      <c r="E53" t="s">
        <v>1524</v>
      </c>
      <c r="F53" t="s">
        <v>1573</v>
      </c>
      <c r="G53" t="s">
        <v>1967</v>
      </c>
      <c r="H53" t="s">
        <v>2316</v>
      </c>
      <c r="I53" t="s">
        <v>2317</v>
      </c>
      <c r="J53" t="s">
        <v>2327</v>
      </c>
      <c r="K53" t="s">
        <v>2327</v>
      </c>
      <c r="L53">
        <v>310448</v>
      </c>
      <c r="M53" t="s">
        <v>2330</v>
      </c>
      <c r="N53" t="s">
        <v>2382</v>
      </c>
      <c r="O53" t="s">
        <v>3055</v>
      </c>
      <c r="P53" t="s">
        <v>3067</v>
      </c>
      <c r="Q53" t="s">
        <v>3118</v>
      </c>
      <c r="R53">
        <v>125.57</v>
      </c>
      <c r="S53">
        <v>9</v>
      </c>
      <c r="T53">
        <v>0.05</v>
      </c>
      <c r="U53">
        <v>-3.43</v>
      </c>
    </row>
    <row r="54" spans="1:21" x14ac:dyDescent="0.3">
      <c r="A54">
        <v>53</v>
      </c>
      <c r="B54" t="s">
        <v>73</v>
      </c>
      <c r="C54" s="2">
        <v>45607</v>
      </c>
      <c r="D54" s="2">
        <v>45611</v>
      </c>
      <c r="E54" t="s">
        <v>1523</v>
      </c>
      <c r="F54" t="s">
        <v>1574</v>
      </c>
      <c r="G54" t="s">
        <v>1941</v>
      </c>
      <c r="H54" t="s">
        <v>2315</v>
      </c>
      <c r="I54" t="s">
        <v>2317</v>
      </c>
      <c r="J54" t="s">
        <v>2327</v>
      </c>
      <c r="K54" t="s">
        <v>2327</v>
      </c>
      <c r="L54">
        <v>475897</v>
      </c>
      <c r="M54" t="s">
        <v>2330</v>
      </c>
      <c r="N54" t="s">
        <v>2383</v>
      </c>
      <c r="O54" t="s">
        <v>3053</v>
      </c>
      <c r="P54" t="s">
        <v>3056</v>
      </c>
      <c r="Q54" t="s">
        <v>3119</v>
      </c>
      <c r="R54">
        <v>86.68</v>
      </c>
      <c r="S54">
        <v>7</v>
      </c>
      <c r="T54">
        <v>0.1</v>
      </c>
      <c r="U54">
        <v>5.07</v>
      </c>
    </row>
    <row r="55" spans="1:21" x14ac:dyDescent="0.3">
      <c r="A55">
        <v>54</v>
      </c>
      <c r="B55" t="s">
        <v>74</v>
      </c>
      <c r="C55" s="2">
        <v>45305</v>
      </c>
      <c r="D55" s="2">
        <v>45309</v>
      </c>
      <c r="E55" t="s">
        <v>1524</v>
      </c>
      <c r="F55" t="s">
        <v>1575</v>
      </c>
      <c r="G55" t="s">
        <v>1968</v>
      </c>
      <c r="H55" t="s">
        <v>2315</v>
      </c>
      <c r="I55" t="s">
        <v>2317</v>
      </c>
      <c r="J55" t="s">
        <v>2324</v>
      </c>
      <c r="K55" t="s">
        <v>2324</v>
      </c>
      <c r="L55">
        <v>728068</v>
      </c>
      <c r="M55" t="s">
        <v>2330</v>
      </c>
      <c r="N55" t="s">
        <v>2384</v>
      </c>
      <c r="O55" t="s">
        <v>3054</v>
      </c>
      <c r="P55" t="s">
        <v>3057</v>
      </c>
      <c r="Q55" t="s">
        <v>3120</v>
      </c>
      <c r="R55">
        <v>42.22</v>
      </c>
      <c r="S55">
        <v>1</v>
      </c>
      <c r="T55">
        <v>0.15</v>
      </c>
      <c r="U55">
        <v>-36.35</v>
      </c>
    </row>
    <row r="56" spans="1:21" x14ac:dyDescent="0.3">
      <c r="A56">
        <v>55</v>
      </c>
      <c r="B56" t="s">
        <v>75</v>
      </c>
      <c r="C56" s="2">
        <v>45533</v>
      </c>
      <c r="D56" s="2">
        <v>45538</v>
      </c>
      <c r="E56" t="s">
        <v>1523</v>
      </c>
      <c r="F56" t="s">
        <v>1561</v>
      </c>
      <c r="G56" t="s">
        <v>1969</v>
      </c>
      <c r="H56" t="s">
        <v>2316</v>
      </c>
      <c r="I56" t="s">
        <v>2317</v>
      </c>
      <c r="J56" t="s">
        <v>2321</v>
      </c>
      <c r="K56" t="s">
        <v>2321</v>
      </c>
      <c r="L56">
        <v>527709</v>
      </c>
      <c r="M56" t="s">
        <v>2329</v>
      </c>
      <c r="N56" t="s">
        <v>2385</v>
      </c>
      <c r="O56" t="s">
        <v>3054</v>
      </c>
      <c r="P56" t="s">
        <v>3057</v>
      </c>
      <c r="Q56" t="s">
        <v>3121</v>
      </c>
      <c r="R56">
        <v>112.79</v>
      </c>
      <c r="S56">
        <v>5</v>
      </c>
      <c r="T56">
        <v>0.1</v>
      </c>
      <c r="U56">
        <v>46.13</v>
      </c>
    </row>
    <row r="57" spans="1:21" x14ac:dyDescent="0.3">
      <c r="A57">
        <v>56</v>
      </c>
      <c r="B57" t="s">
        <v>76</v>
      </c>
      <c r="C57" s="2">
        <v>45637</v>
      </c>
      <c r="D57" s="2">
        <v>45641</v>
      </c>
      <c r="E57" t="s">
        <v>1521</v>
      </c>
      <c r="F57" t="s">
        <v>1576</v>
      </c>
      <c r="G57" t="s">
        <v>1968</v>
      </c>
      <c r="H57" t="s">
        <v>2315</v>
      </c>
      <c r="I57" t="s">
        <v>2317</v>
      </c>
      <c r="J57" t="s">
        <v>2318</v>
      </c>
      <c r="K57" t="s">
        <v>2318</v>
      </c>
      <c r="L57">
        <v>825571</v>
      </c>
      <c r="M57" t="s">
        <v>2328</v>
      </c>
      <c r="N57" t="s">
        <v>2386</v>
      </c>
      <c r="O57" t="s">
        <v>3054</v>
      </c>
      <c r="P57" t="s">
        <v>3064</v>
      </c>
      <c r="Q57" t="s">
        <v>3122</v>
      </c>
      <c r="R57">
        <v>69.319999999999993</v>
      </c>
      <c r="S57">
        <v>4</v>
      </c>
      <c r="T57">
        <v>0.15</v>
      </c>
      <c r="U57">
        <v>0.14000000000000001</v>
      </c>
    </row>
    <row r="58" spans="1:21" x14ac:dyDescent="0.3">
      <c r="A58">
        <v>57</v>
      </c>
      <c r="B58" t="s">
        <v>77</v>
      </c>
      <c r="C58" s="2">
        <v>45856</v>
      </c>
      <c r="D58" s="2">
        <v>45861</v>
      </c>
      <c r="E58" t="s">
        <v>1521</v>
      </c>
      <c r="F58" t="s">
        <v>1577</v>
      </c>
      <c r="G58" t="s">
        <v>1970</v>
      </c>
      <c r="H58" t="s">
        <v>2316</v>
      </c>
      <c r="I58" t="s">
        <v>2317</v>
      </c>
      <c r="J58" t="s">
        <v>2318</v>
      </c>
      <c r="K58" t="s">
        <v>2318</v>
      </c>
      <c r="L58">
        <v>437462</v>
      </c>
      <c r="M58" t="s">
        <v>2328</v>
      </c>
      <c r="N58" t="s">
        <v>2387</v>
      </c>
      <c r="O58" t="s">
        <v>3055</v>
      </c>
      <c r="P58" t="s">
        <v>3067</v>
      </c>
      <c r="Q58" t="s">
        <v>3123</v>
      </c>
      <c r="R58">
        <v>212.84</v>
      </c>
      <c r="S58">
        <v>1</v>
      </c>
      <c r="T58">
        <v>0.05</v>
      </c>
      <c r="U58">
        <v>28.36</v>
      </c>
    </row>
    <row r="59" spans="1:21" x14ac:dyDescent="0.3">
      <c r="A59">
        <v>58</v>
      </c>
      <c r="B59" t="s">
        <v>78</v>
      </c>
      <c r="C59" s="2">
        <v>45631</v>
      </c>
      <c r="D59" s="2">
        <v>45634</v>
      </c>
      <c r="E59" t="s">
        <v>1522</v>
      </c>
      <c r="F59" t="s">
        <v>1578</v>
      </c>
      <c r="G59" t="s">
        <v>1971</v>
      </c>
      <c r="H59" t="s">
        <v>2316</v>
      </c>
      <c r="I59" t="s">
        <v>2317</v>
      </c>
      <c r="J59" t="s">
        <v>2322</v>
      </c>
      <c r="K59" t="s">
        <v>2322</v>
      </c>
      <c r="L59">
        <v>187593</v>
      </c>
      <c r="M59" t="s">
        <v>2331</v>
      </c>
      <c r="N59" t="s">
        <v>2388</v>
      </c>
      <c r="O59" t="s">
        <v>3054</v>
      </c>
      <c r="P59" t="s">
        <v>3058</v>
      </c>
      <c r="Q59" t="s">
        <v>3124</v>
      </c>
      <c r="R59">
        <v>33.39</v>
      </c>
      <c r="S59">
        <v>7</v>
      </c>
      <c r="T59">
        <v>0.15</v>
      </c>
      <c r="U59">
        <v>15.89</v>
      </c>
    </row>
    <row r="60" spans="1:21" x14ac:dyDescent="0.3">
      <c r="A60">
        <v>59</v>
      </c>
      <c r="B60" t="s">
        <v>79</v>
      </c>
      <c r="C60" s="2">
        <v>45383</v>
      </c>
      <c r="D60" s="2">
        <v>45385</v>
      </c>
      <c r="E60" t="s">
        <v>1521</v>
      </c>
      <c r="F60" t="s">
        <v>1569</v>
      </c>
      <c r="G60" t="s">
        <v>1969</v>
      </c>
      <c r="H60" t="s">
        <v>2314</v>
      </c>
      <c r="I60" t="s">
        <v>2317</v>
      </c>
      <c r="J60" t="s">
        <v>2320</v>
      </c>
      <c r="K60" t="s">
        <v>2320</v>
      </c>
      <c r="L60">
        <v>566978</v>
      </c>
      <c r="M60" t="s">
        <v>2330</v>
      </c>
      <c r="N60" t="s">
        <v>2389</v>
      </c>
      <c r="O60" t="s">
        <v>3055</v>
      </c>
      <c r="P60" t="s">
        <v>3061</v>
      </c>
      <c r="Q60" t="s">
        <v>3125</v>
      </c>
      <c r="R60">
        <v>888.29</v>
      </c>
      <c r="S60">
        <v>7</v>
      </c>
      <c r="T60">
        <v>0</v>
      </c>
      <c r="U60">
        <v>106.06</v>
      </c>
    </row>
    <row r="61" spans="1:21" x14ac:dyDescent="0.3">
      <c r="A61">
        <v>60</v>
      </c>
      <c r="B61" t="s">
        <v>80</v>
      </c>
      <c r="C61" s="2">
        <v>45658</v>
      </c>
      <c r="D61" s="2">
        <v>45662</v>
      </c>
      <c r="E61" t="s">
        <v>1523</v>
      </c>
      <c r="F61" t="s">
        <v>1579</v>
      </c>
      <c r="G61" t="s">
        <v>1972</v>
      </c>
      <c r="H61" t="s">
        <v>2314</v>
      </c>
      <c r="I61" t="s">
        <v>2317</v>
      </c>
      <c r="J61" t="s">
        <v>2326</v>
      </c>
      <c r="K61" t="s">
        <v>2326</v>
      </c>
      <c r="L61">
        <v>227572</v>
      </c>
      <c r="M61" t="s">
        <v>2331</v>
      </c>
      <c r="N61" t="s">
        <v>2390</v>
      </c>
      <c r="O61" t="s">
        <v>3054</v>
      </c>
      <c r="P61" t="s">
        <v>3058</v>
      </c>
      <c r="Q61" t="s">
        <v>3126</v>
      </c>
      <c r="R61">
        <v>11.92</v>
      </c>
      <c r="S61">
        <v>6</v>
      </c>
      <c r="T61">
        <v>0.1</v>
      </c>
      <c r="U61">
        <v>52.81</v>
      </c>
    </row>
    <row r="62" spans="1:21" x14ac:dyDescent="0.3">
      <c r="A62">
        <v>61</v>
      </c>
      <c r="B62" t="s">
        <v>81</v>
      </c>
      <c r="C62" s="2">
        <v>45746</v>
      </c>
      <c r="D62" s="2">
        <v>45748</v>
      </c>
      <c r="E62" t="s">
        <v>1522</v>
      </c>
      <c r="F62" t="s">
        <v>1553</v>
      </c>
      <c r="G62" t="s">
        <v>1973</v>
      </c>
      <c r="H62" t="s">
        <v>2314</v>
      </c>
      <c r="I62" t="s">
        <v>2317</v>
      </c>
      <c r="J62" t="s">
        <v>2318</v>
      </c>
      <c r="K62" t="s">
        <v>2318</v>
      </c>
      <c r="L62">
        <v>617733</v>
      </c>
      <c r="M62" t="s">
        <v>2328</v>
      </c>
      <c r="N62" t="s">
        <v>2391</v>
      </c>
      <c r="O62" t="s">
        <v>3054</v>
      </c>
      <c r="P62" t="s">
        <v>3063</v>
      </c>
      <c r="Q62" t="s">
        <v>3127</v>
      </c>
      <c r="R62">
        <v>91.12</v>
      </c>
      <c r="S62">
        <v>7</v>
      </c>
      <c r="T62">
        <v>0.05</v>
      </c>
      <c r="U62">
        <v>14.1</v>
      </c>
    </row>
    <row r="63" spans="1:21" x14ac:dyDescent="0.3">
      <c r="A63">
        <v>62</v>
      </c>
      <c r="B63" t="s">
        <v>82</v>
      </c>
      <c r="C63" s="2">
        <v>45719</v>
      </c>
      <c r="D63" s="2">
        <v>45722</v>
      </c>
      <c r="E63" t="s">
        <v>1523</v>
      </c>
      <c r="F63" t="s">
        <v>1580</v>
      </c>
      <c r="G63" t="s">
        <v>1974</v>
      </c>
      <c r="H63" t="s">
        <v>2316</v>
      </c>
      <c r="I63" t="s">
        <v>2317</v>
      </c>
      <c r="J63" t="s">
        <v>2321</v>
      </c>
      <c r="K63" t="s">
        <v>2321</v>
      </c>
      <c r="L63">
        <v>519515</v>
      </c>
      <c r="M63" t="s">
        <v>2329</v>
      </c>
      <c r="N63" t="s">
        <v>2392</v>
      </c>
      <c r="O63" t="s">
        <v>3054</v>
      </c>
      <c r="P63" t="s">
        <v>3064</v>
      </c>
      <c r="Q63" t="s">
        <v>3085</v>
      </c>
      <c r="R63">
        <v>14.3</v>
      </c>
      <c r="S63">
        <v>8</v>
      </c>
      <c r="T63">
        <v>0.1</v>
      </c>
      <c r="U63">
        <v>35.58</v>
      </c>
    </row>
    <row r="64" spans="1:21" x14ac:dyDescent="0.3">
      <c r="A64">
        <v>63</v>
      </c>
      <c r="B64" t="s">
        <v>83</v>
      </c>
      <c r="C64" s="2">
        <v>45800</v>
      </c>
      <c r="D64" s="2">
        <v>45803</v>
      </c>
      <c r="E64" t="s">
        <v>1521</v>
      </c>
      <c r="F64" t="s">
        <v>1581</v>
      </c>
      <c r="G64" t="s">
        <v>1932</v>
      </c>
      <c r="H64" t="s">
        <v>2314</v>
      </c>
      <c r="I64" t="s">
        <v>2317</v>
      </c>
      <c r="J64" t="s">
        <v>2327</v>
      </c>
      <c r="K64" t="s">
        <v>2327</v>
      </c>
      <c r="L64">
        <v>259163</v>
      </c>
      <c r="M64" t="s">
        <v>2330</v>
      </c>
      <c r="N64" t="s">
        <v>2393</v>
      </c>
      <c r="O64" t="s">
        <v>3054</v>
      </c>
      <c r="P64" t="s">
        <v>3057</v>
      </c>
      <c r="Q64" t="s">
        <v>3128</v>
      </c>
      <c r="R64">
        <v>98.44</v>
      </c>
      <c r="S64">
        <v>4</v>
      </c>
      <c r="T64">
        <v>0.05</v>
      </c>
      <c r="U64">
        <v>18.29</v>
      </c>
    </row>
    <row r="65" spans="1:21" x14ac:dyDescent="0.3">
      <c r="A65">
        <v>64</v>
      </c>
      <c r="B65" t="s">
        <v>84</v>
      </c>
      <c r="C65" s="2">
        <v>45326</v>
      </c>
      <c r="D65" s="2">
        <v>45329</v>
      </c>
      <c r="E65" t="s">
        <v>1523</v>
      </c>
      <c r="F65" t="s">
        <v>1551</v>
      </c>
      <c r="G65" t="s">
        <v>1975</v>
      </c>
      <c r="H65" t="s">
        <v>2316</v>
      </c>
      <c r="I65" t="s">
        <v>2317</v>
      </c>
      <c r="J65" t="s">
        <v>2318</v>
      </c>
      <c r="K65" t="s">
        <v>2318</v>
      </c>
      <c r="L65">
        <v>252545</v>
      </c>
      <c r="M65" t="s">
        <v>2328</v>
      </c>
      <c r="N65" t="s">
        <v>2394</v>
      </c>
      <c r="O65" t="s">
        <v>3055</v>
      </c>
      <c r="P65" t="s">
        <v>3067</v>
      </c>
      <c r="Q65" t="s">
        <v>3129</v>
      </c>
      <c r="R65">
        <v>737.92</v>
      </c>
      <c r="S65">
        <v>3</v>
      </c>
      <c r="T65">
        <v>0.1</v>
      </c>
      <c r="U65">
        <v>59.27</v>
      </c>
    </row>
    <row r="66" spans="1:21" x14ac:dyDescent="0.3">
      <c r="A66">
        <v>65</v>
      </c>
      <c r="B66" t="s">
        <v>85</v>
      </c>
      <c r="C66" s="2">
        <v>45497</v>
      </c>
      <c r="D66" s="2">
        <v>45499</v>
      </c>
      <c r="E66" t="s">
        <v>1522</v>
      </c>
      <c r="F66" t="s">
        <v>1548</v>
      </c>
      <c r="G66" t="s">
        <v>1976</v>
      </c>
      <c r="H66" t="s">
        <v>2315</v>
      </c>
      <c r="I66" t="s">
        <v>2317</v>
      </c>
      <c r="J66" t="s">
        <v>2327</v>
      </c>
      <c r="K66" t="s">
        <v>2327</v>
      </c>
      <c r="L66">
        <v>747534</v>
      </c>
      <c r="M66" t="s">
        <v>2330</v>
      </c>
      <c r="N66" t="s">
        <v>2395</v>
      </c>
      <c r="O66" t="s">
        <v>3054</v>
      </c>
      <c r="P66" t="s">
        <v>3063</v>
      </c>
      <c r="Q66" t="s">
        <v>3130</v>
      </c>
      <c r="R66">
        <v>44.11</v>
      </c>
      <c r="S66">
        <v>6</v>
      </c>
      <c r="T66">
        <v>0.1</v>
      </c>
      <c r="U66">
        <v>33.869999999999997</v>
      </c>
    </row>
    <row r="67" spans="1:21" x14ac:dyDescent="0.3">
      <c r="A67">
        <v>66</v>
      </c>
      <c r="B67" t="s">
        <v>86</v>
      </c>
      <c r="C67" s="2">
        <v>45372</v>
      </c>
      <c r="D67" s="2">
        <v>45375</v>
      </c>
      <c r="E67" t="s">
        <v>1524</v>
      </c>
      <c r="F67" t="s">
        <v>1582</v>
      </c>
      <c r="G67" t="s">
        <v>1977</v>
      </c>
      <c r="H67" t="s">
        <v>2314</v>
      </c>
      <c r="I67" t="s">
        <v>2317</v>
      </c>
      <c r="J67" t="s">
        <v>2318</v>
      </c>
      <c r="K67" t="s">
        <v>2318</v>
      </c>
      <c r="L67">
        <v>456386</v>
      </c>
      <c r="M67" t="s">
        <v>2328</v>
      </c>
      <c r="N67" t="s">
        <v>2396</v>
      </c>
      <c r="O67" t="s">
        <v>3054</v>
      </c>
      <c r="P67" t="s">
        <v>3064</v>
      </c>
      <c r="Q67" t="s">
        <v>3131</v>
      </c>
      <c r="R67">
        <v>64.7</v>
      </c>
      <c r="S67">
        <v>7</v>
      </c>
      <c r="T67">
        <v>0.2</v>
      </c>
      <c r="U67">
        <v>-14.3</v>
      </c>
    </row>
    <row r="68" spans="1:21" x14ac:dyDescent="0.3">
      <c r="A68">
        <v>67</v>
      </c>
      <c r="B68" t="s">
        <v>87</v>
      </c>
      <c r="C68" s="2">
        <v>45853</v>
      </c>
      <c r="D68" s="2">
        <v>45857</v>
      </c>
      <c r="E68" t="s">
        <v>1521</v>
      </c>
      <c r="F68" t="s">
        <v>1583</v>
      </c>
      <c r="G68" t="s">
        <v>1978</v>
      </c>
      <c r="H68" t="s">
        <v>2315</v>
      </c>
      <c r="I68" t="s">
        <v>2317</v>
      </c>
      <c r="J68" t="s">
        <v>2326</v>
      </c>
      <c r="K68" t="s">
        <v>2326</v>
      </c>
      <c r="L68">
        <v>810731</v>
      </c>
      <c r="M68" t="s">
        <v>2331</v>
      </c>
      <c r="N68" t="s">
        <v>2397</v>
      </c>
      <c r="O68" t="s">
        <v>3055</v>
      </c>
      <c r="P68" t="s">
        <v>3059</v>
      </c>
      <c r="Q68" t="s">
        <v>3132</v>
      </c>
      <c r="R68">
        <v>332.84</v>
      </c>
      <c r="S68">
        <v>6</v>
      </c>
      <c r="T68">
        <v>0.15</v>
      </c>
      <c r="U68">
        <v>69.760000000000005</v>
      </c>
    </row>
    <row r="69" spans="1:21" x14ac:dyDescent="0.3">
      <c r="A69">
        <v>68</v>
      </c>
      <c r="B69" t="s">
        <v>88</v>
      </c>
      <c r="C69" s="2">
        <v>45679</v>
      </c>
      <c r="D69" s="2">
        <v>45680</v>
      </c>
      <c r="E69" t="s">
        <v>1521</v>
      </c>
      <c r="F69" t="s">
        <v>1584</v>
      </c>
      <c r="G69" t="s">
        <v>1979</v>
      </c>
      <c r="H69" t="s">
        <v>2314</v>
      </c>
      <c r="I69" t="s">
        <v>2317</v>
      </c>
      <c r="J69" t="s">
        <v>2323</v>
      </c>
      <c r="K69" t="s">
        <v>2323</v>
      </c>
      <c r="L69">
        <v>302210</v>
      </c>
      <c r="M69" t="s">
        <v>2328</v>
      </c>
      <c r="N69" t="s">
        <v>2398</v>
      </c>
      <c r="O69" t="s">
        <v>3054</v>
      </c>
      <c r="P69" t="s">
        <v>3063</v>
      </c>
      <c r="Q69" t="s">
        <v>3099</v>
      </c>
      <c r="R69">
        <v>106.13</v>
      </c>
      <c r="S69">
        <v>1</v>
      </c>
      <c r="T69">
        <v>0.3</v>
      </c>
      <c r="U69">
        <v>13.48</v>
      </c>
    </row>
    <row r="70" spans="1:21" x14ac:dyDescent="0.3">
      <c r="A70">
        <v>69</v>
      </c>
      <c r="B70" t="s">
        <v>89</v>
      </c>
      <c r="C70" s="2">
        <v>45293</v>
      </c>
      <c r="D70" s="2">
        <v>45297</v>
      </c>
      <c r="E70" t="s">
        <v>1522</v>
      </c>
      <c r="F70" t="s">
        <v>1585</v>
      </c>
      <c r="G70" t="s">
        <v>1980</v>
      </c>
      <c r="H70" t="s">
        <v>2314</v>
      </c>
      <c r="I70" t="s">
        <v>2317</v>
      </c>
      <c r="J70" t="s">
        <v>2318</v>
      </c>
      <c r="K70" t="s">
        <v>2318</v>
      </c>
      <c r="L70">
        <v>333462</v>
      </c>
      <c r="M70" t="s">
        <v>2328</v>
      </c>
      <c r="N70" t="s">
        <v>2399</v>
      </c>
      <c r="O70" t="s">
        <v>3055</v>
      </c>
      <c r="P70" t="s">
        <v>3059</v>
      </c>
      <c r="Q70" t="s">
        <v>3133</v>
      </c>
      <c r="R70">
        <v>226.83</v>
      </c>
      <c r="S70">
        <v>7</v>
      </c>
      <c r="T70">
        <v>0.15</v>
      </c>
      <c r="U70">
        <v>20.170000000000002</v>
      </c>
    </row>
    <row r="71" spans="1:21" x14ac:dyDescent="0.3">
      <c r="A71">
        <v>70</v>
      </c>
      <c r="B71" t="s">
        <v>90</v>
      </c>
      <c r="C71" s="2">
        <v>45681</v>
      </c>
      <c r="D71" s="2">
        <v>45683</v>
      </c>
      <c r="E71" t="s">
        <v>1524</v>
      </c>
      <c r="F71" t="s">
        <v>1586</v>
      </c>
      <c r="G71" t="s">
        <v>1981</v>
      </c>
      <c r="H71" t="s">
        <v>2315</v>
      </c>
      <c r="I71" t="s">
        <v>2317</v>
      </c>
      <c r="J71" t="s">
        <v>2321</v>
      </c>
      <c r="K71" t="s">
        <v>2321</v>
      </c>
      <c r="L71">
        <v>908524</v>
      </c>
      <c r="M71" t="s">
        <v>2329</v>
      </c>
      <c r="N71" t="s">
        <v>2400</v>
      </c>
      <c r="O71" t="s">
        <v>3054</v>
      </c>
      <c r="P71" t="s">
        <v>3064</v>
      </c>
      <c r="Q71" t="s">
        <v>3134</v>
      </c>
      <c r="R71">
        <v>68.25</v>
      </c>
      <c r="S71">
        <v>8</v>
      </c>
      <c r="T71">
        <v>0.1</v>
      </c>
      <c r="U71">
        <v>-16.5</v>
      </c>
    </row>
    <row r="72" spans="1:21" x14ac:dyDescent="0.3">
      <c r="A72">
        <v>71</v>
      </c>
      <c r="B72" t="s">
        <v>91</v>
      </c>
      <c r="C72" s="2">
        <v>45857</v>
      </c>
      <c r="D72" s="2">
        <v>45859</v>
      </c>
      <c r="E72" t="s">
        <v>1523</v>
      </c>
      <c r="F72" t="s">
        <v>1587</v>
      </c>
      <c r="G72" t="s">
        <v>1982</v>
      </c>
      <c r="H72" t="s">
        <v>2314</v>
      </c>
      <c r="I72" t="s">
        <v>2317</v>
      </c>
      <c r="J72" t="s">
        <v>2318</v>
      </c>
      <c r="K72" t="s">
        <v>2318</v>
      </c>
      <c r="L72">
        <v>510281</v>
      </c>
      <c r="M72" t="s">
        <v>2328</v>
      </c>
      <c r="N72" t="s">
        <v>2401</v>
      </c>
      <c r="O72" t="s">
        <v>3054</v>
      </c>
      <c r="P72" t="s">
        <v>3058</v>
      </c>
      <c r="Q72" t="s">
        <v>3135</v>
      </c>
      <c r="R72">
        <v>38.97</v>
      </c>
      <c r="S72">
        <v>1</v>
      </c>
      <c r="T72">
        <v>0.1</v>
      </c>
      <c r="U72">
        <v>19.190000000000001</v>
      </c>
    </row>
    <row r="73" spans="1:21" x14ac:dyDescent="0.3">
      <c r="A73">
        <v>72</v>
      </c>
      <c r="B73" t="s">
        <v>92</v>
      </c>
      <c r="C73" s="2">
        <v>45397</v>
      </c>
      <c r="D73" s="2">
        <v>45400</v>
      </c>
      <c r="E73" t="s">
        <v>1522</v>
      </c>
      <c r="F73" t="s">
        <v>1588</v>
      </c>
      <c r="G73" t="s">
        <v>1983</v>
      </c>
      <c r="H73" t="s">
        <v>2316</v>
      </c>
      <c r="I73" t="s">
        <v>2317</v>
      </c>
      <c r="J73" t="s">
        <v>2320</v>
      </c>
      <c r="K73" t="s">
        <v>2320</v>
      </c>
      <c r="L73">
        <v>703724</v>
      </c>
      <c r="M73" t="s">
        <v>2330</v>
      </c>
      <c r="N73" t="s">
        <v>2402</v>
      </c>
      <c r="O73" t="s">
        <v>3054</v>
      </c>
      <c r="P73" t="s">
        <v>3063</v>
      </c>
      <c r="Q73" t="s">
        <v>3136</v>
      </c>
      <c r="R73">
        <v>40.630000000000003</v>
      </c>
      <c r="S73">
        <v>4</v>
      </c>
      <c r="T73">
        <v>0.2</v>
      </c>
      <c r="U73">
        <v>33.5</v>
      </c>
    </row>
    <row r="74" spans="1:21" x14ac:dyDescent="0.3">
      <c r="A74">
        <v>73</v>
      </c>
      <c r="B74" t="s">
        <v>93</v>
      </c>
      <c r="C74" s="2">
        <v>45768</v>
      </c>
      <c r="D74" s="2">
        <v>45771</v>
      </c>
      <c r="E74" t="s">
        <v>1524</v>
      </c>
      <c r="F74" t="s">
        <v>1582</v>
      </c>
      <c r="G74" t="s">
        <v>1984</v>
      </c>
      <c r="H74" t="s">
        <v>2315</v>
      </c>
      <c r="I74" t="s">
        <v>2317</v>
      </c>
      <c r="J74" t="s">
        <v>2326</v>
      </c>
      <c r="K74" t="s">
        <v>2326</v>
      </c>
      <c r="L74">
        <v>187980</v>
      </c>
      <c r="M74" t="s">
        <v>2331</v>
      </c>
      <c r="N74" t="s">
        <v>2403</v>
      </c>
      <c r="O74" t="s">
        <v>3055</v>
      </c>
      <c r="P74" t="s">
        <v>3067</v>
      </c>
      <c r="Q74" t="s">
        <v>3137</v>
      </c>
      <c r="R74">
        <v>191.42</v>
      </c>
      <c r="S74">
        <v>5</v>
      </c>
      <c r="T74">
        <v>0.1</v>
      </c>
      <c r="U74">
        <v>34.29</v>
      </c>
    </row>
    <row r="75" spans="1:21" x14ac:dyDescent="0.3">
      <c r="A75">
        <v>74</v>
      </c>
      <c r="B75" t="s">
        <v>94</v>
      </c>
      <c r="C75" s="2">
        <v>45994</v>
      </c>
      <c r="D75" s="2">
        <v>45995</v>
      </c>
      <c r="E75" t="s">
        <v>1523</v>
      </c>
      <c r="F75" t="s">
        <v>1589</v>
      </c>
      <c r="G75" t="s">
        <v>1985</v>
      </c>
      <c r="H75" t="s">
        <v>2316</v>
      </c>
      <c r="I75" t="s">
        <v>2317</v>
      </c>
      <c r="J75" t="s">
        <v>2321</v>
      </c>
      <c r="K75" t="s">
        <v>2321</v>
      </c>
      <c r="L75">
        <v>663543</v>
      </c>
      <c r="M75" t="s">
        <v>2329</v>
      </c>
      <c r="N75" t="s">
        <v>2404</v>
      </c>
      <c r="O75" t="s">
        <v>3053</v>
      </c>
      <c r="P75" t="s">
        <v>3056</v>
      </c>
      <c r="Q75" t="s">
        <v>3094</v>
      </c>
      <c r="R75">
        <v>251.46</v>
      </c>
      <c r="S75">
        <v>8</v>
      </c>
      <c r="T75">
        <v>0</v>
      </c>
      <c r="U75">
        <v>1.81</v>
      </c>
    </row>
    <row r="76" spans="1:21" x14ac:dyDescent="0.3">
      <c r="A76">
        <v>75</v>
      </c>
      <c r="B76" t="s">
        <v>95</v>
      </c>
      <c r="C76" s="2">
        <v>45693</v>
      </c>
      <c r="D76" s="2">
        <v>45696</v>
      </c>
      <c r="E76" t="s">
        <v>1524</v>
      </c>
      <c r="F76" t="s">
        <v>1590</v>
      </c>
      <c r="G76" t="s">
        <v>1986</v>
      </c>
      <c r="H76" t="s">
        <v>2315</v>
      </c>
      <c r="I76" t="s">
        <v>2317</v>
      </c>
      <c r="J76" t="s">
        <v>2324</v>
      </c>
      <c r="K76" t="s">
        <v>2324</v>
      </c>
      <c r="L76">
        <v>957586</v>
      </c>
      <c r="M76" t="s">
        <v>2330</v>
      </c>
      <c r="N76" t="s">
        <v>2357</v>
      </c>
      <c r="O76" t="s">
        <v>3053</v>
      </c>
      <c r="P76" t="s">
        <v>3056</v>
      </c>
      <c r="Q76" t="s">
        <v>3138</v>
      </c>
      <c r="R76">
        <v>255.32</v>
      </c>
      <c r="S76">
        <v>1</v>
      </c>
      <c r="T76">
        <v>0.3</v>
      </c>
      <c r="U76">
        <v>12.82</v>
      </c>
    </row>
    <row r="77" spans="1:21" x14ac:dyDescent="0.3">
      <c r="A77">
        <v>76</v>
      </c>
      <c r="B77" t="s">
        <v>96</v>
      </c>
      <c r="C77" s="2">
        <v>46021</v>
      </c>
      <c r="D77" s="2">
        <v>46024</v>
      </c>
      <c r="E77" t="s">
        <v>1522</v>
      </c>
      <c r="F77" t="s">
        <v>1591</v>
      </c>
      <c r="G77" t="s">
        <v>1987</v>
      </c>
      <c r="H77" t="s">
        <v>2315</v>
      </c>
      <c r="I77" t="s">
        <v>2317</v>
      </c>
      <c r="J77" t="s">
        <v>2321</v>
      </c>
      <c r="K77" t="s">
        <v>2321</v>
      </c>
      <c r="L77">
        <v>331444</v>
      </c>
      <c r="M77" t="s">
        <v>2329</v>
      </c>
      <c r="N77" t="s">
        <v>2405</v>
      </c>
      <c r="O77" t="s">
        <v>3054</v>
      </c>
      <c r="P77" t="s">
        <v>3064</v>
      </c>
      <c r="Q77" t="s">
        <v>3139</v>
      </c>
      <c r="R77">
        <v>62.35</v>
      </c>
      <c r="S77">
        <v>3</v>
      </c>
      <c r="T77">
        <v>0.2</v>
      </c>
      <c r="U77">
        <v>-5.72</v>
      </c>
    </row>
    <row r="78" spans="1:21" x14ac:dyDescent="0.3">
      <c r="A78">
        <v>77</v>
      </c>
      <c r="B78" t="s">
        <v>97</v>
      </c>
      <c r="C78" s="2">
        <v>45847</v>
      </c>
      <c r="D78" s="2">
        <v>45849</v>
      </c>
      <c r="E78" t="s">
        <v>1523</v>
      </c>
      <c r="F78" t="s">
        <v>1591</v>
      </c>
      <c r="G78" t="s">
        <v>1988</v>
      </c>
      <c r="H78" t="s">
        <v>2314</v>
      </c>
      <c r="I78" t="s">
        <v>2317</v>
      </c>
      <c r="J78" t="s">
        <v>2320</v>
      </c>
      <c r="K78" t="s">
        <v>2320</v>
      </c>
      <c r="L78">
        <v>917166</v>
      </c>
      <c r="M78" t="s">
        <v>2330</v>
      </c>
      <c r="N78" t="s">
        <v>2406</v>
      </c>
      <c r="O78" t="s">
        <v>3053</v>
      </c>
      <c r="P78" t="s">
        <v>3066</v>
      </c>
      <c r="Q78" t="s">
        <v>3140</v>
      </c>
      <c r="R78">
        <v>230.43</v>
      </c>
      <c r="S78">
        <v>9</v>
      </c>
      <c r="T78">
        <v>0.05</v>
      </c>
      <c r="U78">
        <v>-13.33</v>
      </c>
    </row>
    <row r="79" spans="1:21" x14ac:dyDescent="0.3">
      <c r="A79">
        <v>78</v>
      </c>
      <c r="B79" t="s">
        <v>98</v>
      </c>
      <c r="C79" s="2">
        <v>45453</v>
      </c>
      <c r="D79" s="2">
        <v>45456</v>
      </c>
      <c r="E79" t="s">
        <v>1522</v>
      </c>
      <c r="F79" t="s">
        <v>1571</v>
      </c>
      <c r="G79" t="s">
        <v>1989</v>
      </c>
      <c r="H79" t="s">
        <v>2314</v>
      </c>
      <c r="I79" t="s">
        <v>2317</v>
      </c>
      <c r="J79" t="s">
        <v>2323</v>
      </c>
      <c r="K79" t="s">
        <v>2323</v>
      </c>
      <c r="L79">
        <v>690611</v>
      </c>
      <c r="M79" t="s">
        <v>2328</v>
      </c>
      <c r="N79" t="s">
        <v>2407</v>
      </c>
      <c r="O79" t="s">
        <v>3053</v>
      </c>
      <c r="P79" t="s">
        <v>3066</v>
      </c>
      <c r="Q79" t="s">
        <v>3141</v>
      </c>
      <c r="R79">
        <v>106.75</v>
      </c>
      <c r="S79">
        <v>9</v>
      </c>
      <c r="T79">
        <v>0.1</v>
      </c>
      <c r="U79">
        <v>-19.89</v>
      </c>
    </row>
    <row r="80" spans="1:21" x14ac:dyDescent="0.3">
      <c r="A80">
        <v>79</v>
      </c>
      <c r="B80" t="s">
        <v>99</v>
      </c>
      <c r="C80" s="2">
        <v>45493</v>
      </c>
      <c r="D80" s="2">
        <v>45496</v>
      </c>
      <c r="E80" t="s">
        <v>1524</v>
      </c>
      <c r="F80" t="s">
        <v>1592</v>
      </c>
      <c r="G80" t="s">
        <v>1990</v>
      </c>
      <c r="H80" t="s">
        <v>2316</v>
      </c>
      <c r="I80" t="s">
        <v>2317</v>
      </c>
      <c r="J80" t="s">
        <v>2326</v>
      </c>
      <c r="K80" t="s">
        <v>2326</v>
      </c>
      <c r="L80">
        <v>866941</v>
      </c>
      <c r="M80" t="s">
        <v>2331</v>
      </c>
      <c r="N80" t="s">
        <v>2385</v>
      </c>
      <c r="O80" t="s">
        <v>3054</v>
      </c>
      <c r="P80" t="s">
        <v>3058</v>
      </c>
      <c r="Q80" t="s">
        <v>3142</v>
      </c>
      <c r="R80">
        <v>46.53</v>
      </c>
      <c r="S80">
        <v>2</v>
      </c>
      <c r="T80">
        <v>0.05</v>
      </c>
      <c r="U80">
        <v>23.96</v>
      </c>
    </row>
    <row r="81" spans="1:21" x14ac:dyDescent="0.3">
      <c r="A81">
        <v>80</v>
      </c>
      <c r="B81" t="s">
        <v>100</v>
      </c>
      <c r="C81" s="2">
        <v>45561</v>
      </c>
      <c r="D81" s="2">
        <v>45565</v>
      </c>
      <c r="E81" t="s">
        <v>1523</v>
      </c>
      <c r="F81" t="s">
        <v>1593</v>
      </c>
      <c r="G81" t="s">
        <v>1947</v>
      </c>
      <c r="H81" t="s">
        <v>2315</v>
      </c>
      <c r="I81" t="s">
        <v>2317</v>
      </c>
      <c r="J81" t="s">
        <v>2324</v>
      </c>
      <c r="K81" t="s">
        <v>2324</v>
      </c>
      <c r="L81">
        <v>263639</v>
      </c>
      <c r="M81" t="s">
        <v>2330</v>
      </c>
      <c r="N81" t="s">
        <v>2408</v>
      </c>
      <c r="O81" t="s">
        <v>3053</v>
      </c>
      <c r="P81" t="s">
        <v>3062</v>
      </c>
      <c r="Q81" t="s">
        <v>3143</v>
      </c>
      <c r="R81">
        <v>833.81</v>
      </c>
      <c r="S81">
        <v>5</v>
      </c>
      <c r="T81">
        <v>0.1</v>
      </c>
      <c r="U81">
        <v>45.88</v>
      </c>
    </row>
    <row r="82" spans="1:21" x14ac:dyDescent="0.3">
      <c r="A82">
        <v>81</v>
      </c>
      <c r="B82" t="s">
        <v>101</v>
      </c>
      <c r="C82" s="2">
        <v>45562</v>
      </c>
      <c r="D82" s="2">
        <v>45564</v>
      </c>
      <c r="E82" t="s">
        <v>1524</v>
      </c>
      <c r="F82" t="s">
        <v>1594</v>
      </c>
      <c r="G82" t="s">
        <v>1991</v>
      </c>
      <c r="H82" t="s">
        <v>2314</v>
      </c>
      <c r="I82" t="s">
        <v>2317</v>
      </c>
      <c r="J82" t="s">
        <v>2320</v>
      </c>
      <c r="K82" t="s">
        <v>2320</v>
      </c>
      <c r="L82">
        <v>538480</v>
      </c>
      <c r="M82" t="s">
        <v>2330</v>
      </c>
      <c r="N82" t="s">
        <v>2409</v>
      </c>
      <c r="O82" t="s">
        <v>3054</v>
      </c>
      <c r="P82" t="s">
        <v>3058</v>
      </c>
      <c r="Q82" t="s">
        <v>3144</v>
      </c>
      <c r="R82">
        <v>29.39</v>
      </c>
      <c r="S82">
        <v>8</v>
      </c>
      <c r="T82">
        <v>0.3</v>
      </c>
      <c r="U82">
        <v>-34.4</v>
      </c>
    </row>
    <row r="83" spans="1:21" x14ac:dyDescent="0.3">
      <c r="A83">
        <v>82</v>
      </c>
      <c r="B83" t="s">
        <v>102</v>
      </c>
      <c r="C83" s="2">
        <v>45747</v>
      </c>
      <c r="D83" s="2">
        <v>45749</v>
      </c>
      <c r="E83" t="s">
        <v>1524</v>
      </c>
      <c r="F83" t="s">
        <v>1595</v>
      </c>
      <c r="G83" t="s">
        <v>1958</v>
      </c>
      <c r="H83" t="s">
        <v>2316</v>
      </c>
      <c r="I83" t="s">
        <v>2317</v>
      </c>
      <c r="J83" t="s">
        <v>2320</v>
      </c>
      <c r="K83" t="s">
        <v>2320</v>
      </c>
      <c r="L83">
        <v>301682</v>
      </c>
      <c r="M83" t="s">
        <v>2330</v>
      </c>
      <c r="N83" t="s">
        <v>2410</v>
      </c>
      <c r="O83" t="s">
        <v>3054</v>
      </c>
      <c r="P83" t="s">
        <v>3057</v>
      </c>
      <c r="Q83" t="s">
        <v>3145</v>
      </c>
      <c r="R83">
        <v>197.35</v>
      </c>
      <c r="S83">
        <v>7</v>
      </c>
      <c r="T83">
        <v>0.1</v>
      </c>
      <c r="U83">
        <v>44.95</v>
      </c>
    </row>
    <row r="84" spans="1:21" x14ac:dyDescent="0.3">
      <c r="A84">
        <v>83</v>
      </c>
      <c r="B84" t="s">
        <v>103</v>
      </c>
      <c r="C84" s="2">
        <v>45753</v>
      </c>
      <c r="D84" s="2">
        <v>45757</v>
      </c>
      <c r="E84" t="s">
        <v>1524</v>
      </c>
      <c r="F84" t="s">
        <v>1596</v>
      </c>
      <c r="G84" t="s">
        <v>1992</v>
      </c>
      <c r="H84" t="s">
        <v>2314</v>
      </c>
      <c r="I84" t="s">
        <v>2317</v>
      </c>
      <c r="J84" t="s">
        <v>2319</v>
      </c>
      <c r="K84" t="s">
        <v>2319</v>
      </c>
      <c r="L84">
        <v>507821</v>
      </c>
      <c r="M84" t="s">
        <v>2329</v>
      </c>
      <c r="N84" t="s">
        <v>2411</v>
      </c>
      <c r="O84" t="s">
        <v>3054</v>
      </c>
      <c r="P84" t="s">
        <v>3063</v>
      </c>
      <c r="Q84" t="s">
        <v>3111</v>
      </c>
      <c r="R84">
        <v>136.44999999999999</v>
      </c>
      <c r="S84">
        <v>3</v>
      </c>
      <c r="T84">
        <v>0.2</v>
      </c>
      <c r="U84">
        <v>10.69</v>
      </c>
    </row>
    <row r="85" spans="1:21" x14ac:dyDescent="0.3">
      <c r="A85">
        <v>84</v>
      </c>
      <c r="B85" t="s">
        <v>104</v>
      </c>
      <c r="C85" s="2">
        <v>46018</v>
      </c>
      <c r="D85" s="2">
        <v>46022</v>
      </c>
      <c r="E85" t="s">
        <v>1521</v>
      </c>
      <c r="F85" t="s">
        <v>1528</v>
      </c>
      <c r="G85" t="s">
        <v>1993</v>
      </c>
      <c r="H85" t="s">
        <v>2314</v>
      </c>
      <c r="I85" t="s">
        <v>2317</v>
      </c>
      <c r="J85" t="s">
        <v>2326</v>
      </c>
      <c r="K85" t="s">
        <v>2326</v>
      </c>
      <c r="L85">
        <v>101577</v>
      </c>
      <c r="M85" t="s">
        <v>2331</v>
      </c>
      <c r="N85" t="s">
        <v>2412</v>
      </c>
      <c r="O85" t="s">
        <v>3053</v>
      </c>
      <c r="P85" t="s">
        <v>3056</v>
      </c>
      <c r="Q85" t="s">
        <v>3146</v>
      </c>
      <c r="R85">
        <v>243.24</v>
      </c>
      <c r="S85">
        <v>3</v>
      </c>
      <c r="T85">
        <v>0.1</v>
      </c>
      <c r="U85">
        <v>16.14</v>
      </c>
    </row>
    <row r="86" spans="1:21" x14ac:dyDescent="0.3">
      <c r="A86">
        <v>85</v>
      </c>
      <c r="B86" t="s">
        <v>105</v>
      </c>
      <c r="C86" s="2">
        <v>45543</v>
      </c>
      <c r="D86" s="2">
        <v>45547</v>
      </c>
      <c r="E86" t="s">
        <v>1524</v>
      </c>
      <c r="F86" t="s">
        <v>1597</v>
      </c>
      <c r="G86" t="s">
        <v>1994</v>
      </c>
      <c r="H86" t="s">
        <v>2315</v>
      </c>
      <c r="I86" t="s">
        <v>2317</v>
      </c>
      <c r="J86" t="s">
        <v>2321</v>
      </c>
      <c r="K86" t="s">
        <v>2321</v>
      </c>
      <c r="L86">
        <v>417336</v>
      </c>
      <c r="M86" t="s">
        <v>2329</v>
      </c>
      <c r="N86" t="s">
        <v>2397</v>
      </c>
      <c r="O86" t="s">
        <v>3053</v>
      </c>
      <c r="P86" t="s">
        <v>3065</v>
      </c>
      <c r="Q86" t="s">
        <v>3147</v>
      </c>
      <c r="R86">
        <v>286.82</v>
      </c>
      <c r="S86">
        <v>7</v>
      </c>
      <c r="T86">
        <v>0.05</v>
      </c>
      <c r="U86">
        <v>37.43</v>
      </c>
    </row>
    <row r="87" spans="1:21" x14ac:dyDescent="0.3">
      <c r="A87">
        <v>86</v>
      </c>
      <c r="B87" t="s">
        <v>106</v>
      </c>
      <c r="C87" s="2">
        <v>45993</v>
      </c>
      <c r="D87" s="2">
        <v>45994</v>
      </c>
      <c r="E87" t="s">
        <v>1524</v>
      </c>
      <c r="F87" t="s">
        <v>1598</v>
      </c>
      <c r="G87" t="s">
        <v>1995</v>
      </c>
      <c r="H87" t="s">
        <v>2315</v>
      </c>
      <c r="I87" t="s">
        <v>2317</v>
      </c>
      <c r="J87" t="s">
        <v>2327</v>
      </c>
      <c r="K87" t="s">
        <v>2327</v>
      </c>
      <c r="L87">
        <v>516690</v>
      </c>
      <c r="M87" t="s">
        <v>2330</v>
      </c>
      <c r="N87" t="s">
        <v>2413</v>
      </c>
      <c r="O87" t="s">
        <v>3055</v>
      </c>
      <c r="P87" t="s">
        <v>3059</v>
      </c>
      <c r="Q87" t="s">
        <v>3148</v>
      </c>
      <c r="R87">
        <v>214.57</v>
      </c>
      <c r="S87">
        <v>8</v>
      </c>
      <c r="T87">
        <v>0.1</v>
      </c>
      <c r="U87">
        <v>2.81</v>
      </c>
    </row>
    <row r="88" spans="1:21" x14ac:dyDescent="0.3">
      <c r="A88">
        <v>87</v>
      </c>
      <c r="B88" t="s">
        <v>107</v>
      </c>
      <c r="C88" s="2">
        <v>45587</v>
      </c>
      <c r="D88" s="2">
        <v>45592</v>
      </c>
      <c r="E88" t="s">
        <v>1523</v>
      </c>
      <c r="F88" t="s">
        <v>1540</v>
      </c>
      <c r="G88" t="s">
        <v>1996</v>
      </c>
      <c r="H88" t="s">
        <v>2314</v>
      </c>
      <c r="I88" t="s">
        <v>2317</v>
      </c>
      <c r="J88" t="s">
        <v>2323</v>
      </c>
      <c r="K88" t="s">
        <v>2323</v>
      </c>
      <c r="L88">
        <v>508456</v>
      </c>
      <c r="M88" t="s">
        <v>2328</v>
      </c>
      <c r="N88" t="s">
        <v>2414</v>
      </c>
      <c r="O88" t="s">
        <v>3055</v>
      </c>
      <c r="P88" t="s">
        <v>3060</v>
      </c>
      <c r="Q88" t="s">
        <v>3149</v>
      </c>
      <c r="R88">
        <v>765.03</v>
      </c>
      <c r="S88">
        <v>6</v>
      </c>
      <c r="T88">
        <v>0.2</v>
      </c>
      <c r="U88">
        <v>57.64</v>
      </c>
    </row>
    <row r="89" spans="1:21" x14ac:dyDescent="0.3">
      <c r="A89">
        <v>88</v>
      </c>
      <c r="B89" t="s">
        <v>108</v>
      </c>
      <c r="C89" s="2">
        <v>46016</v>
      </c>
      <c r="D89" s="2">
        <v>46018</v>
      </c>
      <c r="E89" t="s">
        <v>1523</v>
      </c>
      <c r="F89" t="s">
        <v>1599</v>
      </c>
      <c r="G89" t="s">
        <v>1997</v>
      </c>
      <c r="H89" t="s">
        <v>2316</v>
      </c>
      <c r="I89" t="s">
        <v>2317</v>
      </c>
      <c r="J89" t="s">
        <v>2327</v>
      </c>
      <c r="K89" t="s">
        <v>2327</v>
      </c>
      <c r="L89">
        <v>675194</v>
      </c>
      <c r="M89" t="s">
        <v>2330</v>
      </c>
      <c r="N89" t="s">
        <v>2415</v>
      </c>
      <c r="O89" t="s">
        <v>3055</v>
      </c>
      <c r="P89" t="s">
        <v>3060</v>
      </c>
      <c r="Q89" t="s">
        <v>3150</v>
      </c>
      <c r="R89">
        <v>166.5</v>
      </c>
      <c r="S89">
        <v>8</v>
      </c>
      <c r="T89">
        <v>0.3</v>
      </c>
      <c r="U89">
        <v>19.670000000000002</v>
      </c>
    </row>
    <row r="90" spans="1:21" x14ac:dyDescent="0.3">
      <c r="A90">
        <v>89</v>
      </c>
      <c r="B90" t="s">
        <v>109</v>
      </c>
      <c r="C90" s="2">
        <v>46011</v>
      </c>
      <c r="D90" s="2">
        <v>46013</v>
      </c>
      <c r="E90" t="s">
        <v>1523</v>
      </c>
      <c r="F90" t="s">
        <v>1600</v>
      </c>
      <c r="G90" t="s">
        <v>1998</v>
      </c>
      <c r="H90" t="s">
        <v>2314</v>
      </c>
      <c r="I90" t="s">
        <v>2317</v>
      </c>
      <c r="J90" t="s">
        <v>2321</v>
      </c>
      <c r="K90" t="s">
        <v>2321</v>
      </c>
      <c r="L90">
        <v>741232</v>
      </c>
      <c r="M90" t="s">
        <v>2329</v>
      </c>
      <c r="N90" t="s">
        <v>2416</v>
      </c>
      <c r="O90" t="s">
        <v>3055</v>
      </c>
      <c r="P90" t="s">
        <v>3067</v>
      </c>
      <c r="Q90" t="s">
        <v>3118</v>
      </c>
      <c r="R90">
        <v>436.25</v>
      </c>
      <c r="S90">
        <v>7</v>
      </c>
      <c r="T90">
        <v>0.15</v>
      </c>
      <c r="U90">
        <v>25.46</v>
      </c>
    </row>
    <row r="91" spans="1:21" x14ac:dyDescent="0.3">
      <c r="A91">
        <v>90</v>
      </c>
      <c r="B91" t="s">
        <v>110</v>
      </c>
      <c r="C91" s="2">
        <v>45629</v>
      </c>
      <c r="D91" s="2">
        <v>45632</v>
      </c>
      <c r="E91" t="s">
        <v>1522</v>
      </c>
      <c r="F91" t="s">
        <v>1601</v>
      </c>
      <c r="G91" t="s">
        <v>1968</v>
      </c>
      <c r="H91" t="s">
        <v>2316</v>
      </c>
      <c r="I91" t="s">
        <v>2317</v>
      </c>
      <c r="J91" t="s">
        <v>2321</v>
      </c>
      <c r="K91" t="s">
        <v>2321</v>
      </c>
      <c r="L91">
        <v>283163</v>
      </c>
      <c r="M91" t="s">
        <v>2329</v>
      </c>
      <c r="N91" t="s">
        <v>2417</v>
      </c>
      <c r="O91" t="s">
        <v>3054</v>
      </c>
      <c r="P91" t="s">
        <v>3057</v>
      </c>
      <c r="Q91" t="s">
        <v>3151</v>
      </c>
      <c r="R91">
        <v>54.41</v>
      </c>
      <c r="S91">
        <v>3</v>
      </c>
      <c r="T91">
        <v>0.2</v>
      </c>
      <c r="U91">
        <v>11.68</v>
      </c>
    </row>
    <row r="92" spans="1:21" x14ac:dyDescent="0.3">
      <c r="A92">
        <v>91</v>
      </c>
      <c r="B92" t="s">
        <v>111</v>
      </c>
      <c r="C92" s="2">
        <v>45344</v>
      </c>
      <c r="D92" s="2">
        <v>45347</v>
      </c>
      <c r="E92" t="s">
        <v>1521</v>
      </c>
      <c r="F92" t="s">
        <v>1602</v>
      </c>
      <c r="G92" t="s">
        <v>1999</v>
      </c>
      <c r="H92" t="s">
        <v>2314</v>
      </c>
      <c r="I92" t="s">
        <v>2317</v>
      </c>
      <c r="J92" t="s">
        <v>2326</v>
      </c>
      <c r="K92" t="s">
        <v>2326</v>
      </c>
      <c r="L92">
        <v>153634</v>
      </c>
      <c r="M92" t="s">
        <v>2331</v>
      </c>
      <c r="N92" t="s">
        <v>2418</v>
      </c>
      <c r="O92" t="s">
        <v>3054</v>
      </c>
      <c r="P92" t="s">
        <v>3064</v>
      </c>
      <c r="Q92" t="s">
        <v>3152</v>
      </c>
      <c r="R92">
        <v>39.659999999999997</v>
      </c>
      <c r="S92">
        <v>2</v>
      </c>
      <c r="T92">
        <v>0</v>
      </c>
      <c r="U92">
        <v>-22.92</v>
      </c>
    </row>
    <row r="93" spans="1:21" x14ac:dyDescent="0.3">
      <c r="A93">
        <v>92</v>
      </c>
      <c r="B93" t="s">
        <v>112</v>
      </c>
      <c r="C93" s="2">
        <v>45508</v>
      </c>
      <c r="D93" s="2">
        <v>45510</v>
      </c>
      <c r="E93" t="s">
        <v>1521</v>
      </c>
      <c r="F93" t="s">
        <v>1603</v>
      </c>
      <c r="G93" t="s">
        <v>2000</v>
      </c>
      <c r="H93" t="s">
        <v>2315</v>
      </c>
      <c r="I93" t="s">
        <v>2317</v>
      </c>
      <c r="J93" t="s">
        <v>2321</v>
      </c>
      <c r="K93" t="s">
        <v>2321</v>
      </c>
      <c r="L93">
        <v>921190</v>
      </c>
      <c r="M93" t="s">
        <v>2329</v>
      </c>
      <c r="N93" t="s">
        <v>2419</v>
      </c>
      <c r="O93" t="s">
        <v>3053</v>
      </c>
      <c r="P93" t="s">
        <v>3065</v>
      </c>
      <c r="Q93" t="s">
        <v>3153</v>
      </c>
      <c r="R93">
        <v>207.69</v>
      </c>
      <c r="S93">
        <v>9</v>
      </c>
      <c r="T93">
        <v>0</v>
      </c>
      <c r="U93">
        <v>26.12</v>
      </c>
    </row>
    <row r="94" spans="1:21" x14ac:dyDescent="0.3">
      <c r="A94">
        <v>93</v>
      </c>
      <c r="B94" t="s">
        <v>113</v>
      </c>
      <c r="C94" s="2">
        <v>45479</v>
      </c>
      <c r="D94" s="2">
        <v>45482</v>
      </c>
      <c r="E94" t="s">
        <v>1522</v>
      </c>
      <c r="F94" t="s">
        <v>1604</v>
      </c>
      <c r="G94" t="s">
        <v>2001</v>
      </c>
      <c r="H94" t="s">
        <v>2316</v>
      </c>
      <c r="I94" t="s">
        <v>2317</v>
      </c>
      <c r="J94" t="s">
        <v>2319</v>
      </c>
      <c r="K94" t="s">
        <v>2319</v>
      </c>
      <c r="L94">
        <v>752020</v>
      </c>
      <c r="M94" t="s">
        <v>2329</v>
      </c>
      <c r="N94" t="s">
        <v>2420</v>
      </c>
      <c r="O94" t="s">
        <v>3054</v>
      </c>
      <c r="P94" t="s">
        <v>3063</v>
      </c>
      <c r="Q94" t="s">
        <v>3154</v>
      </c>
      <c r="R94">
        <v>71.099999999999994</v>
      </c>
      <c r="S94">
        <v>9</v>
      </c>
      <c r="T94">
        <v>0.2</v>
      </c>
      <c r="U94">
        <v>2.3199999999999998</v>
      </c>
    </row>
    <row r="95" spans="1:21" x14ac:dyDescent="0.3">
      <c r="A95">
        <v>94</v>
      </c>
      <c r="B95" t="s">
        <v>114</v>
      </c>
      <c r="C95" s="2">
        <v>45671</v>
      </c>
      <c r="D95" s="2">
        <v>45673</v>
      </c>
      <c r="E95" t="s">
        <v>1521</v>
      </c>
      <c r="F95" t="s">
        <v>1605</v>
      </c>
      <c r="G95" t="s">
        <v>2001</v>
      </c>
      <c r="H95" t="s">
        <v>2314</v>
      </c>
      <c r="I95" t="s">
        <v>2317</v>
      </c>
      <c r="J95" t="s">
        <v>2324</v>
      </c>
      <c r="K95" t="s">
        <v>2324</v>
      </c>
      <c r="L95">
        <v>330881</v>
      </c>
      <c r="M95" t="s">
        <v>2330</v>
      </c>
      <c r="N95" t="s">
        <v>2421</v>
      </c>
      <c r="O95" t="s">
        <v>3054</v>
      </c>
      <c r="P95" t="s">
        <v>3057</v>
      </c>
      <c r="Q95" t="s">
        <v>3155</v>
      </c>
      <c r="R95">
        <v>41.89</v>
      </c>
      <c r="S95">
        <v>2</v>
      </c>
      <c r="T95">
        <v>0.15</v>
      </c>
      <c r="U95">
        <v>49.77</v>
      </c>
    </row>
    <row r="96" spans="1:21" x14ac:dyDescent="0.3">
      <c r="A96">
        <v>95</v>
      </c>
      <c r="B96" t="s">
        <v>115</v>
      </c>
      <c r="C96" s="2">
        <v>45784</v>
      </c>
      <c r="D96" s="2">
        <v>45787</v>
      </c>
      <c r="E96" t="s">
        <v>1522</v>
      </c>
      <c r="F96" t="s">
        <v>1606</v>
      </c>
      <c r="G96" t="s">
        <v>2002</v>
      </c>
      <c r="H96" t="s">
        <v>2315</v>
      </c>
      <c r="I96" t="s">
        <v>2317</v>
      </c>
      <c r="J96" t="s">
        <v>2321</v>
      </c>
      <c r="K96" t="s">
        <v>2321</v>
      </c>
      <c r="L96">
        <v>755032</v>
      </c>
      <c r="M96" t="s">
        <v>2329</v>
      </c>
      <c r="N96" t="s">
        <v>2422</v>
      </c>
      <c r="O96" t="s">
        <v>3054</v>
      </c>
      <c r="P96" t="s">
        <v>3057</v>
      </c>
      <c r="Q96" t="s">
        <v>3156</v>
      </c>
      <c r="R96">
        <v>58.81</v>
      </c>
      <c r="S96">
        <v>7</v>
      </c>
      <c r="T96">
        <v>0</v>
      </c>
      <c r="U96">
        <v>27.6</v>
      </c>
    </row>
    <row r="97" spans="1:21" x14ac:dyDescent="0.3">
      <c r="A97">
        <v>96</v>
      </c>
      <c r="B97" t="s">
        <v>116</v>
      </c>
      <c r="C97" s="2">
        <v>45332</v>
      </c>
      <c r="D97" s="2">
        <v>45336</v>
      </c>
      <c r="E97" t="s">
        <v>1524</v>
      </c>
      <c r="F97" t="s">
        <v>1592</v>
      </c>
      <c r="G97" t="s">
        <v>2003</v>
      </c>
      <c r="H97" t="s">
        <v>2315</v>
      </c>
      <c r="I97" t="s">
        <v>2317</v>
      </c>
      <c r="J97" t="s">
        <v>2327</v>
      </c>
      <c r="K97" t="s">
        <v>2327</v>
      </c>
      <c r="L97">
        <v>651238</v>
      </c>
      <c r="M97" t="s">
        <v>2330</v>
      </c>
      <c r="N97" t="s">
        <v>2423</v>
      </c>
      <c r="O97" t="s">
        <v>3054</v>
      </c>
      <c r="P97" t="s">
        <v>3058</v>
      </c>
      <c r="Q97" t="s">
        <v>3157</v>
      </c>
      <c r="R97">
        <v>24.6</v>
      </c>
      <c r="S97">
        <v>4</v>
      </c>
      <c r="T97">
        <v>0.2</v>
      </c>
      <c r="U97">
        <v>4.41</v>
      </c>
    </row>
    <row r="98" spans="1:21" x14ac:dyDescent="0.3">
      <c r="A98">
        <v>97</v>
      </c>
      <c r="B98" t="s">
        <v>117</v>
      </c>
      <c r="C98" s="2">
        <v>45448</v>
      </c>
      <c r="D98" s="2">
        <v>45452</v>
      </c>
      <c r="E98" t="s">
        <v>1522</v>
      </c>
      <c r="F98" t="s">
        <v>1581</v>
      </c>
      <c r="G98" t="s">
        <v>2004</v>
      </c>
      <c r="H98" t="s">
        <v>2316</v>
      </c>
      <c r="I98" t="s">
        <v>2317</v>
      </c>
      <c r="J98" t="s">
        <v>2321</v>
      </c>
      <c r="K98" t="s">
        <v>2321</v>
      </c>
      <c r="L98">
        <v>578646</v>
      </c>
      <c r="M98" t="s">
        <v>2329</v>
      </c>
      <c r="N98" t="s">
        <v>2424</v>
      </c>
      <c r="O98" t="s">
        <v>3053</v>
      </c>
      <c r="P98" t="s">
        <v>3065</v>
      </c>
      <c r="Q98" t="s">
        <v>3158</v>
      </c>
      <c r="R98">
        <v>110.11</v>
      </c>
      <c r="S98">
        <v>8</v>
      </c>
      <c r="T98">
        <v>0</v>
      </c>
      <c r="U98">
        <v>-7.74</v>
      </c>
    </row>
    <row r="99" spans="1:21" x14ac:dyDescent="0.3">
      <c r="A99">
        <v>98</v>
      </c>
      <c r="B99" t="s">
        <v>118</v>
      </c>
      <c r="C99" s="2">
        <v>45306</v>
      </c>
      <c r="D99" s="2">
        <v>45309</v>
      </c>
      <c r="E99" t="s">
        <v>1522</v>
      </c>
      <c r="F99" t="s">
        <v>1607</v>
      </c>
      <c r="G99" t="s">
        <v>2005</v>
      </c>
      <c r="H99" t="s">
        <v>2316</v>
      </c>
      <c r="I99" t="s">
        <v>2317</v>
      </c>
      <c r="J99" t="s">
        <v>2319</v>
      </c>
      <c r="K99" t="s">
        <v>2319</v>
      </c>
      <c r="L99">
        <v>550985</v>
      </c>
      <c r="M99" t="s">
        <v>2329</v>
      </c>
      <c r="N99" t="s">
        <v>2407</v>
      </c>
      <c r="O99" t="s">
        <v>3053</v>
      </c>
      <c r="P99" t="s">
        <v>3056</v>
      </c>
      <c r="Q99" t="s">
        <v>3068</v>
      </c>
      <c r="R99">
        <v>205.29</v>
      </c>
      <c r="S99">
        <v>2</v>
      </c>
      <c r="T99">
        <v>0.2</v>
      </c>
      <c r="U99">
        <v>-11.34</v>
      </c>
    </row>
    <row r="100" spans="1:21" x14ac:dyDescent="0.3">
      <c r="A100">
        <v>99</v>
      </c>
      <c r="B100" t="s">
        <v>119</v>
      </c>
      <c r="C100" s="2">
        <v>45356</v>
      </c>
      <c r="D100" s="2">
        <v>45362</v>
      </c>
      <c r="E100" t="s">
        <v>1523</v>
      </c>
      <c r="F100" t="s">
        <v>1608</v>
      </c>
      <c r="G100" t="s">
        <v>2006</v>
      </c>
      <c r="H100" t="s">
        <v>2315</v>
      </c>
      <c r="I100" t="s">
        <v>2317</v>
      </c>
      <c r="J100" t="s">
        <v>2318</v>
      </c>
      <c r="K100" t="s">
        <v>2318</v>
      </c>
      <c r="L100">
        <v>980432</v>
      </c>
      <c r="M100" t="s">
        <v>2328</v>
      </c>
      <c r="N100" t="s">
        <v>2425</v>
      </c>
      <c r="O100" t="s">
        <v>3055</v>
      </c>
      <c r="P100" t="s">
        <v>3061</v>
      </c>
      <c r="Q100" t="s">
        <v>3105</v>
      </c>
      <c r="R100">
        <v>419.14</v>
      </c>
      <c r="S100">
        <v>6</v>
      </c>
      <c r="T100">
        <v>0.15</v>
      </c>
      <c r="U100">
        <v>31.93</v>
      </c>
    </row>
    <row r="101" spans="1:21" x14ac:dyDescent="0.3">
      <c r="A101">
        <v>100</v>
      </c>
      <c r="B101" t="s">
        <v>120</v>
      </c>
      <c r="C101" s="2">
        <v>45812</v>
      </c>
      <c r="D101" s="2">
        <v>45816</v>
      </c>
      <c r="E101" t="s">
        <v>1521</v>
      </c>
      <c r="F101" t="s">
        <v>1566</v>
      </c>
      <c r="G101" t="s">
        <v>2007</v>
      </c>
      <c r="H101" t="s">
        <v>2315</v>
      </c>
      <c r="I101" t="s">
        <v>2317</v>
      </c>
      <c r="J101" t="s">
        <v>2318</v>
      </c>
      <c r="K101" t="s">
        <v>2318</v>
      </c>
      <c r="L101">
        <v>952208</v>
      </c>
      <c r="M101" t="s">
        <v>2328</v>
      </c>
      <c r="N101" t="s">
        <v>2426</v>
      </c>
      <c r="O101" t="s">
        <v>3053</v>
      </c>
      <c r="P101" t="s">
        <v>3065</v>
      </c>
      <c r="Q101" t="s">
        <v>3159</v>
      </c>
      <c r="R101">
        <v>338.89</v>
      </c>
      <c r="S101">
        <v>9</v>
      </c>
      <c r="T101">
        <v>0.1</v>
      </c>
      <c r="U101">
        <v>4.82</v>
      </c>
    </row>
    <row r="102" spans="1:21" x14ac:dyDescent="0.3">
      <c r="A102">
        <v>101</v>
      </c>
      <c r="B102" t="s">
        <v>121</v>
      </c>
      <c r="C102" s="2">
        <v>45635</v>
      </c>
      <c r="D102" s="2">
        <v>45638</v>
      </c>
      <c r="E102" t="s">
        <v>1521</v>
      </c>
      <c r="F102" t="s">
        <v>1609</v>
      </c>
      <c r="G102" t="s">
        <v>1956</v>
      </c>
      <c r="H102" t="s">
        <v>2315</v>
      </c>
      <c r="I102" t="s">
        <v>2317</v>
      </c>
      <c r="J102" t="s">
        <v>2320</v>
      </c>
      <c r="K102" t="s">
        <v>2320</v>
      </c>
      <c r="L102">
        <v>259132</v>
      </c>
      <c r="M102" t="s">
        <v>2330</v>
      </c>
      <c r="N102" t="s">
        <v>2427</v>
      </c>
      <c r="O102" t="s">
        <v>3054</v>
      </c>
      <c r="P102" t="s">
        <v>3063</v>
      </c>
      <c r="Q102" t="s">
        <v>3127</v>
      </c>
      <c r="R102">
        <v>93.23</v>
      </c>
      <c r="S102">
        <v>7</v>
      </c>
      <c r="T102">
        <v>0.1</v>
      </c>
      <c r="U102">
        <v>-21.49</v>
      </c>
    </row>
    <row r="103" spans="1:21" x14ac:dyDescent="0.3">
      <c r="A103">
        <v>102</v>
      </c>
      <c r="B103" t="s">
        <v>122</v>
      </c>
      <c r="C103" s="2">
        <v>45420</v>
      </c>
      <c r="D103" s="2">
        <v>45426</v>
      </c>
      <c r="E103" t="s">
        <v>1521</v>
      </c>
      <c r="F103" t="s">
        <v>1610</v>
      </c>
      <c r="G103" t="s">
        <v>2008</v>
      </c>
      <c r="H103" t="s">
        <v>2315</v>
      </c>
      <c r="I103" t="s">
        <v>2317</v>
      </c>
      <c r="J103" t="s">
        <v>2323</v>
      </c>
      <c r="K103" t="s">
        <v>2323</v>
      </c>
      <c r="L103">
        <v>255063</v>
      </c>
      <c r="M103" t="s">
        <v>2328</v>
      </c>
      <c r="N103" t="s">
        <v>2379</v>
      </c>
      <c r="O103" t="s">
        <v>3054</v>
      </c>
      <c r="P103" t="s">
        <v>3064</v>
      </c>
      <c r="Q103" t="s">
        <v>3160</v>
      </c>
      <c r="R103">
        <v>59.48</v>
      </c>
      <c r="S103">
        <v>2</v>
      </c>
      <c r="T103">
        <v>0.2</v>
      </c>
      <c r="U103">
        <v>28.29</v>
      </c>
    </row>
    <row r="104" spans="1:21" x14ac:dyDescent="0.3">
      <c r="A104">
        <v>103</v>
      </c>
      <c r="B104" t="s">
        <v>123</v>
      </c>
      <c r="C104" s="2">
        <v>45939</v>
      </c>
      <c r="D104" s="2">
        <v>45944</v>
      </c>
      <c r="E104" t="s">
        <v>1524</v>
      </c>
      <c r="F104" t="s">
        <v>1611</v>
      </c>
      <c r="G104" t="s">
        <v>2009</v>
      </c>
      <c r="H104" t="s">
        <v>2314</v>
      </c>
      <c r="I104" t="s">
        <v>2317</v>
      </c>
      <c r="J104" t="s">
        <v>2322</v>
      </c>
      <c r="K104" t="s">
        <v>2322</v>
      </c>
      <c r="L104">
        <v>886492</v>
      </c>
      <c r="M104" t="s">
        <v>2331</v>
      </c>
      <c r="N104" t="s">
        <v>2428</v>
      </c>
      <c r="O104" t="s">
        <v>3055</v>
      </c>
      <c r="P104" t="s">
        <v>3067</v>
      </c>
      <c r="Q104" t="s">
        <v>3161</v>
      </c>
      <c r="R104">
        <v>393.71</v>
      </c>
      <c r="S104">
        <v>7</v>
      </c>
      <c r="T104">
        <v>0</v>
      </c>
      <c r="U104">
        <v>95.58</v>
      </c>
    </row>
    <row r="105" spans="1:21" x14ac:dyDescent="0.3">
      <c r="A105">
        <v>104</v>
      </c>
      <c r="B105" t="s">
        <v>124</v>
      </c>
      <c r="C105" s="2">
        <v>45763</v>
      </c>
      <c r="D105" s="2">
        <v>45767</v>
      </c>
      <c r="E105" t="s">
        <v>1524</v>
      </c>
      <c r="F105" t="s">
        <v>1612</v>
      </c>
      <c r="G105" t="s">
        <v>2010</v>
      </c>
      <c r="H105" t="s">
        <v>2314</v>
      </c>
      <c r="I105" t="s">
        <v>2317</v>
      </c>
      <c r="J105" t="s">
        <v>2324</v>
      </c>
      <c r="K105" t="s">
        <v>2324</v>
      </c>
      <c r="L105">
        <v>532941</v>
      </c>
      <c r="M105" t="s">
        <v>2330</v>
      </c>
      <c r="N105" t="s">
        <v>2429</v>
      </c>
      <c r="O105" t="s">
        <v>3053</v>
      </c>
      <c r="P105" t="s">
        <v>3056</v>
      </c>
      <c r="Q105" t="s">
        <v>3104</v>
      </c>
      <c r="R105">
        <v>221.32</v>
      </c>
      <c r="S105">
        <v>1</v>
      </c>
      <c r="T105">
        <v>0</v>
      </c>
      <c r="U105">
        <v>55.82</v>
      </c>
    </row>
    <row r="106" spans="1:21" x14ac:dyDescent="0.3">
      <c r="A106">
        <v>105</v>
      </c>
      <c r="B106" t="s">
        <v>125</v>
      </c>
      <c r="C106" s="2">
        <v>45354</v>
      </c>
      <c r="D106" s="2">
        <v>45357</v>
      </c>
      <c r="E106" t="s">
        <v>1523</v>
      </c>
      <c r="F106" t="s">
        <v>1613</v>
      </c>
      <c r="G106" t="s">
        <v>2011</v>
      </c>
      <c r="H106" t="s">
        <v>2316</v>
      </c>
      <c r="I106" t="s">
        <v>2317</v>
      </c>
      <c r="J106" t="s">
        <v>2325</v>
      </c>
      <c r="K106" t="s">
        <v>2325</v>
      </c>
      <c r="L106">
        <v>214003</v>
      </c>
      <c r="M106" t="s">
        <v>2332</v>
      </c>
      <c r="N106" t="s">
        <v>2430</v>
      </c>
      <c r="O106" t="s">
        <v>3054</v>
      </c>
      <c r="P106" t="s">
        <v>3064</v>
      </c>
      <c r="Q106" t="s">
        <v>3162</v>
      </c>
      <c r="R106">
        <v>232.61</v>
      </c>
      <c r="S106">
        <v>7</v>
      </c>
      <c r="T106">
        <v>0.05</v>
      </c>
      <c r="U106">
        <v>54.31</v>
      </c>
    </row>
    <row r="107" spans="1:21" x14ac:dyDescent="0.3">
      <c r="A107">
        <v>106</v>
      </c>
      <c r="B107" t="s">
        <v>126</v>
      </c>
      <c r="C107" s="2">
        <v>45430</v>
      </c>
      <c r="D107" s="2">
        <v>45432</v>
      </c>
      <c r="E107" t="s">
        <v>1524</v>
      </c>
      <c r="F107" t="s">
        <v>1614</v>
      </c>
      <c r="G107" t="s">
        <v>2012</v>
      </c>
      <c r="H107" t="s">
        <v>2314</v>
      </c>
      <c r="I107" t="s">
        <v>2317</v>
      </c>
      <c r="J107" t="s">
        <v>2320</v>
      </c>
      <c r="K107" t="s">
        <v>2320</v>
      </c>
      <c r="L107">
        <v>238009</v>
      </c>
      <c r="M107" t="s">
        <v>2330</v>
      </c>
      <c r="N107" t="s">
        <v>2431</v>
      </c>
      <c r="O107" t="s">
        <v>3055</v>
      </c>
      <c r="P107" t="s">
        <v>3061</v>
      </c>
      <c r="Q107" t="s">
        <v>3163</v>
      </c>
      <c r="R107">
        <v>822.32</v>
      </c>
      <c r="S107">
        <v>5</v>
      </c>
      <c r="T107">
        <v>0.1</v>
      </c>
      <c r="U107">
        <v>75.3</v>
      </c>
    </row>
    <row r="108" spans="1:21" x14ac:dyDescent="0.3">
      <c r="A108">
        <v>107</v>
      </c>
      <c r="B108" t="s">
        <v>127</v>
      </c>
      <c r="C108" s="2">
        <v>45790</v>
      </c>
      <c r="D108" s="2">
        <v>45794</v>
      </c>
      <c r="E108" t="s">
        <v>1522</v>
      </c>
      <c r="F108" t="s">
        <v>1615</v>
      </c>
      <c r="G108" t="s">
        <v>2013</v>
      </c>
      <c r="H108" t="s">
        <v>2315</v>
      </c>
      <c r="I108" t="s">
        <v>2317</v>
      </c>
      <c r="J108" t="s">
        <v>2323</v>
      </c>
      <c r="K108" t="s">
        <v>2323</v>
      </c>
      <c r="L108">
        <v>206102</v>
      </c>
      <c r="M108" t="s">
        <v>2328</v>
      </c>
      <c r="N108" t="s">
        <v>2432</v>
      </c>
      <c r="O108" t="s">
        <v>3053</v>
      </c>
      <c r="P108" t="s">
        <v>3066</v>
      </c>
      <c r="Q108" t="s">
        <v>3164</v>
      </c>
      <c r="R108">
        <v>316.04000000000002</v>
      </c>
      <c r="S108">
        <v>7</v>
      </c>
      <c r="T108">
        <v>0.05</v>
      </c>
      <c r="U108">
        <v>22.72</v>
      </c>
    </row>
    <row r="109" spans="1:21" x14ac:dyDescent="0.3">
      <c r="A109">
        <v>108</v>
      </c>
      <c r="B109" t="s">
        <v>128</v>
      </c>
      <c r="C109" s="2">
        <v>45884</v>
      </c>
      <c r="D109" s="2">
        <v>45889</v>
      </c>
      <c r="E109" t="s">
        <v>1524</v>
      </c>
      <c r="F109" t="s">
        <v>1616</v>
      </c>
      <c r="G109" t="s">
        <v>2014</v>
      </c>
      <c r="H109" t="s">
        <v>2315</v>
      </c>
      <c r="I109" t="s">
        <v>2317</v>
      </c>
      <c r="J109" t="s">
        <v>2318</v>
      </c>
      <c r="K109" t="s">
        <v>2318</v>
      </c>
      <c r="L109">
        <v>913087</v>
      </c>
      <c r="M109" t="s">
        <v>2328</v>
      </c>
      <c r="N109" t="s">
        <v>2433</v>
      </c>
      <c r="O109" t="s">
        <v>3054</v>
      </c>
      <c r="P109" t="s">
        <v>3057</v>
      </c>
      <c r="Q109" t="s">
        <v>3165</v>
      </c>
      <c r="R109">
        <v>37.24</v>
      </c>
      <c r="S109">
        <v>3</v>
      </c>
      <c r="T109">
        <v>0.05</v>
      </c>
      <c r="U109">
        <v>17.87</v>
      </c>
    </row>
    <row r="110" spans="1:21" x14ac:dyDescent="0.3">
      <c r="A110">
        <v>109</v>
      </c>
      <c r="B110" t="s">
        <v>129</v>
      </c>
      <c r="C110" s="2">
        <v>45683</v>
      </c>
      <c r="D110" s="2">
        <v>45688</v>
      </c>
      <c r="E110" t="s">
        <v>1521</v>
      </c>
      <c r="F110" t="s">
        <v>1616</v>
      </c>
      <c r="G110" t="s">
        <v>2015</v>
      </c>
      <c r="H110" t="s">
        <v>2315</v>
      </c>
      <c r="I110" t="s">
        <v>2317</v>
      </c>
      <c r="J110" t="s">
        <v>2327</v>
      </c>
      <c r="K110" t="s">
        <v>2327</v>
      </c>
      <c r="L110">
        <v>485693</v>
      </c>
      <c r="M110" t="s">
        <v>2330</v>
      </c>
      <c r="N110" t="s">
        <v>2434</v>
      </c>
      <c r="O110" t="s">
        <v>3053</v>
      </c>
      <c r="P110" t="s">
        <v>3062</v>
      </c>
      <c r="Q110" t="s">
        <v>3166</v>
      </c>
      <c r="R110">
        <v>258.45</v>
      </c>
      <c r="S110">
        <v>7</v>
      </c>
      <c r="T110">
        <v>0.2</v>
      </c>
      <c r="U110">
        <v>32.08</v>
      </c>
    </row>
    <row r="111" spans="1:21" x14ac:dyDescent="0.3">
      <c r="A111">
        <v>110</v>
      </c>
      <c r="B111" t="s">
        <v>130</v>
      </c>
      <c r="C111" s="2">
        <v>45966</v>
      </c>
      <c r="D111" s="2">
        <v>45969</v>
      </c>
      <c r="E111" t="s">
        <v>1523</v>
      </c>
      <c r="F111" t="s">
        <v>1617</v>
      </c>
      <c r="G111" t="s">
        <v>2016</v>
      </c>
      <c r="H111" t="s">
        <v>2316</v>
      </c>
      <c r="I111" t="s">
        <v>2317</v>
      </c>
      <c r="J111" t="s">
        <v>2325</v>
      </c>
      <c r="K111" t="s">
        <v>2325</v>
      </c>
      <c r="L111">
        <v>974527</v>
      </c>
      <c r="M111" t="s">
        <v>2332</v>
      </c>
      <c r="N111" t="s">
        <v>2435</v>
      </c>
      <c r="O111" t="s">
        <v>3055</v>
      </c>
      <c r="P111" t="s">
        <v>3059</v>
      </c>
      <c r="Q111" t="s">
        <v>3167</v>
      </c>
      <c r="R111">
        <v>472.11</v>
      </c>
      <c r="S111">
        <v>1</v>
      </c>
      <c r="T111">
        <v>0.2</v>
      </c>
      <c r="U111">
        <v>21.78</v>
      </c>
    </row>
    <row r="112" spans="1:21" x14ac:dyDescent="0.3">
      <c r="A112">
        <v>111</v>
      </c>
      <c r="B112" t="s">
        <v>131</v>
      </c>
      <c r="C112" s="2">
        <v>45710</v>
      </c>
      <c r="D112" s="2">
        <v>45713</v>
      </c>
      <c r="E112" t="s">
        <v>1521</v>
      </c>
      <c r="F112" t="s">
        <v>1593</v>
      </c>
      <c r="G112" t="s">
        <v>1928</v>
      </c>
      <c r="H112" t="s">
        <v>2314</v>
      </c>
      <c r="I112" t="s">
        <v>2317</v>
      </c>
      <c r="J112" t="s">
        <v>2323</v>
      </c>
      <c r="K112" t="s">
        <v>2323</v>
      </c>
      <c r="L112">
        <v>644344</v>
      </c>
      <c r="M112" t="s">
        <v>2328</v>
      </c>
      <c r="N112" t="s">
        <v>2436</v>
      </c>
      <c r="O112" t="s">
        <v>3053</v>
      </c>
      <c r="P112" t="s">
        <v>3062</v>
      </c>
      <c r="Q112" t="s">
        <v>3168</v>
      </c>
      <c r="R112">
        <v>202.24</v>
      </c>
      <c r="S112">
        <v>1</v>
      </c>
      <c r="T112">
        <v>0.15</v>
      </c>
      <c r="U112">
        <v>-29.07</v>
      </c>
    </row>
    <row r="113" spans="1:21" x14ac:dyDescent="0.3">
      <c r="A113">
        <v>112</v>
      </c>
      <c r="B113" t="s">
        <v>132</v>
      </c>
      <c r="C113" s="2">
        <v>45580</v>
      </c>
      <c r="D113" s="2">
        <v>45582</v>
      </c>
      <c r="E113" t="s">
        <v>1522</v>
      </c>
      <c r="F113" t="s">
        <v>1618</v>
      </c>
      <c r="G113" t="s">
        <v>2017</v>
      </c>
      <c r="H113" t="s">
        <v>2316</v>
      </c>
      <c r="I113" t="s">
        <v>2317</v>
      </c>
      <c r="J113" t="s">
        <v>2323</v>
      </c>
      <c r="K113" t="s">
        <v>2323</v>
      </c>
      <c r="L113">
        <v>786736</v>
      </c>
      <c r="M113" t="s">
        <v>2328</v>
      </c>
      <c r="N113" t="s">
        <v>2437</v>
      </c>
      <c r="O113" t="s">
        <v>3054</v>
      </c>
      <c r="P113" t="s">
        <v>3064</v>
      </c>
      <c r="Q113" t="s">
        <v>3169</v>
      </c>
      <c r="R113">
        <v>107.24</v>
      </c>
      <c r="S113">
        <v>1</v>
      </c>
      <c r="T113">
        <v>0.1</v>
      </c>
      <c r="U113">
        <v>31.1</v>
      </c>
    </row>
    <row r="114" spans="1:21" x14ac:dyDescent="0.3">
      <c r="A114">
        <v>113</v>
      </c>
      <c r="B114" t="s">
        <v>133</v>
      </c>
      <c r="C114" s="2">
        <v>45670</v>
      </c>
      <c r="D114" s="2">
        <v>45672</v>
      </c>
      <c r="E114" t="s">
        <v>1521</v>
      </c>
      <c r="F114" t="s">
        <v>1535</v>
      </c>
      <c r="G114" t="s">
        <v>1937</v>
      </c>
      <c r="H114" t="s">
        <v>2315</v>
      </c>
      <c r="I114" t="s">
        <v>2317</v>
      </c>
      <c r="J114" t="s">
        <v>2320</v>
      </c>
      <c r="K114" t="s">
        <v>2320</v>
      </c>
      <c r="L114">
        <v>576874</v>
      </c>
      <c r="M114" t="s">
        <v>2330</v>
      </c>
      <c r="N114" t="s">
        <v>2438</v>
      </c>
      <c r="O114" t="s">
        <v>3053</v>
      </c>
      <c r="P114" t="s">
        <v>3056</v>
      </c>
      <c r="Q114" t="s">
        <v>3170</v>
      </c>
      <c r="R114">
        <v>351.45</v>
      </c>
      <c r="S114">
        <v>9</v>
      </c>
      <c r="T114">
        <v>0.1</v>
      </c>
      <c r="U114">
        <v>4.6500000000000004</v>
      </c>
    </row>
    <row r="115" spans="1:21" x14ac:dyDescent="0.3">
      <c r="A115">
        <v>114</v>
      </c>
      <c r="B115" t="s">
        <v>134</v>
      </c>
      <c r="C115" s="2">
        <v>45781</v>
      </c>
      <c r="D115" s="2">
        <v>45785</v>
      </c>
      <c r="E115" t="s">
        <v>1523</v>
      </c>
      <c r="F115" t="s">
        <v>1575</v>
      </c>
      <c r="G115" t="s">
        <v>1987</v>
      </c>
      <c r="H115" t="s">
        <v>2315</v>
      </c>
      <c r="I115" t="s">
        <v>2317</v>
      </c>
      <c r="J115" t="s">
        <v>2325</v>
      </c>
      <c r="K115" t="s">
        <v>2325</v>
      </c>
      <c r="L115">
        <v>494768</v>
      </c>
      <c r="M115" t="s">
        <v>2332</v>
      </c>
      <c r="N115" t="s">
        <v>2439</v>
      </c>
      <c r="O115" t="s">
        <v>3055</v>
      </c>
      <c r="P115" t="s">
        <v>3059</v>
      </c>
      <c r="Q115" t="s">
        <v>3171</v>
      </c>
      <c r="R115">
        <v>265.58999999999997</v>
      </c>
      <c r="S115">
        <v>7</v>
      </c>
      <c r="T115">
        <v>0.3</v>
      </c>
      <c r="U115">
        <v>-6.84</v>
      </c>
    </row>
    <row r="116" spans="1:21" x14ac:dyDescent="0.3">
      <c r="A116">
        <v>115</v>
      </c>
      <c r="B116" t="s">
        <v>135</v>
      </c>
      <c r="C116" s="2">
        <v>45522</v>
      </c>
      <c r="D116" s="2">
        <v>45524</v>
      </c>
      <c r="E116" t="s">
        <v>1524</v>
      </c>
      <c r="F116" t="s">
        <v>1561</v>
      </c>
      <c r="G116" t="s">
        <v>1949</v>
      </c>
      <c r="H116" t="s">
        <v>2315</v>
      </c>
      <c r="I116" t="s">
        <v>2317</v>
      </c>
      <c r="J116" t="s">
        <v>2326</v>
      </c>
      <c r="K116" t="s">
        <v>2326</v>
      </c>
      <c r="L116">
        <v>179795</v>
      </c>
      <c r="M116" t="s">
        <v>2331</v>
      </c>
      <c r="N116" t="s">
        <v>2440</v>
      </c>
      <c r="O116" t="s">
        <v>3053</v>
      </c>
      <c r="P116" t="s">
        <v>3065</v>
      </c>
      <c r="Q116" t="s">
        <v>3172</v>
      </c>
      <c r="R116">
        <v>407.95</v>
      </c>
      <c r="S116">
        <v>4</v>
      </c>
      <c r="T116">
        <v>0</v>
      </c>
      <c r="U116">
        <v>50.95</v>
      </c>
    </row>
    <row r="117" spans="1:21" x14ac:dyDescent="0.3">
      <c r="A117">
        <v>116</v>
      </c>
      <c r="B117" t="s">
        <v>136</v>
      </c>
      <c r="C117" s="2">
        <v>45332</v>
      </c>
      <c r="D117" s="2">
        <v>45337</v>
      </c>
      <c r="E117" t="s">
        <v>1522</v>
      </c>
      <c r="F117" t="s">
        <v>1619</v>
      </c>
      <c r="G117" t="s">
        <v>2018</v>
      </c>
      <c r="H117" t="s">
        <v>2314</v>
      </c>
      <c r="I117" t="s">
        <v>2317</v>
      </c>
      <c r="J117" t="s">
        <v>2322</v>
      </c>
      <c r="K117" t="s">
        <v>2322</v>
      </c>
      <c r="L117">
        <v>157986</v>
      </c>
      <c r="M117" t="s">
        <v>2331</v>
      </c>
      <c r="N117" t="s">
        <v>2441</v>
      </c>
      <c r="O117" t="s">
        <v>3053</v>
      </c>
      <c r="P117" t="s">
        <v>3056</v>
      </c>
      <c r="Q117" t="s">
        <v>3173</v>
      </c>
      <c r="R117">
        <v>151.31</v>
      </c>
      <c r="S117">
        <v>1</v>
      </c>
      <c r="T117">
        <v>0.1</v>
      </c>
      <c r="U117">
        <v>-64.180000000000007</v>
      </c>
    </row>
    <row r="118" spans="1:21" x14ac:dyDescent="0.3">
      <c r="A118">
        <v>117</v>
      </c>
      <c r="B118" t="s">
        <v>137</v>
      </c>
      <c r="C118" s="2">
        <v>45319</v>
      </c>
      <c r="D118" s="2">
        <v>45320</v>
      </c>
      <c r="E118" t="s">
        <v>1521</v>
      </c>
      <c r="F118" t="s">
        <v>1620</v>
      </c>
      <c r="G118" t="s">
        <v>1957</v>
      </c>
      <c r="H118" t="s">
        <v>2316</v>
      </c>
      <c r="I118" t="s">
        <v>2317</v>
      </c>
      <c r="J118" t="s">
        <v>2326</v>
      </c>
      <c r="K118" t="s">
        <v>2326</v>
      </c>
      <c r="L118">
        <v>115896</v>
      </c>
      <c r="M118" t="s">
        <v>2331</v>
      </c>
      <c r="N118" t="s">
        <v>2442</v>
      </c>
      <c r="O118" t="s">
        <v>3053</v>
      </c>
      <c r="P118" t="s">
        <v>3062</v>
      </c>
      <c r="Q118" t="s">
        <v>3174</v>
      </c>
      <c r="R118">
        <v>74.599999999999994</v>
      </c>
      <c r="S118">
        <v>3</v>
      </c>
      <c r="T118">
        <v>0.15</v>
      </c>
      <c r="U118">
        <v>28.28</v>
      </c>
    </row>
    <row r="119" spans="1:21" x14ac:dyDescent="0.3">
      <c r="A119">
        <v>118</v>
      </c>
      <c r="B119" t="s">
        <v>138</v>
      </c>
      <c r="C119" s="2">
        <v>45426</v>
      </c>
      <c r="D119" s="2">
        <v>45428</v>
      </c>
      <c r="E119" t="s">
        <v>1522</v>
      </c>
      <c r="F119" t="s">
        <v>1621</v>
      </c>
      <c r="G119" t="s">
        <v>2019</v>
      </c>
      <c r="H119" t="s">
        <v>2315</v>
      </c>
      <c r="I119" t="s">
        <v>2317</v>
      </c>
      <c r="J119" t="s">
        <v>2325</v>
      </c>
      <c r="K119" t="s">
        <v>2325</v>
      </c>
      <c r="L119">
        <v>988921</v>
      </c>
      <c r="M119" t="s">
        <v>2332</v>
      </c>
      <c r="N119" t="s">
        <v>2443</v>
      </c>
      <c r="O119" t="s">
        <v>3054</v>
      </c>
      <c r="P119" t="s">
        <v>3063</v>
      </c>
      <c r="Q119" t="s">
        <v>3175</v>
      </c>
      <c r="R119">
        <v>49.39</v>
      </c>
      <c r="S119">
        <v>8</v>
      </c>
      <c r="T119">
        <v>0.15</v>
      </c>
      <c r="U119">
        <v>37.11</v>
      </c>
    </row>
    <row r="120" spans="1:21" x14ac:dyDescent="0.3">
      <c r="A120">
        <v>119</v>
      </c>
      <c r="B120" t="s">
        <v>139</v>
      </c>
      <c r="C120" s="2">
        <v>45492</v>
      </c>
      <c r="D120" s="2">
        <v>45496</v>
      </c>
      <c r="E120" t="s">
        <v>1524</v>
      </c>
      <c r="F120" t="s">
        <v>1622</v>
      </c>
      <c r="G120" t="s">
        <v>2020</v>
      </c>
      <c r="H120" t="s">
        <v>2315</v>
      </c>
      <c r="I120" t="s">
        <v>2317</v>
      </c>
      <c r="J120" t="s">
        <v>2326</v>
      </c>
      <c r="K120" t="s">
        <v>2326</v>
      </c>
      <c r="L120">
        <v>564432</v>
      </c>
      <c r="M120" t="s">
        <v>2331</v>
      </c>
      <c r="N120" t="s">
        <v>2444</v>
      </c>
      <c r="O120" t="s">
        <v>3055</v>
      </c>
      <c r="P120" t="s">
        <v>3060</v>
      </c>
      <c r="Q120" t="s">
        <v>3073</v>
      </c>
      <c r="R120">
        <v>132.1</v>
      </c>
      <c r="S120">
        <v>9</v>
      </c>
      <c r="T120">
        <v>0.4</v>
      </c>
      <c r="U120">
        <v>-10.220000000000001</v>
      </c>
    </row>
    <row r="121" spans="1:21" x14ac:dyDescent="0.3">
      <c r="A121">
        <v>120</v>
      </c>
      <c r="B121" t="s">
        <v>140</v>
      </c>
      <c r="C121" s="2">
        <v>45324</v>
      </c>
      <c r="D121" s="2">
        <v>45326</v>
      </c>
      <c r="E121" t="s">
        <v>1523</v>
      </c>
      <c r="F121" t="s">
        <v>1623</v>
      </c>
      <c r="G121" t="s">
        <v>2021</v>
      </c>
      <c r="H121" t="s">
        <v>2315</v>
      </c>
      <c r="I121" t="s">
        <v>2317</v>
      </c>
      <c r="J121" t="s">
        <v>2319</v>
      </c>
      <c r="K121" t="s">
        <v>2319</v>
      </c>
      <c r="L121">
        <v>319222</v>
      </c>
      <c r="M121" t="s">
        <v>2329</v>
      </c>
      <c r="N121" t="s">
        <v>2407</v>
      </c>
      <c r="O121" t="s">
        <v>3054</v>
      </c>
      <c r="P121" t="s">
        <v>3063</v>
      </c>
      <c r="Q121" t="s">
        <v>3176</v>
      </c>
      <c r="R121">
        <v>41.39</v>
      </c>
      <c r="S121">
        <v>1</v>
      </c>
      <c r="T121">
        <v>0.15</v>
      </c>
      <c r="U121">
        <v>25.23</v>
      </c>
    </row>
    <row r="122" spans="1:21" x14ac:dyDescent="0.3">
      <c r="A122">
        <v>121</v>
      </c>
      <c r="B122" t="s">
        <v>141</v>
      </c>
      <c r="C122" s="2">
        <v>45339</v>
      </c>
      <c r="D122" s="2">
        <v>45343</v>
      </c>
      <c r="E122" t="s">
        <v>1524</v>
      </c>
      <c r="F122" t="s">
        <v>1624</v>
      </c>
      <c r="G122" t="s">
        <v>2022</v>
      </c>
      <c r="H122" t="s">
        <v>2315</v>
      </c>
      <c r="I122" t="s">
        <v>2317</v>
      </c>
      <c r="J122" t="s">
        <v>2318</v>
      </c>
      <c r="K122" t="s">
        <v>2318</v>
      </c>
      <c r="L122">
        <v>453791</v>
      </c>
      <c r="M122" t="s">
        <v>2328</v>
      </c>
      <c r="N122" t="s">
        <v>2445</v>
      </c>
      <c r="O122" t="s">
        <v>3055</v>
      </c>
      <c r="P122" t="s">
        <v>3061</v>
      </c>
      <c r="Q122" t="s">
        <v>3177</v>
      </c>
      <c r="R122">
        <v>393.83</v>
      </c>
      <c r="S122">
        <v>1</v>
      </c>
      <c r="T122">
        <v>0.05</v>
      </c>
      <c r="U122">
        <v>82.56</v>
      </c>
    </row>
    <row r="123" spans="1:21" x14ac:dyDescent="0.3">
      <c r="A123">
        <v>122</v>
      </c>
      <c r="B123" t="s">
        <v>142</v>
      </c>
      <c r="C123" s="2">
        <v>45794</v>
      </c>
      <c r="D123" s="2">
        <v>45799</v>
      </c>
      <c r="E123" t="s">
        <v>1521</v>
      </c>
      <c r="F123" t="s">
        <v>1625</v>
      </c>
      <c r="G123" t="s">
        <v>2023</v>
      </c>
      <c r="H123" t="s">
        <v>2314</v>
      </c>
      <c r="I123" t="s">
        <v>2317</v>
      </c>
      <c r="J123" t="s">
        <v>2319</v>
      </c>
      <c r="K123" t="s">
        <v>2319</v>
      </c>
      <c r="L123">
        <v>613269</v>
      </c>
      <c r="M123" t="s">
        <v>2329</v>
      </c>
      <c r="N123" t="s">
        <v>2446</v>
      </c>
      <c r="O123" t="s">
        <v>3053</v>
      </c>
      <c r="P123" t="s">
        <v>3066</v>
      </c>
      <c r="Q123" t="s">
        <v>3178</v>
      </c>
      <c r="R123">
        <v>495.62</v>
      </c>
      <c r="S123">
        <v>3</v>
      </c>
      <c r="T123">
        <v>0</v>
      </c>
      <c r="U123">
        <v>21.2</v>
      </c>
    </row>
    <row r="124" spans="1:21" x14ac:dyDescent="0.3">
      <c r="A124">
        <v>123</v>
      </c>
      <c r="B124" t="s">
        <v>143</v>
      </c>
      <c r="C124" s="2">
        <v>45698</v>
      </c>
      <c r="D124" s="2">
        <v>45702</v>
      </c>
      <c r="E124" t="s">
        <v>1522</v>
      </c>
      <c r="F124" t="s">
        <v>1623</v>
      </c>
      <c r="G124" t="s">
        <v>2024</v>
      </c>
      <c r="H124" t="s">
        <v>2314</v>
      </c>
      <c r="I124" t="s">
        <v>2317</v>
      </c>
      <c r="J124" t="s">
        <v>2321</v>
      </c>
      <c r="K124" t="s">
        <v>2321</v>
      </c>
      <c r="L124">
        <v>996068</v>
      </c>
      <c r="M124" t="s">
        <v>2329</v>
      </c>
      <c r="N124" t="s">
        <v>2447</v>
      </c>
      <c r="O124" t="s">
        <v>3055</v>
      </c>
      <c r="P124" t="s">
        <v>3067</v>
      </c>
      <c r="Q124" t="s">
        <v>3179</v>
      </c>
      <c r="R124">
        <v>1381.55</v>
      </c>
      <c r="S124">
        <v>7</v>
      </c>
      <c r="T124">
        <v>0.05</v>
      </c>
      <c r="U124">
        <v>217.98</v>
      </c>
    </row>
    <row r="125" spans="1:21" x14ac:dyDescent="0.3">
      <c r="A125">
        <v>124</v>
      </c>
      <c r="B125" t="s">
        <v>144</v>
      </c>
      <c r="C125" s="2">
        <v>45865</v>
      </c>
      <c r="D125" s="2">
        <v>45868</v>
      </c>
      <c r="E125" t="s">
        <v>1522</v>
      </c>
      <c r="F125" t="s">
        <v>1626</v>
      </c>
      <c r="G125" t="s">
        <v>2025</v>
      </c>
      <c r="H125" t="s">
        <v>2316</v>
      </c>
      <c r="I125" t="s">
        <v>2317</v>
      </c>
      <c r="J125" t="s">
        <v>2326</v>
      </c>
      <c r="K125" t="s">
        <v>2326</v>
      </c>
      <c r="L125">
        <v>297780</v>
      </c>
      <c r="M125" t="s">
        <v>2331</v>
      </c>
      <c r="N125" t="s">
        <v>2448</v>
      </c>
      <c r="O125" t="s">
        <v>3053</v>
      </c>
      <c r="P125" t="s">
        <v>3066</v>
      </c>
      <c r="Q125" t="s">
        <v>3180</v>
      </c>
      <c r="R125">
        <v>307.52999999999997</v>
      </c>
      <c r="S125">
        <v>3</v>
      </c>
      <c r="T125">
        <v>0.15</v>
      </c>
      <c r="U125">
        <v>-12.4</v>
      </c>
    </row>
    <row r="126" spans="1:21" x14ac:dyDescent="0.3">
      <c r="A126">
        <v>125</v>
      </c>
      <c r="B126" t="s">
        <v>145</v>
      </c>
      <c r="C126" s="2">
        <v>46019</v>
      </c>
      <c r="D126" s="2">
        <v>46021</v>
      </c>
      <c r="E126" t="s">
        <v>1521</v>
      </c>
      <c r="F126" t="s">
        <v>1627</v>
      </c>
      <c r="G126" t="s">
        <v>2026</v>
      </c>
      <c r="H126" t="s">
        <v>2314</v>
      </c>
      <c r="I126" t="s">
        <v>2317</v>
      </c>
      <c r="J126" t="s">
        <v>2321</v>
      </c>
      <c r="K126" t="s">
        <v>2321</v>
      </c>
      <c r="L126">
        <v>594829</v>
      </c>
      <c r="M126" t="s">
        <v>2329</v>
      </c>
      <c r="N126" t="s">
        <v>2449</v>
      </c>
      <c r="O126" t="s">
        <v>3053</v>
      </c>
      <c r="P126" t="s">
        <v>3056</v>
      </c>
      <c r="Q126" t="s">
        <v>3181</v>
      </c>
      <c r="R126">
        <v>240.03</v>
      </c>
      <c r="S126">
        <v>8</v>
      </c>
      <c r="T126">
        <v>0.1</v>
      </c>
      <c r="U126">
        <v>19.22</v>
      </c>
    </row>
    <row r="127" spans="1:21" x14ac:dyDescent="0.3">
      <c r="A127">
        <v>126</v>
      </c>
      <c r="B127" t="s">
        <v>146</v>
      </c>
      <c r="C127" s="2">
        <v>45390</v>
      </c>
      <c r="D127" s="2">
        <v>45393</v>
      </c>
      <c r="E127" t="s">
        <v>1523</v>
      </c>
      <c r="F127" t="s">
        <v>1628</v>
      </c>
      <c r="G127" t="s">
        <v>2027</v>
      </c>
      <c r="H127" t="s">
        <v>2315</v>
      </c>
      <c r="I127" t="s">
        <v>2317</v>
      </c>
      <c r="J127" t="s">
        <v>2327</v>
      </c>
      <c r="K127" t="s">
        <v>2327</v>
      </c>
      <c r="L127">
        <v>563956</v>
      </c>
      <c r="M127" t="s">
        <v>2330</v>
      </c>
      <c r="N127" t="s">
        <v>2399</v>
      </c>
      <c r="O127" t="s">
        <v>3053</v>
      </c>
      <c r="P127" t="s">
        <v>3056</v>
      </c>
      <c r="Q127" t="s">
        <v>3182</v>
      </c>
      <c r="R127">
        <v>173.3</v>
      </c>
      <c r="S127">
        <v>1</v>
      </c>
      <c r="T127">
        <v>0.15</v>
      </c>
      <c r="U127">
        <v>-12.85</v>
      </c>
    </row>
    <row r="128" spans="1:21" x14ac:dyDescent="0.3">
      <c r="A128">
        <v>127</v>
      </c>
      <c r="B128" t="s">
        <v>147</v>
      </c>
      <c r="C128" s="2">
        <v>45975</v>
      </c>
      <c r="D128" s="2">
        <v>45978</v>
      </c>
      <c r="E128" t="s">
        <v>1522</v>
      </c>
      <c r="F128" t="s">
        <v>1629</v>
      </c>
      <c r="G128" t="s">
        <v>2028</v>
      </c>
      <c r="H128" t="s">
        <v>2316</v>
      </c>
      <c r="I128" t="s">
        <v>2317</v>
      </c>
      <c r="J128" t="s">
        <v>2324</v>
      </c>
      <c r="K128" t="s">
        <v>2324</v>
      </c>
      <c r="L128">
        <v>850593</v>
      </c>
      <c r="M128" t="s">
        <v>2330</v>
      </c>
      <c r="N128" t="s">
        <v>2450</v>
      </c>
      <c r="O128" t="s">
        <v>3055</v>
      </c>
      <c r="P128" t="s">
        <v>3059</v>
      </c>
      <c r="Q128" t="s">
        <v>3183</v>
      </c>
      <c r="R128">
        <v>203.49</v>
      </c>
      <c r="S128">
        <v>5</v>
      </c>
      <c r="T128">
        <v>0.1</v>
      </c>
      <c r="U128">
        <v>35.950000000000003</v>
      </c>
    </row>
    <row r="129" spans="1:21" x14ac:dyDescent="0.3">
      <c r="A129">
        <v>128</v>
      </c>
      <c r="B129" t="s">
        <v>148</v>
      </c>
      <c r="C129" s="2">
        <v>46017</v>
      </c>
      <c r="D129" s="2">
        <v>46021</v>
      </c>
      <c r="E129" t="s">
        <v>1521</v>
      </c>
      <c r="F129" t="s">
        <v>1630</v>
      </c>
      <c r="G129" t="s">
        <v>2029</v>
      </c>
      <c r="H129" t="s">
        <v>2315</v>
      </c>
      <c r="I129" t="s">
        <v>2317</v>
      </c>
      <c r="J129" t="s">
        <v>2327</v>
      </c>
      <c r="K129" t="s">
        <v>2327</v>
      </c>
      <c r="L129">
        <v>949649</v>
      </c>
      <c r="M129" t="s">
        <v>2330</v>
      </c>
      <c r="N129" t="s">
        <v>2451</v>
      </c>
      <c r="O129" t="s">
        <v>3054</v>
      </c>
      <c r="P129" t="s">
        <v>3063</v>
      </c>
      <c r="Q129" t="s">
        <v>3184</v>
      </c>
      <c r="R129">
        <v>136.04</v>
      </c>
      <c r="S129">
        <v>5</v>
      </c>
      <c r="T129">
        <v>0.1</v>
      </c>
      <c r="U129">
        <v>31.87</v>
      </c>
    </row>
    <row r="130" spans="1:21" x14ac:dyDescent="0.3">
      <c r="A130">
        <v>129</v>
      </c>
      <c r="B130" t="s">
        <v>149</v>
      </c>
      <c r="C130" s="2">
        <v>45838</v>
      </c>
      <c r="D130" s="2">
        <v>45842</v>
      </c>
      <c r="E130" t="s">
        <v>1522</v>
      </c>
      <c r="F130" t="s">
        <v>1534</v>
      </c>
      <c r="G130" t="s">
        <v>2030</v>
      </c>
      <c r="H130" t="s">
        <v>2315</v>
      </c>
      <c r="I130" t="s">
        <v>2317</v>
      </c>
      <c r="J130" t="s">
        <v>2325</v>
      </c>
      <c r="K130" t="s">
        <v>2325</v>
      </c>
      <c r="L130">
        <v>640022</v>
      </c>
      <c r="M130" t="s">
        <v>2332</v>
      </c>
      <c r="N130" t="s">
        <v>2452</v>
      </c>
      <c r="O130" t="s">
        <v>3055</v>
      </c>
      <c r="P130" t="s">
        <v>3067</v>
      </c>
      <c r="Q130" t="s">
        <v>3185</v>
      </c>
      <c r="R130">
        <v>130.74</v>
      </c>
      <c r="S130">
        <v>2</v>
      </c>
      <c r="T130">
        <v>0.2</v>
      </c>
      <c r="U130">
        <v>-13.49</v>
      </c>
    </row>
    <row r="131" spans="1:21" x14ac:dyDescent="0.3">
      <c r="A131">
        <v>130</v>
      </c>
      <c r="B131" t="s">
        <v>150</v>
      </c>
      <c r="C131" s="2">
        <v>45904</v>
      </c>
      <c r="D131" s="2">
        <v>45910</v>
      </c>
      <c r="E131" t="s">
        <v>1523</v>
      </c>
      <c r="F131" t="s">
        <v>1608</v>
      </c>
      <c r="G131" t="s">
        <v>2031</v>
      </c>
      <c r="H131" t="s">
        <v>2316</v>
      </c>
      <c r="I131" t="s">
        <v>2317</v>
      </c>
      <c r="J131" t="s">
        <v>2323</v>
      </c>
      <c r="K131" t="s">
        <v>2323</v>
      </c>
      <c r="L131">
        <v>261149</v>
      </c>
      <c r="M131" t="s">
        <v>2328</v>
      </c>
      <c r="N131" t="s">
        <v>2453</v>
      </c>
      <c r="O131" t="s">
        <v>3054</v>
      </c>
      <c r="P131" t="s">
        <v>3057</v>
      </c>
      <c r="Q131" t="s">
        <v>3186</v>
      </c>
      <c r="R131">
        <v>74.67</v>
      </c>
      <c r="S131">
        <v>3</v>
      </c>
      <c r="T131">
        <v>0</v>
      </c>
      <c r="U131">
        <v>56.06</v>
      </c>
    </row>
    <row r="132" spans="1:21" x14ac:dyDescent="0.3">
      <c r="A132">
        <v>131</v>
      </c>
      <c r="B132" t="s">
        <v>151</v>
      </c>
      <c r="C132" s="2">
        <v>45753</v>
      </c>
      <c r="D132" s="2">
        <v>45756</v>
      </c>
      <c r="E132" t="s">
        <v>1523</v>
      </c>
      <c r="F132" t="s">
        <v>1631</v>
      </c>
      <c r="G132" t="s">
        <v>2032</v>
      </c>
      <c r="H132" t="s">
        <v>2315</v>
      </c>
      <c r="I132" t="s">
        <v>2317</v>
      </c>
      <c r="J132" t="s">
        <v>2318</v>
      </c>
      <c r="K132" t="s">
        <v>2318</v>
      </c>
      <c r="L132">
        <v>911032</v>
      </c>
      <c r="M132" t="s">
        <v>2328</v>
      </c>
      <c r="N132" t="s">
        <v>2454</v>
      </c>
      <c r="O132" t="s">
        <v>3054</v>
      </c>
      <c r="P132" t="s">
        <v>3057</v>
      </c>
      <c r="Q132" t="s">
        <v>3151</v>
      </c>
      <c r="R132">
        <v>58.24</v>
      </c>
      <c r="S132">
        <v>2</v>
      </c>
      <c r="T132">
        <v>0.05</v>
      </c>
      <c r="U132">
        <v>24.71</v>
      </c>
    </row>
    <row r="133" spans="1:21" x14ac:dyDescent="0.3">
      <c r="A133">
        <v>132</v>
      </c>
      <c r="B133" t="s">
        <v>152</v>
      </c>
      <c r="C133" s="2">
        <v>45934</v>
      </c>
      <c r="D133" s="2">
        <v>45937</v>
      </c>
      <c r="E133" t="s">
        <v>1521</v>
      </c>
      <c r="F133" t="s">
        <v>1632</v>
      </c>
      <c r="G133" t="s">
        <v>1935</v>
      </c>
      <c r="H133" t="s">
        <v>2314</v>
      </c>
      <c r="I133" t="s">
        <v>2317</v>
      </c>
      <c r="J133" t="s">
        <v>2326</v>
      </c>
      <c r="K133" t="s">
        <v>2326</v>
      </c>
      <c r="L133">
        <v>123548</v>
      </c>
      <c r="M133" t="s">
        <v>2331</v>
      </c>
      <c r="N133" t="s">
        <v>2455</v>
      </c>
      <c r="O133" t="s">
        <v>3053</v>
      </c>
      <c r="P133" t="s">
        <v>3056</v>
      </c>
      <c r="Q133" t="s">
        <v>3068</v>
      </c>
      <c r="R133">
        <v>472.97</v>
      </c>
      <c r="S133">
        <v>9</v>
      </c>
      <c r="T133">
        <v>0.1</v>
      </c>
      <c r="U133">
        <v>20.7</v>
      </c>
    </row>
    <row r="134" spans="1:21" x14ac:dyDescent="0.3">
      <c r="A134">
        <v>133</v>
      </c>
      <c r="B134" t="s">
        <v>153</v>
      </c>
      <c r="C134" s="2">
        <v>45296</v>
      </c>
      <c r="D134" s="2">
        <v>45299</v>
      </c>
      <c r="E134" t="s">
        <v>1522</v>
      </c>
      <c r="F134" t="s">
        <v>1633</v>
      </c>
      <c r="G134" t="s">
        <v>2033</v>
      </c>
      <c r="H134" t="s">
        <v>2315</v>
      </c>
      <c r="I134" t="s">
        <v>2317</v>
      </c>
      <c r="J134" t="s">
        <v>2320</v>
      </c>
      <c r="K134" t="s">
        <v>2320</v>
      </c>
      <c r="L134">
        <v>902009</v>
      </c>
      <c r="M134" t="s">
        <v>2330</v>
      </c>
      <c r="N134" t="s">
        <v>2356</v>
      </c>
      <c r="O134" t="s">
        <v>3053</v>
      </c>
      <c r="P134" t="s">
        <v>3056</v>
      </c>
      <c r="Q134" t="s">
        <v>3187</v>
      </c>
      <c r="R134">
        <v>392.91</v>
      </c>
      <c r="S134">
        <v>8</v>
      </c>
      <c r="T134">
        <v>0.1</v>
      </c>
      <c r="U134">
        <v>28.4</v>
      </c>
    </row>
    <row r="135" spans="1:21" x14ac:dyDescent="0.3">
      <c r="A135">
        <v>134</v>
      </c>
      <c r="B135" t="s">
        <v>154</v>
      </c>
      <c r="C135" s="2">
        <v>45509</v>
      </c>
      <c r="D135" s="2">
        <v>45511</v>
      </c>
      <c r="E135" t="s">
        <v>1521</v>
      </c>
      <c r="F135" t="s">
        <v>1634</v>
      </c>
      <c r="G135" t="s">
        <v>2034</v>
      </c>
      <c r="H135" t="s">
        <v>2315</v>
      </c>
      <c r="I135" t="s">
        <v>2317</v>
      </c>
      <c r="J135" t="s">
        <v>2324</v>
      </c>
      <c r="K135" t="s">
        <v>2324</v>
      </c>
      <c r="L135">
        <v>449903</v>
      </c>
      <c r="M135" t="s">
        <v>2330</v>
      </c>
      <c r="N135" t="s">
        <v>2456</v>
      </c>
      <c r="O135" t="s">
        <v>3053</v>
      </c>
      <c r="P135" t="s">
        <v>3062</v>
      </c>
      <c r="Q135" t="s">
        <v>3088</v>
      </c>
      <c r="R135">
        <v>479.81</v>
      </c>
      <c r="S135">
        <v>8</v>
      </c>
      <c r="T135">
        <v>0.2</v>
      </c>
      <c r="U135">
        <v>1.48</v>
      </c>
    </row>
    <row r="136" spans="1:21" x14ac:dyDescent="0.3">
      <c r="A136">
        <v>135</v>
      </c>
      <c r="B136" t="s">
        <v>155</v>
      </c>
      <c r="C136" s="2">
        <v>45794</v>
      </c>
      <c r="D136" s="2">
        <v>45797</v>
      </c>
      <c r="E136" t="s">
        <v>1521</v>
      </c>
      <c r="F136" t="s">
        <v>1635</v>
      </c>
      <c r="G136" t="s">
        <v>1928</v>
      </c>
      <c r="H136" t="s">
        <v>2314</v>
      </c>
      <c r="I136" t="s">
        <v>2317</v>
      </c>
      <c r="J136" t="s">
        <v>2322</v>
      </c>
      <c r="K136" t="s">
        <v>2322</v>
      </c>
      <c r="L136">
        <v>159164</v>
      </c>
      <c r="M136" t="s">
        <v>2331</v>
      </c>
      <c r="N136" t="s">
        <v>2457</v>
      </c>
      <c r="O136" t="s">
        <v>3055</v>
      </c>
      <c r="P136" t="s">
        <v>3067</v>
      </c>
      <c r="Q136" t="s">
        <v>3188</v>
      </c>
      <c r="R136">
        <v>344.96</v>
      </c>
      <c r="S136">
        <v>2</v>
      </c>
      <c r="T136">
        <v>0.3</v>
      </c>
      <c r="U136">
        <v>-18.95</v>
      </c>
    </row>
    <row r="137" spans="1:21" x14ac:dyDescent="0.3">
      <c r="A137">
        <v>136</v>
      </c>
      <c r="B137" t="s">
        <v>156</v>
      </c>
      <c r="C137" s="2">
        <v>45689</v>
      </c>
      <c r="D137" s="2">
        <v>45693</v>
      </c>
      <c r="E137" t="s">
        <v>1521</v>
      </c>
      <c r="F137" t="s">
        <v>1636</v>
      </c>
      <c r="G137" t="s">
        <v>2035</v>
      </c>
      <c r="H137" t="s">
        <v>2314</v>
      </c>
      <c r="I137" t="s">
        <v>2317</v>
      </c>
      <c r="J137" t="s">
        <v>2322</v>
      </c>
      <c r="K137" t="s">
        <v>2322</v>
      </c>
      <c r="L137">
        <v>866887</v>
      </c>
      <c r="M137" t="s">
        <v>2331</v>
      </c>
      <c r="N137" t="s">
        <v>2458</v>
      </c>
      <c r="O137" t="s">
        <v>3053</v>
      </c>
      <c r="P137" t="s">
        <v>3066</v>
      </c>
      <c r="Q137" t="s">
        <v>3189</v>
      </c>
      <c r="R137">
        <v>536.01</v>
      </c>
      <c r="S137">
        <v>2</v>
      </c>
      <c r="T137">
        <v>0</v>
      </c>
      <c r="U137">
        <v>18.14</v>
      </c>
    </row>
    <row r="138" spans="1:21" x14ac:dyDescent="0.3">
      <c r="A138">
        <v>137</v>
      </c>
      <c r="B138" t="s">
        <v>157</v>
      </c>
      <c r="C138" s="2">
        <v>45684</v>
      </c>
      <c r="D138" s="2">
        <v>45686</v>
      </c>
      <c r="E138" t="s">
        <v>1521</v>
      </c>
      <c r="F138" t="s">
        <v>1637</v>
      </c>
      <c r="G138" t="s">
        <v>2036</v>
      </c>
      <c r="H138" t="s">
        <v>2315</v>
      </c>
      <c r="I138" t="s">
        <v>2317</v>
      </c>
      <c r="J138" t="s">
        <v>2322</v>
      </c>
      <c r="K138" t="s">
        <v>2322</v>
      </c>
      <c r="L138">
        <v>117143</v>
      </c>
      <c r="M138" t="s">
        <v>2331</v>
      </c>
      <c r="N138" t="s">
        <v>2459</v>
      </c>
      <c r="O138" t="s">
        <v>3054</v>
      </c>
      <c r="P138" t="s">
        <v>3057</v>
      </c>
      <c r="Q138" t="s">
        <v>3190</v>
      </c>
      <c r="R138">
        <v>32.81</v>
      </c>
      <c r="S138">
        <v>5</v>
      </c>
      <c r="T138">
        <v>0.2</v>
      </c>
      <c r="U138">
        <v>6.45</v>
      </c>
    </row>
    <row r="139" spans="1:21" x14ac:dyDescent="0.3">
      <c r="A139">
        <v>138</v>
      </c>
      <c r="B139" t="s">
        <v>158</v>
      </c>
      <c r="C139" s="2">
        <v>45498</v>
      </c>
      <c r="D139" s="2">
        <v>45501</v>
      </c>
      <c r="E139" t="s">
        <v>1524</v>
      </c>
      <c r="F139" t="s">
        <v>1538</v>
      </c>
      <c r="G139" t="s">
        <v>2037</v>
      </c>
      <c r="H139" t="s">
        <v>2316</v>
      </c>
      <c r="I139" t="s">
        <v>2317</v>
      </c>
      <c r="J139" t="s">
        <v>2326</v>
      </c>
      <c r="K139" t="s">
        <v>2326</v>
      </c>
      <c r="L139">
        <v>317508</v>
      </c>
      <c r="M139" t="s">
        <v>2331</v>
      </c>
      <c r="N139" t="s">
        <v>2460</v>
      </c>
      <c r="O139" t="s">
        <v>3053</v>
      </c>
      <c r="P139" t="s">
        <v>3066</v>
      </c>
      <c r="Q139" t="s">
        <v>3191</v>
      </c>
      <c r="R139">
        <v>121.43</v>
      </c>
      <c r="S139">
        <v>3</v>
      </c>
      <c r="T139">
        <v>0.2</v>
      </c>
      <c r="U139">
        <v>-14.4</v>
      </c>
    </row>
    <row r="140" spans="1:21" x14ac:dyDescent="0.3">
      <c r="A140">
        <v>139</v>
      </c>
      <c r="B140" t="s">
        <v>159</v>
      </c>
      <c r="C140" s="2">
        <v>45306</v>
      </c>
      <c r="D140" s="2">
        <v>45309</v>
      </c>
      <c r="E140" t="s">
        <v>1523</v>
      </c>
      <c r="F140" t="s">
        <v>1638</v>
      </c>
      <c r="G140" t="s">
        <v>2038</v>
      </c>
      <c r="H140" t="s">
        <v>2315</v>
      </c>
      <c r="I140" t="s">
        <v>2317</v>
      </c>
      <c r="J140" t="s">
        <v>2322</v>
      </c>
      <c r="K140" t="s">
        <v>2322</v>
      </c>
      <c r="L140">
        <v>132152</v>
      </c>
      <c r="M140" t="s">
        <v>2331</v>
      </c>
      <c r="N140" t="s">
        <v>2461</v>
      </c>
      <c r="O140" t="s">
        <v>3055</v>
      </c>
      <c r="P140" t="s">
        <v>3060</v>
      </c>
      <c r="Q140" t="s">
        <v>3192</v>
      </c>
      <c r="R140">
        <v>289.86</v>
      </c>
      <c r="S140">
        <v>1</v>
      </c>
      <c r="T140">
        <v>0.2</v>
      </c>
      <c r="U140">
        <v>5.45</v>
      </c>
    </row>
    <row r="141" spans="1:21" x14ac:dyDescent="0.3">
      <c r="A141">
        <v>140</v>
      </c>
      <c r="B141" t="s">
        <v>160</v>
      </c>
      <c r="C141" s="2">
        <v>45845</v>
      </c>
      <c r="D141" s="2">
        <v>45848</v>
      </c>
      <c r="E141" t="s">
        <v>1524</v>
      </c>
      <c r="F141" t="s">
        <v>1639</v>
      </c>
      <c r="G141" t="s">
        <v>2017</v>
      </c>
      <c r="H141" t="s">
        <v>2315</v>
      </c>
      <c r="I141" t="s">
        <v>2317</v>
      </c>
      <c r="J141" t="s">
        <v>2319</v>
      </c>
      <c r="K141" t="s">
        <v>2319</v>
      </c>
      <c r="L141">
        <v>970220</v>
      </c>
      <c r="M141" t="s">
        <v>2329</v>
      </c>
      <c r="N141" t="s">
        <v>2336</v>
      </c>
      <c r="O141" t="s">
        <v>3054</v>
      </c>
      <c r="P141" t="s">
        <v>3064</v>
      </c>
      <c r="Q141" t="s">
        <v>3193</v>
      </c>
      <c r="R141">
        <v>15.19</v>
      </c>
      <c r="S141">
        <v>5</v>
      </c>
      <c r="T141">
        <v>0.15</v>
      </c>
      <c r="U141">
        <v>5.0199999999999996</v>
      </c>
    </row>
    <row r="142" spans="1:21" x14ac:dyDescent="0.3">
      <c r="A142">
        <v>141</v>
      </c>
      <c r="B142" t="s">
        <v>161</v>
      </c>
      <c r="C142" s="2">
        <v>45752</v>
      </c>
      <c r="D142" s="2">
        <v>45756</v>
      </c>
      <c r="E142" t="s">
        <v>1523</v>
      </c>
      <c r="F142" t="s">
        <v>1640</v>
      </c>
      <c r="G142" t="s">
        <v>2039</v>
      </c>
      <c r="H142" t="s">
        <v>2314</v>
      </c>
      <c r="I142" t="s">
        <v>2317</v>
      </c>
      <c r="J142" t="s">
        <v>2324</v>
      </c>
      <c r="K142" t="s">
        <v>2324</v>
      </c>
      <c r="L142">
        <v>729112</v>
      </c>
      <c r="M142" t="s">
        <v>2330</v>
      </c>
      <c r="N142" t="s">
        <v>2462</v>
      </c>
      <c r="O142" t="s">
        <v>3053</v>
      </c>
      <c r="P142" t="s">
        <v>3056</v>
      </c>
      <c r="Q142" t="s">
        <v>3194</v>
      </c>
      <c r="R142">
        <v>121.66</v>
      </c>
      <c r="S142">
        <v>6</v>
      </c>
      <c r="T142">
        <v>0.2</v>
      </c>
      <c r="U142">
        <v>-30.47</v>
      </c>
    </row>
    <row r="143" spans="1:21" x14ac:dyDescent="0.3">
      <c r="A143">
        <v>142</v>
      </c>
      <c r="B143" t="s">
        <v>162</v>
      </c>
      <c r="C143" s="2">
        <v>45982</v>
      </c>
      <c r="D143" s="2">
        <v>45987</v>
      </c>
      <c r="E143" t="s">
        <v>1524</v>
      </c>
      <c r="F143" t="s">
        <v>1615</v>
      </c>
      <c r="G143" t="s">
        <v>1941</v>
      </c>
      <c r="H143" t="s">
        <v>2316</v>
      </c>
      <c r="I143" t="s">
        <v>2317</v>
      </c>
      <c r="J143" t="s">
        <v>2319</v>
      </c>
      <c r="K143" t="s">
        <v>2319</v>
      </c>
      <c r="L143">
        <v>612214</v>
      </c>
      <c r="M143" t="s">
        <v>2329</v>
      </c>
      <c r="N143" t="s">
        <v>2463</v>
      </c>
      <c r="O143" t="s">
        <v>3054</v>
      </c>
      <c r="P143" t="s">
        <v>3058</v>
      </c>
      <c r="Q143" t="s">
        <v>3195</v>
      </c>
      <c r="R143">
        <v>31.53</v>
      </c>
      <c r="S143">
        <v>5</v>
      </c>
      <c r="T143">
        <v>0.05</v>
      </c>
      <c r="U143">
        <v>-9.2100000000000009</v>
      </c>
    </row>
    <row r="144" spans="1:21" x14ac:dyDescent="0.3">
      <c r="A144">
        <v>143</v>
      </c>
      <c r="B144" t="s">
        <v>163</v>
      </c>
      <c r="C144" s="2">
        <v>45866</v>
      </c>
      <c r="D144" s="2">
        <v>45869</v>
      </c>
      <c r="E144" t="s">
        <v>1522</v>
      </c>
      <c r="F144" t="s">
        <v>1641</v>
      </c>
      <c r="G144" t="s">
        <v>2040</v>
      </c>
      <c r="H144" t="s">
        <v>2315</v>
      </c>
      <c r="I144" t="s">
        <v>2317</v>
      </c>
      <c r="J144" t="s">
        <v>2323</v>
      </c>
      <c r="K144" t="s">
        <v>2323</v>
      </c>
      <c r="L144">
        <v>960931</v>
      </c>
      <c r="M144" t="s">
        <v>2328</v>
      </c>
      <c r="N144" t="s">
        <v>2464</v>
      </c>
      <c r="O144" t="s">
        <v>3053</v>
      </c>
      <c r="P144" t="s">
        <v>3065</v>
      </c>
      <c r="Q144" t="s">
        <v>3196</v>
      </c>
      <c r="R144">
        <v>417.04</v>
      </c>
      <c r="S144">
        <v>3</v>
      </c>
      <c r="T144">
        <v>0.2</v>
      </c>
      <c r="U144">
        <v>9.85</v>
      </c>
    </row>
    <row r="145" spans="1:21" x14ac:dyDescent="0.3">
      <c r="A145">
        <v>144</v>
      </c>
      <c r="B145" t="s">
        <v>164</v>
      </c>
      <c r="C145" s="2">
        <v>45532</v>
      </c>
      <c r="D145" s="2">
        <v>45534</v>
      </c>
      <c r="E145" t="s">
        <v>1521</v>
      </c>
      <c r="F145" t="s">
        <v>1642</v>
      </c>
      <c r="G145" t="s">
        <v>1959</v>
      </c>
      <c r="H145" t="s">
        <v>2315</v>
      </c>
      <c r="I145" t="s">
        <v>2317</v>
      </c>
      <c r="J145" t="s">
        <v>2324</v>
      </c>
      <c r="K145" t="s">
        <v>2324</v>
      </c>
      <c r="L145">
        <v>419248</v>
      </c>
      <c r="M145" t="s">
        <v>2330</v>
      </c>
      <c r="N145" t="s">
        <v>2465</v>
      </c>
      <c r="O145" t="s">
        <v>3053</v>
      </c>
      <c r="P145" t="s">
        <v>3062</v>
      </c>
      <c r="Q145" t="s">
        <v>3197</v>
      </c>
      <c r="R145">
        <v>127.39</v>
      </c>
      <c r="S145">
        <v>2</v>
      </c>
      <c r="T145">
        <v>0</v>
      </c>
      <c r="U145">
        <v>32.76</v>
      </c>
    </row>
    <row r="146" spans="1:21" x14ac:dyDescent="0.3">
      <c r="A146">
        <v>145</v>
      </c>
      <c r="B146" t="s">
        <v>165</v>
      </c>
      <c r="C146" s="2">
        <v>45855</v>
      </c>
      <c r="D146" s="2">
        <v>45858</v>
      </c>
      <c r="E146" t="s">
        <v>1524</v>
      </c>
      <c r="F146" t="s">
        <v>1578</v>
      </c>
      <c r="G146" t="s">
        <v>2041</v>
      </c>
      <c r="H146" t="s">
        <v>2316</v>
      </c>
      <c r="I146" t="s">
        <v>2317</v>
      </c>
      <c r="J146" t="s">
        <v>2319</v>
      </c>
      <c r="K146" t="s">
        <v>2319</v>
      </c>
      <c r="L146">
        <v>474842</v>
      </c>
      <c r="M146" t="s">
        <v>2329</v>
      </c>
      <c r="N146" t="s">
        <v>2466</v>
      </c>
      <c r="O146" t="s">
        <v>3055</v>
      </c>
      <c r="P146" t="s">
        <v>3067</v>
      </c>
      <c r="Q146" t="s">
        <v>3198</v>
      </c>
      <c r="R146">
        <v>1125.01</v>
      </c>
      <c r="S146">
        <v>3</v>
      </c>
      <c r="T146">
        <v>0</v>
      </c>
      <c r="U146">
        <v>199.93</v>
      </c>
    </row>
    <row r="147" spans="1:21" x14ac:dyDescent="0.3">
      <c r="A147">
        <v>146</v>
      </c>
      <c r="B147" t="s">
        <v>166</v>
      </c>
      <c r="C147" s="2">
        <v>45387</v>
      </c>
      <c r="D147" s="2">
        <v>45389</v>
      </c>
      <c r="E147" t="s">
        <v>1524</v>
      </c>
      <c r="F147" t="s">
        <v>1559</v>
      </c>
      <c r="G147" t="s">
        <v>2042</v>
      </c>
      <c r="H147" t="s">
        <v>2316</v>
      </c>
      <c r="I147" t="s">
        <v>2317</v>
      </c>
      <c r="J147" t="s">
        <v>2324</v>
      </c>
      <c r="K147" t="s">
        <v>2324</v>
      </c>
      <c r="L147">
        <v>532601</v>
      </c>
      <c r="M147" t="s">
        <v>2330</v>
      </c>
      <c r="N147" t="s">
        <v>2467</v>
      </c>
      <c r="O147" t="s">
        <v>3055</v>
      </c>
      <c r="P147" t="s">
        <v>3061</v>
      </c>
      <c r="Q147" t="s">
        <v>3199</v>
      </c>
      <c r="R147">
        <v>358.87</v>
      </c>
      <c r="S147">
        <v>2</v>
      </c>
      <c r="T147">
        <v>0.2</v>
      </c>
      <c r="U147">
        <v>53.96</v>
      </c>
    </row>
    <row r="148" spans="1:21" x14ac:dyDescent="0.3">
      <c r="A148">
        <v>147</v>
      </c>
      <c r="B148" t="s">
        <v>167</v>
      </c>
      <c r="C148" s="2">
        <v>45776</v>
      </c>
      <c r="D148" s="2">
        <v>45780</v>
      </c>
      <c r="E148" t="s">
        <v>1522</v>
      </c>
      <c r="F148" t="s">
        <v>1643</v>
      </c>
      <c r="G148" t="s">
        <v>2043</v>
      </c>
      <c r="H148" t="s">
        <v>2316</v>
      </c>
      <c r="I148" t="s">
        <v>2317</v>
      </c>
      <c r="J148" t="s">
        <v>2323</v>
      </c>
      <c r="K148" t="s">
        <v>2323</v>
      </c>
      <c r="L148">
        <v>491670</v>
      </c>
      <c r="M148" t="s">
        <v>2328</v>
      </c>
      <c r="N148" t="s">
        <v>2468</v>
      </c>
      <c r="O148" t="s">
        <v>3054</v>
      </c>
      <c r="P148" t="s">
        <v>3058</v>
      </c>
      <c r="Q148" t="s">
        <v>3200</v>
      </c>
      <c r="R148">
        <v>72.540000000000006</v>
      </c>
      <c r="S148">
        <v>4</v>
      </c>
      <c r="T148">
        <v>0.15</v>
      </c>
      <c r="U148">
        <v>15.13</v>
      </c>
    </row>
    <row r="149" spans="1:21" x14ac:dyDescent="0.3">
      <c r="A149">
        <v>148</v>
      </c>
      <c r="B149" t="s">
        <v>168</v>
      </c>
      <c r="C149" s="2">
        <v>45698</v>
      </c>
      <c r="D149" s="2">
        <v>45699</v>
      </c>
      <c r="E149" t="s">
        <v>1524</v>
      </c>
      <c r="F149" t="s">
        <v>1644</v>
      </c>
      <c r="G149" t="s">
        <v>2009</v>
      </c>
      <c r="H149" t="s">
        <v>2316</v>
      </c>
      <c r="I149" t="s">
        <v>2317</v>
      </c>
      <c r="J149" t="s">
        <v>2321</v>
      </c>
      <c r="K149" t="s">
        <v>2321</v>
      </c>
      <c r="L149">
        <v>467508</v>
      </c>
      <c r="M149" t="s">
        <v>2329</v>
      </c>
      <c r="N149" t="s">
        <v>2342</v>
      </c>
      <c r="O149" t="s">
        <v>3055</v>
      </c>
      <c r="P149" t="s">
        <v>3067</v>
      </c>
      <c r="Q149" t="s">
        <v>3201</v>
      </c>
      <c r="R149">
        <v>285.43</v>
      </c>
      <c r="S149">
        <v>7</v>
      </c>
      <c r="T149">
        <v>0.05</v>
      </c>
      <c r="U149">
        <v>48.32</v>
      </c>
    </row>
    <row r="150" spans="1:21" x14ac:dyDescent="0.3">
      <c r="A150">
        <v>149</v>
      </c>
      <c r="B150" t="s">
        <v>169</v>
      </c>
      <c r="C150" s="2">
        <v>45522</v>
      </c>
      <c r="D150" s="2">
        <v>45524</v>
      </c>
      <c r="E150" t="s">
        <v>1523</v>
      </c>
      <c r="F150" t="s">
        <v>1645</v>
      </c>
      <c r="G150" t="s">
        <v>2044</v>
      </c>
      <c r="H150" t="s">
        <v>2314</v>
      </c>
      <c r="I150" t="s">
        <v>2317</v>
      </c>
      <c r="J150" t="s">
        <v>2326</v>
      </c>
      <c r="K150" t="s">
        <v>2326</v>
      </c>
      <c r="L150">
        <v>193944</v>
      </c>
      <c r="M150" t="s">
        <v>2331</v>
      </c>
      <c r="N150" t="s">
        <v>2469</v>
      </c>
      <c r="O150" t="s">
        <v>3054</v>
      </c>
      <c r="P150" t="s">
        <v>3057</v>
      </c>
      <c r="Q150" t="s">
        <v>3202</v>
      </c>
      <c r="R150">
        <v>43.11</v>
      </c>
      <c r="S150">
        <v>3</v>
      </c>
      <c r="T150">
        <v>0.05</v>
      </c>
      <c r="U150">
        <v>-8.52</v>
      </c>
    </row>
    <row r="151" spans="1:21" x14ac:dyDescent="0.3">
      <c r="A151">
        <v>150</v>
      </c>
      <c r="B151" t="s">
        <v>170</v>
      </c>
      <c r="C151" s="2">
        <v>45946</v>
      </c>
      <c r="D151" s="2">
        <v>45949</v>
      </c>
      <c r="E151" t="s">
        <v>1521</v>
      </c>
      <c r="F151" t="s">
        <v>1646</v>
      </c>
      <c r="G151" t="s">
        <v>2045</v>
      </c>
      <c r="H151" t="s">
        <v>2314</v>
      </c>
      <c r="I151" t="s">
        <v>2317</v>
      </c>
      <c r="J151" t="s">
        <v>2326</v>
      </c>
      <c r="K151" t="s">
        <v>2326</v>
      </c>
      <c r="L151">
        <v>386100</v>
      </c>
      <c r="M151" t="s">
        <v>2331</v>
      </c>
      <c r="N151" t="s">
        <v>2470</v>
      </c>
      <c r="O151" t="s">
        <v>3053</v>
      </c>
      <c r="P151" t="s">
        <v>3062</v>
      </c>
      <c r="Q151" t="s">
        <v>3203</v>
      </c>
      <c r="R151">
        <v>60.74</v>
      </c>
      <c r="S151">
        <v>2</v>
      </c>
      <c r="T151">
        <v>0</v>
      </c>
      <c r="U151">
        <v>-5.86</v>
      </c>
    </row>
    <row r="152" spans="1:21" x14ac:dyDescent="0.3">
      <c r="A152">
        <v>151</v>
      </c>
      <c r="B152" t="s">
        <v>171</v>
      </c>
      <c r="C152" s="2">
        <v>45462</v>
      </c>
      <c r="D152" s="2">
        <v>45463</v>
      </c>
      <c r="E152" t="s">
        <v>1522</v>
      </c>
      <c r="F152" t="s">
        <v>1647</v>
      </c>
      <c r="G152" t="s">
        <v>1970</v>
      </c>
      <c r="H152" t="s">
        <v>2315</v>
      </c>
      <c r="I152" t="s">
        <v>2317</v>
      </c>
      <c r="J152" t="s">
        <v>2322</v>
      </c>
      <c r="K152" t="s">
        <v>2322</v>
      </c>
      <c r="L152">
        <v>921726</v>
      </c>
      <c r="M152" t="s">
        <v>2331</v>
      </c>
      <c r="N152" t="s">
        <v>2471</v>
      </c>
      <c r="O152" t="s">
        <v>3055</v>
      </c>
      <c r="P152" t="s">
        <v>3067</v>
      </c>
      <c r="Q152" t="s">
        <v>3204</v>
      </c>
      <c r="R152">
        <v>201.91</v>
      </c>
      <c r="S152">
        <v>1</v>
      </c>
      <c r="T152">
        <v>0</v>
      </c>
      <c r="U152">
        <v>17.68</v>
      </c>
    </row>
    <row r="153" spans="1:21" x14ac:dyDescent="0.3">
      <c r="A153">
        <v>152</v>
      </c>
      <c r="B153" t="s">
        <v>172</v>
      </c>
      <c r="C153" s="2">
        <v>45832</v>
      </c>
      <c r="D153" s="2">
        <v>45834</v>
      </c>
      <c r="E153" t="s">
        <v>1523</v>
      </c>
      <c r="F153" t="s">
        <v>1648</v>
      </c>
      <c r="G153" t="s">
        <v>2046</v>
      </c>
      <c r="H153" t="s">
        <v>2314</v>
      </c>
      <c r="I153" t="s">
        <v>2317</v>
      </c>
      <c r="J153" t="s">
        <v>2327</v>
      </c>
      <c r="K153" t="s">
        <v>2327</v>
      </c>
      <c r="L153">
        <v>710224</v>
      </c>
      <c r="M153" t="s">
        <v>2330</v>
      </c>
      <c r="N153" t="s">
        <v>2472</v>
      </c>
      <c r="O153" t="s">
        <v>3055</v>
      </c>
      <c r="P153" t="s">
        <v>3067</v>
      </c>
      <c r="Q153" t="s">
        <v>3205</v>
      </c>
      <c r="R153">
        <v>108.31</v>
      </c>
      <c r="S153">
        <v>6</v>
      </c>
      <c r="T153">
        <v>0.15</v>
      </c>
      <c r="U153">
        <v>-0.84</v>
      </c>
    </row>
    <row r="154" spans="1:21" x14ac:dyDescent="0.3">
      <c r="A154">
        <v>153</v>
      </c>
      <c r="B154" t="s">
        <v>173</v>
      </c>
      <c r="C154" s="2">
        <v>45327</v>
      </c>
      <c r="D154" s="2">
        <v>45332</v>
      </c>
      <c r="E154" t="s">
        <v>1523</v>
      </c>
      <c r="F154" t="s">
        <v>1649</v>
      </c>
      <c r="G154" t="s">
        <v>2047</v>
      </c>
      <c r="H154" t="s">
        <v>2314</v>
      </c>
      <c r="I154" t="s">
        <v>2317</v>
      </c>
      <c r="J154" t="s">
        <v>2322</v>
      </c>
      <c r="K154" t="s">
        <v>2322</v>
      </c>
      <c r="L154">
        <v>907827</v>
      </c>
      <c r="M154" t="s">
        <v>2331</v>
      </c>
      <c r="N154" t="s">
        <v>2473</v>
      </c>
      <c r="O154" t="s">
        <v>3055</v>
      </c>
      <c r="P154" t="s">
        <v>3061</v>
      </c>
      <c r="Q154" t="s">
        <v>3206</v>
      </c>
      <c r="R154">
        <v>364.55</v>
      </c>
      <c r="S154">
        <v>6</v>
      </c>
      <c r="T154">
        <v>0.15</v>
      </c>
      <c r="U154">
        <v>30.5</v>
      </c>
    </row>
    <row r="155" spans="1:21" x14ac:dyDescent="0.3">
      <c r="A155">
        <v>154</v>
      </c>
      <c r="B155" t="s">
        <v>174</v>
      </c>
      <c r="C155" s="2">
        <v>45816</v>
      </c>
      <c r="D155" s="2">
        <v>45818</v>
      </c>
      <c r="E155" t="s">
        <v>1523</v>
      </c>
      <c r="F155" t="s">
        <v>1650</v>
      </c>
      <c r="G155" t="s">
        <v>2006</v>
      </c>
      <c r="H155" t="s">
        <v>2316</v>
      </c>
      <c r="I155" t="s">
        <v>2317</v>
      </c>
      <c r="J155" t="s">
        <v>2325</v>
      </c>
      <c r="K155" t="s">
        <v>2325</v>
      </c>
      <c r="L155">
        <v>248866</v>
      </c>
      <c r="M155" t="s">
        <v>2332</v>
      </c>
      <c r="N155" t="s">
        <v>2474</v>
      </c>
      <c r="O155" t="s">
        <v>3054</v>
      </c>
      <c r="P155" t="s">
        <v>3057</v>
      </c>
      <c r="Q155" t="s">
        <v>3207</v>
      </c>
      <c r="R155">
        <v>93.73</v>
      </c>
      <c r="S155">
        <v>5</v>
      </c>
      <c r="T155">
        <v>0.1</v>
      </c>
      <c r="U155">
        <v>-15.54</v>
      </c>
    </row>
    <row r="156" spans="1:21" x14ac:dyDescent="0.3">
      <c r="A156">
        <v>155</v>
      </c>
      <c r="B156" t="s">
        <v>175</v>
      </c>
      <c r="C156" s="2">
        <v>45451</v>
      </c>
      <c r="D156" s="2">
        <v>45452</v>
      </c>
      <c r="E156" t="s">
        <v>1523</v>
      </c>
      <c r="F156" t="s">
        <v>1651</v>
      </c>
      <c r="G156" t="s">
        <v>2048</v>
      </c>
      <c r="H156" t="s">
        <v>2315</v>
      </c>
      <c r="I156" t="s">
        <v>2317</v>
      </c>
      <c r="J156" t="s">
        <v>2319</v>
      </c>
      <c r="K156" t="s">
        <v>2319</v>
      </c>
      <c r="L156">
        <v>351063</v>
      </c>
      <c r="M156" t="s">
        <v>2329</v>
      </c>
      <c r="N156" t="s">
        <v>2465</v>
      </c>
      <c r="O156" t="s">
        <v>3053</v>
      </c>
      <c r="P156" t="s">
        <v>3062</v>
      </c>
      <c r="Q156" t="s">
        <v>3208</v>
      </c>
      <c r="R156">
        <v>659.94</v>
      </c>
      <c r="S156">
        <v>9</v>
      </c>
      <c r="T156">
        <v>0.1</v>
      </c>
      <c r="U156">
        <v>26.66</v>
      </c>
    </row>
    <row r="157" spans="1:21" x14ac:dyDescent="0.3">
      <c r="A157">
        <v>156</v>
      </c>
      <c r="B157" t="s">
        <v>176</v>
      </c>
      <c r="C157" s="2">
        <v>45990</v>
      </c>
      <c r="D157" s="2">
        <v>45993</v>
      </c>
      <c r="E157" t="s">
        <v>1524</v>
      </c>
      <c r="F157" t="s">
        <v>1590</v>
      </c>
      <c r="G157" t="s">
        <v>1938</v>
      </c>
      <c r="H157" t="s">
        <v>2315</v>
      </c>
      <c r="I157" t="s">
        <v>2317</v>
      </c>
      <c r="J157" t="s">
        <v>2324</v>
      </c>
      <c r="K157" t="s">
        <v>2324</v>
      </c>
      <c r="L157">
        <v>403806</v>
      </c>
      <c r="M157" t="s">
        <v>2330</v>
      </c>
      <c r="N157" t="s">
        <v>2475</v>
      </c>
      <c r="O157" t="s">
        <v>3053</v>
      </c>
      <c r="P157" t="s">
        <v>3056</v>
      </c>
      <c r="Q157" t="s">
        <v>3209</v>
      </c>
      <c r="R157">
        <v>130.72999999999999</v>
      </c>
      <c r="S157">
        <v>3</v>
      </c>
      <c r="T157">
        <v>0.2</v>
      </c>
      <c r="U157">
        <v>-31.61</v>
      </c>
    </row>
    <row r="158" spans="1:21" x14ac:dyDescent="0.3">
      <c r="A158">
        <v>157</v>
      </c>
      <c r="B158" t="s">
        <v>177</v>
      </c>
      <c r="C158" s="2">
        <v>45534</v>
      </c>
      <c r="D158" s="2">
        <v>45536</v>
      </c>
      <c r="E158" t="s">
        <v>1521</v>
      </c>
      <c r="F158" t="s">
        <v>1652</v>
      </c>
      <c r="G158" t="s">
        <v>2049</v>
      </c>
      <c r="H158" t="s">
        <v>2314</v>
      </c>
      <c r="I158" t="s">
        <v>2317</v>
      </c>
      <c r="J158" t="s">
        <v>2327</v>
      </c>
      <c r="K158" t="s">
        <v>2327</v>
      </c>
      <c r="L158">
        <v>714342</v>
      </c>
      <c r="M158" t="s">
        <v>2330</v>
      </c>
      <c r="N158" t="s">
        <v>2476</v>
      </c>
      <c r="O158" t="s">
        <v>3053</v>
      </c>
      <c r="P158" t="s">
        <v>3062</v>
      </c>
      <c r="Q158" t="s">
        <v>3210</v>
      </c>
      <c r="R158">
        <v>770.52</v>
      </c>
      <c r="S158">
        <v>4</v>
      </c>
      <c r="T158">
        <v>0.2</v>
      </c>
      <c r="U158">
        <v>8.74</v>
      </c>
    </row>
    <row r="159" spans="1:21" x14ac:dyDescent="0.3">
      <c r="A159">
        <v>158</v>
      </c>
      <c r="B159" t="s">
        <v>178</v>
      </c>
      <c r="C159" s="2">
        <v>45377</v>
      </c>
      <c r="D159" s="2">
        <v>45379</v>
      </c>
      <c r="E159" t="s">
        <v>1524</v>
      </c>
      <c r="F159" t="s">
        <v>1653</v>
      </c>
      <c r="G159" t="s">
        <v>2029</v>
      </c>
      <c r="H159" t="s">
        <v>2316</v>
      </c>
      <c r="I159" t="s">
        <v>2317</v>
      </c>
      <c r="J159" t="s">
        <v>2323</v>
      </c>
      <c r="K159" t="s">
        <v>2323</v>
      </c>
      <c r="L159">
        <v>230193</v>
      </c>
      <c r="M159" t="s">
        <v>2328</v>
      </c>
      <c r="N159" t="s">
        <v>2477</v>
      </c>
      <c r="O159" t="s">
        <v>3055</v>
      </c>
      <c r="P159" t="s">
        <v>3067</v>
      </c>
      <c r="Q159" t="s">
        <v>3211</v>
      </c>
      <c r="R159">
        <v>348.74</v>
      </c>
      <c r="S159">
        <v>8</v>
      </c>
      <c r="T159">
        <v>0.15</v>
      </c>
      <c r="U159">
        <v>56.49</v>
      </c>
    </row>
    <row r="160" spans="1:21" x14ac:dyDescent="0.3">
      <c r="A160">
        <v>159</v>
      </c>
      <c r="B160" t="s">
        <v>179</v>
      </c>
      <c r="C160" s="2">
        <v>45869</v>
      </c>
      <c r="D160" s="2">
        <v>45872</v>
      </c>
      <c r="E160" t="s">
        <v>1524</v>
      </c>
      <c r="F160" t="s">
        <v>1654</v>
      </c>
      <c r="G160" t="s">
        <v>2050</v>
      </c>
      <c r="H160" t="s">
        <v>2316</v>
      </c>
      <c r="I160" t="s">
        <v>2317</v>
      </c>
      <c r="J160" t="s">
        <v>2325</v>
      </c>
      <c r="K160" t="s">
        <v>2325</v>
      </c>
      <c r="L160">
        <v>278446</v>
      </c>
      <c r="M160" t="s">
        <v>2332</v>
      </c>
      <c r="N160" t="s">
        <v>2478</v>
      </c>
      <c r="O160" t="s">
        <v>3053</v>
      </c>
      <c r="P160" t="s">
        <v>3066</v>
      </c>
      <c r="Q160" t="s">
        <v>3212</v>
      </c>
      <c r="R160">
        <v>507.72</v>
      </c>
      <c r="S160">
        <v>2</v>
      </c>
      <c r="T160">
        <v>0.05</v>
      </c>
      <c r="U160">
        <v>26.64</v>
      </c>
    </row>
    <row r="161" spans="1:21" x14ac:dyDescent="0.3">
      <c r="A161">
        <v>160</v>
      </c>
      <c r="B161" t="s">
        <v>180</v>
      </c>
      <c r="C161" s="2">
        <v>45973</v>
      </c>
      <c r="D161" s="2">
        <v>45977</v>
      </c>
      <c r="E161" t="s">
        <v>1521</v>
      </c>
      <c r="F161" t="s">
        <v>1655</v>
      </c>
      <c r="G161" t="s">
        <v>2051</v>
      </c>
      <c r="H161" t="s">
        <v>2314</v>
      </c>
      <c r="I161" t="s">
        <v>2317</v>
      </c>
      <c r="J161" t="s">
        <v>2323</v>
      </c>
      <c r="K161" t="s">
        <v>2323</v>
      </c>
      <c r="L161">
        <v>555775</v>
      </c>
      <c r="M161" t="s">
        <v>2328</v>
      </c>
      <c r="N161" t="s">
        <v>2479</v>
      </c>
      <c r="O161" t="s">
        <v>3055</v>
      </c>
      <c r="P161" t="s">
        <v>3059</v>
      </c>
      <c r="Q161" t="s">
        <v>3213</v>
      </c>
      <c r="R161">
        <v>795.83</v>
      </c>
      <c r="S161">
        <v>3</v>
      </c>
      <c r="T161">
        <v>0.05</v>
      </c>
      <c r="U161">
        <v>80.540000000000006</v>
      </c>
    </row>
    <row r="162" spans="1:21" x14ac:dyDescent="0.3">
      <c r="A162">
        <v>161</v>
      </c>
      <c r="B162" t="s">
        <v>181</v>
      </c>
      <c r="C162" s="2">
        <v>45848</v>
      </c>
      <c r="D162" s="2">
        <v>45851</v>
      </c>
      <c r="E162" t="s">
        <v>1524</v>
      </c>
      <c r="F162" t="s">
        <v>1656</v>
      </c>
      <c r="G162" t="s">
        <v>2052</v>
      </c>
      <c r="H162" t="s">
        <v>2314</v>
      </c>
      <c r="I162" t="s">
        <v>2317</v>
      </c>
      <c r="J162" t="s">
        <v>2326</v>
      </c>
      <c r="K162" t="s">
        <v>2326</v>
      </c>
      <c r="L162">
        <v>514627</v>
      </c>
      <c r="M162" t="s">
        <v>2331</v>
      </c>
      <c r="N162" t="s">
        <v>2480</v>
      </c>
      <c r="O162" t="s">
        <v>3054</v>
      </c>
      <c r="P162" t="s">
        <v>3064</v>
      </c>
      <c r="Q162" t="s">
        <v>3214</v>
      </c>
      <c r="R162">
        <v>139.63999999999999</v>
      </c>
      <c r="S162">
        <v>2</v>
      </c>
      <c r="T162">
        <v>0.1</v>
      </c>
      <c r="U162">
        <v>26.33</v>
      </c>
    </row>
    <row r="163" spans="1:21" x14ac:dyDescent="0.3">
      <c r="A163">
        <v>162</v>
      </c>
      <c r="B163" t="s">
        <v>182</v>
      </c>
      <c r="C163" s="2">
        <v>45865</v>
      </c>
      <c r="D163" s="2">
        <v>45870</v>
      </c>
      <c r="E163" t="s">
        <v>1522</v>
      </c>
      <c r="F163" t="s">
        <v>1610</v>
      </c>
      <c r="G163" t="s">
        <v>2053</v>
      </c>
      <c r="H163" t="s">
        <v>2315</v>
      </c>
      <c r="I163" t="s">
        <v>2317</v>
      </c>
      <c r="J163" t="s">
        <v>2326</v>
      </c>
      <c r="K163" t="s">
        <v>2326</v>
      </c>
      <c r="L163">
        <v>305827</v>
      </c>
      <c r="M163" t="s">
        <v>2331</v>
      </c>
      <c r="N163" t="s">
        <v>2481</v>
      </c>
      <c r="O163" t="s">
        <v>3053</v>
      </c>
      <c r="P163" t="s">
        <v>3062</v>
      </c>
      <c r="Q163" t="s">
        <v>3215</v>
      </c>
      <c r="R163">
        <v>171.74</v>
      </c>
      <c r="S163">
        <v>9</v>
      </c>
      <c r="T163">
        <v>0.4</v>
      </c>
      <c r="U163">
        <v>-5.23</v>
      </c>
    </row>
    <row r="164" spans="1:21" x14ac:dyDescent="0.3">
      <c r="A164">
        <v>163</v>
      </c>
      <c r="B164" t="s">
        <v>183</v>
      </c>
      <c r="C164" s="2">
        <v>45937</v>
      </c>
      <c r="D164" s="2">
        <v>45939</v>
      </c>
      <c r="E164" t="s">
        <v>1524</v>
      </c>
      <c r="F164" t="s">
        <v>1551</v>
      </c>
      <c r="G164" t="s">
        <v>2054</v>
      </c>
      <c r="H164" t="s">
        <v>2316</v>
      </c>
      <c r="I164" t="s">
        <v>2317</v>
      </c>
      <c r="J164" t="s">
        <v>2322</v>
      </c>
      <c r="K164" t="s">
        <v>2322</v>
      </c>
      <c r="L164">
        <v>966304</v>
      </c>
      <c r="M164" t="s">
        <v>2331</v>
      </c>
      <c r="N164" t="s">
        <v>2401</v>
      </c>
      <c r="O164" t="s">
        <v>3053</v>
      </c>
      <c r="P164" t="s">
        <v>3066</v>
      </c>
      <c r="Q164" t="s">
        <v>3216</v>
      </c>
      <c r="R164">
        <v>154.52000000000001</v>
      </c>
      <c r="S164">
        <v>9</v>
      </c>
      <c r="T164">
        <v>0.05</v>
      </c>
      <c r="U164">
        <v>-6.3</v>
      </c>
    </row>
    <row r="165" spans="1:21" x14ac:dyDescent="0.3">
      <c r="A165">
        <v>164</v>
      </c>
      <c r="B165" t="s">
        <v>184</v>
      </c>
      <c r="C165" s="2">
        <v>45319</v>
      </c>
      <c r="D165" s="2">
        <v>45322</v>
      </c>
      <c r="E165" t="s">
        <v>1523</v>
      </c>
      <c r="F165" t="s">
        <v>1657</v>
      </c>
      <c r="G165" t="s">
        <v>2055</v>
      </c>
      <c r="H165" t="s">
        <v>2314</v>
      </c>
      <c r="I165" t="s">
        <v>2317</v>
      </c>
      <c r="J165" t="s">
        <v>2319</v>
      </c>
      <c r="K165" t="s">
        <v>2319</v>
      </c>
      <c r="L165">
        <v>657373</v>
      </c>
      <c r="M165" t="s">
        <v>2329</v>
      </c>
      <c r="N165" t="s">
        <v>2482</v>
      </c>
      <c r="O165" t="s">
        <v>3053</v>
      </c>
      <c r="P165" t="s">
        <v>3062</v>
      </c>
      <c r="Q165" t="s">
        <v>3217</v>
      </c>
      <c r="R165">
        <v>232.52</v>
      </c>
      <c r="S165">
        <v>5</v>
      </c>
      <c r="T165">
        <v>0.2</v>
      </c>
      <c r="U165">
        <v>39.869999999999997</v>
      </c>
    </row>
    <row r="166" spans="1:21" x14ac:dyDescent="0.3">
      <c r="A166">
        <v>165</v>
      </c>
      <c r="B166" t="s">
        <v>185</v>
      </c>
      <c r="C166" s="2">
        <v>45911</v>
      </c>
      <c r="D166" s="2">
        <v>45917</v>
      </c>
      <c r="E166" t="s">
        <v>1524</v>
      </c>
      <c r="F166" t="s">
        <v>1658</v>
      </c>
      <c r="G166" t="s">
        <v>2056</v>
      </c>
      <c r="H166" t="s">
        <v>2314</v>
      </c>
      <c r="I166" t="s">
        <v>2317</v>
      </c>
      <c r="J166" t="s">
        <v>2327</v>
      </c>
      <c r="K166" t="s">
        <v>2327</v>
      </c>
      <c r="L166">
        <v>445165</v>
      </c>
      <c r="M166" t="s">
        <v>2330</v>
      </c>
      <c r="N166" t="s">
        <v>2483</v>
      </c>
      <c r="O166" t="s">
        <v>3053</v>
      </c>
      <c r="P166" t="s">
        <v>3062</v>
      </c>
      <c r="Q166" t="s">
        <v>3218</v>
      </c>
      <c r="R166">
        <v>187.01</v>
      </c>
      <c r="S166">
        <v>7</v>
      </c>
      <c r="T166">
        <v>0.15</v>
      </c>
      <c r="U166">
        <v>5.09</v>
      </c>
    </row>
    <row r="167" spans="1:21" x14ac:dyDescent="0.3">
      <c r="A167">
        <v>166</v>
      </c>
      <c r="B167" t="s">
        <v>186</v>
      </c>
      <c r="C167" s="2">
        <v>45847</v>
      </c>
      <c r="D167" s="2">
        <v>45849</v>
      </c>
      <c r="E167" t="s">
        <v>1522</v>
      </c>
      <c r="F167" t="s">
        <v>1659</v>
      </c>
      <c r="G167" t="s">
        <v>2057</v>
      </c>
      <c r="H167" t="s">
        <v>2316</v>
      </c>
      <c r="I167" t="s">
        <v>2317</v>
      </c>
      <c r="J167" t="s">
        <v>2318</v>
      </c>
      <c r="K167" t="s">
        <v>2318</v>
      </c>
      <c r="L167">
        <v>605350</v>
      </c>
      <c r="M167" t="s">
        <v>2328</v>
      </c>
      <c r="N167" t="s">
        <v>2484</v>
      </c>
      <c r="O167" t="s">
        <v>3054</v>
      </c>
      <c r="P167" t="s">
        <v>3057</v>
      </c>
      <c r="Q167" t="s">
        <v>3219</v>
      </c>
      <c r="R167">
        <v>103.38</v>
      </c>
      <c r="S167">
        <v>2</v>
      </c>
      <c r="T167">
        <v>0.2</v>
      </c>
      <c r="U167">
        <v>2.95</v>
      </c>
    </row>
    <row r="168" spans="1:21" x14ac:dyDescent="0.3">
      <c r="A168">
        <v>167</v>
      </c>
      <c r="B168" t="s">
        <v>187</v>
      </c>
      <c r="C168" s="2">
        <v>45631</v>
      </c>
      <c r="D168" s="2">
        <v>45635</v>
      </c>
      <c r="E168" t="s">
        <v>1522</v>
      </c>
      <c r="F168" t="s">
        <v>1660</v>
      </c>
      <c r="G168" t="s">
        <v>2058</v>
      </c>
      <c r="H168" t="s">
        <v>2314</v>
      </c>
      <c r="I168" t="s">
        <v>2317</v>
      </c>
      <c r="J168" t="s">
        <v>2325</v>
      </c>
      <c r="K168" t="s">
        <v>2325</v>
      </c>
      <c r="L168">
        <v>784308</v>
      </c>
      <c r="M168" t="s">
        <v>2332</v>
      </c>
      <c r="N168" t="s">
        <v>2485</v>
      </c>
      <c r="O168" t="s">
        <v>3053</v>
      </c>
      <c r="P168" t="s">
        <v>3066</v>
      </c>
      <c r="Q168" t="s">
        <v>3220</v>
      </c>
      <c r="R168">
        <v>115.41</v>
      </c>
      <c r="S168">
        <v>7</v>
      </c>
      <c r="T168">
        <v>0.2</v>
      </c>
      <c r="U168">
        <v>23.35</v>
      </c>
    </row>
    <row r="169" spans="1:21" x14ac:dyDescent="0.3">
      <c r="A169">
        <v>168</v>
      </c>
      <c r="B169" t="s">
        <v>188</v>
      </c>
      <c r="C169" s="2">
        <v>45622</v>
      </c>
      <c r="D169" s="2">
        <v>45624</v>
      </c>
      <c r="E169" t="s">
        <v>1524</v>
      </c>
      <c r="F169" t="s">
        <v>1617</v>
      </c>
      <c r="G169" t="s">
        <v>2059</v>
      </c>
      <c r="H169" t="s">
        <v>2316</v>
      </c>
      <c r="I169" t="s">
        <v>2317</v>
      </c>
      <c r="J169" t="s">
        <v>2325</v>
      </c>
      <c r="K169" t="s">
        <v>2325</v>
      </c>
      <c r="L169">
        <v>701383</v>
      </c>
      <c r="M169" t="s">
        <v>2332</v>
      </c>
      <c r="N169" t="s">
        <v>2486</v>
      </c>
      <c r="O169" t="s">
        <v>3055</v>
      </c>
      <c r="P169" t="s">
        <v>3067</v>
      </c>
      <c r="Q169" t="s">
        <v>3221</v>
      </c>
      <c r="R169">
        <v>232.39</v>
      </c>
      <c r="S169">
        <v>3</v>
      </c>
      <c r="T169">
        <v>0</v>
      </c>
      <c r="U169">
        <v>55.48</v>
      </c>
    </row>
    <row r="170" spans="1:21" x14ac:dyDescent="0.3">
      <c r="A170">
        <v>169</v>
      </c>
      <c r="B170" t="s">
        <v>189</v>
      </c>
      <c r="C170" s="2">
        <v>45931</v>
      </c>
      <c r="D170" s="2">
        <v>45935</v>
      </c>
      <c r="E170" t="s">
        <v>1522</v>
      </c>
      <c r="F170" t="s">
        <v>1661</v>
      </c>
      <c r="G170" t="s">
        <v>2060</v>
      </c>
      <c r="H170" t="s">
        <v>2315</v>
      </c>
      <c r="I170" t="s">
        <v>2317</v>
      </c>
      <c r="J170" t="s">
        <v>2322</v>
      </c>
      <c r="K170" t="s">
        <v>2322</v>
      </c>
      <c r="L170">
        <v>244179</v>
      </c>
      <c r="M170" t="s">
        <v>2331</v>
      </c>
      <c r="N170" t="s">
        <v>2487</v>
      </c>
      <c r="O170" t="s">
        <v>3054</v>
      </c>
      <c r="P170" t="s">
        <v>3064</v>
      </c>
      <c r="Q170" t="s">
        <v>3222</v>
      </c>
      <c r="R170">
        <v>38.44</v>
      </c>
      <c r="S170">
        <v>6</v>
      </c>
      <c r="T170">
        <v>0</v>
      </c>
      <c r="U170">
        <v>35.119999999999997</v>
      </c>
    </row>
    <row r="171" spans="1:21" x14ac:dyDescent="0.3">
      <c r="A171">
        <v>170</v>
      </c>
      <c r="B171" t="s">
        <v>190</v>
      </c>
      <c r="C171" s="2">
        <v>45797</v>
      </c>
      <c r="D171" s="2">
        <v>45800</v>
      </c>
      <c r="E171" t="s">
        <v>1523</v>
      </c>
      <c r="F171" t="s">
        <v>1662</v>
      </c>
      <c r="G171" t="s">
        <v>2061</v>
      </c>
      <c r="H171" t="s">
        <v>2314</v>
      </c>
      <c r="I171" t="s">
        <v>2317</v>
      </c>
      <c r="J171" t="s">
        <v>2326</v>
      </c>
      <c r="K171" t="s">
        <v>2326</v>
      </c>
      <c r="L171">
        <v>373958</v>
      </c>
      <c r="M171" t="s">
        <v>2331</v>
      </c>
      <c r="N171" t="s">
        <v>2488</v>
      </c>
      <c r="O171" t="s">
        <v>3055</v>
      </c>
      <c r="P171" t="s">
        <v>3061</v>
      </c>
      <c r="Q171" t="s">
        <v>3223</v>
      </c>
      <c r="R171">
        <v>643.57000000000005</v>
      </c>
      <c r="S171">
        <v>6</v>
      </c>
      <c r="T171">
        <v>0.1</v>
      </c>
      <c r="U171">
        <v>52.85</v>
      </c>
    </row>
    <row r="172" spans="1:21" x14ac:dyDescent="0.3">
      <c r="A172">
        <v>171</v>
      </c>
      <c r="B172" t="s">
        <v>191</v>
      </c>
      <c r="C172" s="2">
        <v>45639</v>
      </c>
      <c r="D172" s="2">
        <v>45642</v>
      </c>
      <c r="E172" t="s">
        <v>1521</v>
      </c>
      <c r="F172" t="s">
        <v>1615</v>
      </c>
      <c r="G172" t="s">
        <v>2045</v>
      </c>
      <c r="H172" t="s">
        <v>2316</v>
      </c>
      <c r="I172" t="s">
        <v>2317</v>
      </c>
      <c r="J172" t="s">
        <v>2322</v>
      </c>
      <c r="K172" t="s">
        <v>2322</v>
      </c>
      <c r="L172">
        <v>629954</v>
      </c>
      <c r="M172" t="s">
        <v>2331</v>
      </c>
      <c r="N172" t="s">
        <v>2457</v>
      </c>
      <c r="O172" t="s">
        <v>3055</v>
      </c>
      <c r="P172" t="s">
        <v>3060</v>
      </c>
      <c r="Q172" t="s">
        <v>3224</v>
      </c>
      <c r="R172">
        <v>734.46</v>
      </c>
      <c r="S172">
        <v>5</v>
      </c>
      <c r="T172">
        <v>0.15</v>
      </c>
      <c r="U172">
        <v>119.39</v>
      </c>
    </row>
    <row r="173" spans="1:21" x14ac:dyDescent="0.3">
      <c r="A173">
        <v>172</v>
      </c>
      <c r="B173" t="s">
        <v>192</v>
      </c>
      <c r="C173" s="2">
        <v>45764</v>
      </c>
      <c r="D173" s="2">
        <v>45767</v>
      </c>
      <c r="E173" t="s">
        <v>1524</v>
      </c>
      <c r="F173" t="s">
        <v>1663</v>
      </c>
      <c r="G173" t="s">
        <v>2062</v>
      </c>
      <c r="H173" t="s">
        <v>2314</v>
      </c>
      <c r="I173" t="s">
        <v>2317</v>
      </c>
      <c r="J173" t="s">
        <v>2324</v>
      </c>
      <c r="K173" t="s">
        <v>2324</v>
      </c>
      <c r="L173">
        <v>349836</v>
      </c>
      <c r="M173" t="s">
        <v>2330</v>
      </c>
      <c r="N173" t="s">
        <v>2489</v>
      </c>
      <c r="O173" t="s">
        <v>3054</v>
      </c>
      <c r="P173" t="s">
        <v>3064</v>
      </c>
      <c r="Q173" t="s">
        <v>3139</v>
      </c>
      <c r="R173">
        <v>90.17</v>
      </c>
      <c r="S173">
        <v>7</v>
      </c>
      <c r="T173">
        <v>0.2</v>
      </c>
      <c r="U173">
        <v>-25.68</v>
      </c>
    </row>
    <row r="174" spans="1:21" x14ac:dyDescent="0.3">
      <c r="A174">
        <v>173</v>
      </c>
      <c r="B174" t="s">
        <v>193</v>
      </c>
      <c r="C174" s="2">
        <v>45522</v>
      </c>
      <c r="D174" s="2">
        <v>45524</v>
      </c>
      <c r="E174" t="s">
        <v>1522</v>
      </c>
      <c r="F174" t="s">
        <v>1664</v>
      </c>
      <c r="G174" t="s">
        <v>2063</v>
      </c>
      <c r="H174" t="s">
        <v>2315</v>
      </c>
      <c r="I174" t="s">
        <v>2317</v>
      </c>
      <c r="J174" t="s">
        <v>2327</v>
      </c>
      <c r="K174" t="s">
        <v>2327</v>
      </c>
      <c r="L174">
        <v>534044</v>
      </c>
      <c r="M174" t="s">
        <v>2330</v>
      </c>
      <c r="N174" t="s">
        <v>2333</v>
      </c>
      <c r="O174" t="s">
        <v>3054</v>
      </c>
      <c r="P174" t="s">
        <v>3057</v>
      </c>
      <c r="Q174" t="s">
        <v>3225</v>
      </c>
      <c r="R174">
        <v>37.79</v>
      </c>
      <c r="S174">
        <v>4</v>
      </c>
      <c r="T174">
        <v>0.15</v>
      </c>
      <c r="U174">
        <v>-17.440000000000001</v>
      </c>
    </row>
    <row r="175" spans="1:21" x14ac:dyDescent="0.3">
      <c r="A175">
        <v>174</v>
      </c>
      <c r="B175" t="s">
        <v>194</v>
      </c>
      <c r="C175" s="2">
        <v>45481</v>
      </c>
      <c r="D175" s="2">
        <v>45482</v>
      </c>
      <c r="E175" t="s">
        <v>1523</v>
      </c>
      <c r="F175" t="s">
        <v>1600</v>
      </c>
      <c r="G175" t="s">
        <v>2064</v>
      </c>
      <c r="H175" t="s">
        <v>2316</v>
      </c>
      <c r="I175" t="s">
        <v>2317</v>
      </c>
      <c r="J175" t="s">
        <v>2319</v>
      </c>
      <c r="K175" t="s">
        <v>2319</v>
      </c>
      <c r="L175">
        <v>578997</v>
      </c>
      <c r="M175" t="s">
        <v>2329</v>
      </c>
      <c r="N175" t="s">
        <v>2490</v>
      </c>
      <c r="O175" t="s">
        <v>3054</v>
      </c>
      <c r="P175" t="s">
        <v>3064</v>
      </c>
      <c r="Q175" t="s">
        <v>3226</v>
      </c>
      <c r="R175">
        <v>94.46</v>
      </c>
      <c r="S175">
        <v>2</v>
      </c>
      <c r="T175">
        <v>0.15</v>
      </c>
      <c r="U175">
        <v>29.11</v>
      </c>
    </row>
    <row r="176" spans="1:21" x14ac:dyDescent="0.3">
      <c r="A176">
        <v>175</v>
      </c>
      <c r="B176" t="s">
        <v>195</v>
      </c>
      <c r="C176" s="2">
        <v>45516</v>
      </c>
      <c r="D176" s="2">
        <v>45518</v>
      </c>
      <c r="E176" t="s">
        <v>1521</v>
      </c>
      <c r="F176" t="s">
        <v>1665</v>
      </c>
      <c r="G176" t="s">
        <v>2065</v>
      </c>
      <c r="H176" t="s">
        <v>2314</v>
      </c>
      <c r="I176" t="s">
        <v>2317</v>
      </c>
      <c r="J176" t="s">
        <v>2321</v>
      </c>
      <c r="K176" t="s">
        <v>2321</v>
      </c>
      <c r="L176">
        <v>211915</v>
      </c>
      <c r="M176" t="s">
        <v>2329</v>
      </c>
      <c r="N176" t="s">
        <v>2491</v>
      </c>
      <c r="O176" t="s">
        <v>3053</v>
      </c>
      <c r="P176" t="s">
        <v>3062</v>
      </c>
      <c r="Q176" t="s">
        <v>3208</v>
      </c>
      <c r="R176">
        <v>142.1</v>
      </c>
      <c r="S176">
        <v>2</v>
      </c>
      <c r="T176">
        <v>0.15</v>
      </c>
      <c r="U176">
        <v>9.49</v>
      </c>
    </row>
    <row r="177" spans="1:21" x14ac:dyDescent="0.3">
      <c r="A177">
        <v>176</v>
      </c>
      <c r="B177" t="s">
        <v>196</v>
      </c>
      <c r="C177" s="2">
        <v>45676</v>
      </c>
      <c r="D177" s="2">
        <v>45679</v>
      </c>
      <c r="E177" t="s">
        <v>1523</v>
      </c>
      <c r="F177" t="s">
        <v>1666</v>
      </c>
      <c r="G177" t="s">
        <v>2066</v>
      </c>
      <c r="H177" t="s">
        <v>2314</v>
      </c>
      <c r="I177" t="s">
        <v>2317</v>
      </c>
      <c r="J177" t="s">
        <v>2320</v>
      </c>
      <c r="K177" t="s">
        <v>2320</v>
      </c>
      <c r="L177">
        <v>637691</v>
      </c>
      <c r="M177" t="s">
        <v>2330</v>
      </c>
      <c r="N177" t="s">
        <v>2492</v>
      </c>
      <c r="O177" t="s">
        <v>3053</v>
      </c>
      <c r="P177" t="s">
        <v>3065</v>
      </c>
      <c r="Q177" t="s">
        <v>3227</v>
      </c>
      <c r="R177">
        <v>174.72</v>
      </c>
      <c r="S177">
        <v>6</v>
      </c>
      <c r="T177">
        <v>0.15</v>
      </c>
      <c r="U177">
        <v>70.59</v>
      </c>
    </row>
    <row r="178" spans="1:21" x14ac:dyDescent="0.3">
      <c r="A178">
        <v>177</v>
      </c>
      <c r="B178" t="s">
        <v>197</v>
      </c>
      <c r="C178" s="2">
        <v>45668</v>
      </c>
      <c r="D178" s="2">
        <v>45670</v>
      </c>
      <c r="E178" t="s">
        <v>1524</v>
      </c>
      <c r="F178" t="s">
        <v>1655</v>
      </c>
      <c r="G178" t="s">
        <v>2067</v>
      </c>
      <c r="H178" t="s">
        <v>2314</v>
      </c>
      <c r="I178" t="s">
        <v>2317</v>
      </c>
      <c r="J178" t="s">
        <v>2320</v>
      </c>
      <c r="K178" t="s">
        <v>2320</v>
      </c>
      <c r="L178">
        <v>307397</v>
      </c>
      <c r="M178" t="s">
        <v>2330</v>
      </c>
      <c r="N178" t="s">
        <v>2493</v>
      </c>
      <c r="O178" t="s">
        <v>3055</v>
      </c>
      <c r="P178" t="s">
        <v>3067</v>
      </c>
      <c r="Q178" t="s">
        <v>3228</v>
      </c>
      <c r="R178">
        <v>142.81</v>
      </c>
      <c r="S178">
        <v>8</v>
      </c>
      <c r="T178">
        <v>0.15</v>
      </c>
      <c r="U178">
        <v>37.840000000000003</v>
      </c>
    </row>
    <row r="179" spans="1:21" x14ac:dyDescent="0.3">
      <c r="A179">
        <v>178</v>
      </c>
      <c r="B179" t="s">
        <v>198</v>
      </c>
      <c r="C179" s="2">
        <v>45574</v>
      </c>
      <c r="D179" s="2">
        <v>45577</v>
      </c>
      <c r="E179" t="s">
        <v>1523</v>
      </c>
      <c r="F179" t="s">
        <v>1667</v>
      </c>
      <c r="G179" t="s">
        <v>2068</v>
      </c>
      <c r="H179" t="s">
        <v>2316</v>
      </c>
      <c r="I179" t="s">
        <v>2317</v>
      </c>
      <c r="J179" t="s">
        <v>2322</v>
      </c>
      <c r="K179" t="s">
        <v>2322</v>
      </c>
      <c r="L179">
        <v>920217</v>
      </c>
      <c r="M179" t="s">
        <v>2331</v>
      </c>
      <c r="N179" t="s">
        <v>2494</v>
      </c>
      <c r="O179" t="s">
        <v>3055</v>
      </c>
      <c r="P179" t="s">
        <v>3067</v>
      </c>
      <c r="Q179" t="s">
        <v>3229</v>
      </c>
      <c r="R179">
        <v>339.44</v>
      </c>
      <c r="S179">
        <v>2</v>
      </c>
      <c r="T179">
        <v>0.15</v>
      </c>
      <c r="U179">
        <v>38.31</v>
      </c>
    </row>
    <row r="180" spans="1:21" x14ac:dyDescent="0.3">
      <c r="A180">
        <v>179</v>
      </c>
      <c r="B180" t="s">
        <v>199</v>
      </c>
      <c r="C180" s="2">
        <v>45924</v>
      </c>
      <c r="D180" s="2">
        <v>45930</v>
      </c>
      <c r="E180" t="s">
        <v>1524</v>
      </c>
      <c r="F180" t="s">
        <v>1668</v>
      </c>
      <c r="G180" t="s">
        <v>2069</v>
      </c>
      <c r="H180" t="s">
        <v>2314</v>
      </c>
      <c r="I180" t="s">
        <v>2317</v>
      </c>
      <c r="J180" t="s">
        <v>2324</v>
      </c>
      <c r="K180" t="s">
        <v>2324</v>
      </c>
      <c r="L180">
        <v>641797</v>
      </c>
      <c r="M180" t="s">
        <v>2330</v>
      </c>
      <c r="N180" t="s">
        <v>2495</v>
      </c>
      <c r="O180" t="s">
        <v>3054</v>
      </c>
      <c r="P180" t="s">
        <v>3063</v>
      </c>
      <c r="Q180" t="s">
        <v>3130</v>
      </c>
      <c r="R180">
        <v>108.48</v>
      </c>
      <c r="S180">
        <v>3</v>
      </c>
      <c r="T180">
        <v>0.2</v>
      </c>
      <c r="U180">
        <v>40.51</v>
      </c>
    </row>
    <row r="181" spans="1:21" x14ac:dyDescent="0.3">
      <c r="A181">
        <v>180</v>
      </c>
      <c r="B181" t="s">
        <v>200</v>
      </c>
      <c r="C181" s="2">
        <v>45919</v>
      </c>
      <c r="D181" s="2">
        <v>45921</v>
      </c>
      <c r="E181" t="s">
        <v>1524</v>
      </c>
      <c r="F181" t="s">
        <v>1669</v>
      </c>
      <c r="G181" t="s">
        <v>2070</v>
      </c>
      <c r="H181" t="s">
        <v>2316</v>
      </c>
      <c r="I181" t="s">
        <v>2317</v>
      </c>
      <c r="J181" t="s">
        <v>2327</v>
      </c>
      <c r="K181" t="s">
        <v>2327</v>
      </c>
      <c r="L181">
        <v>467658</v>
      </c>
      <c r="M181" t="s">
        <v>2330</v>
      </c>
      <c r="N181" t="s">
        <v>2473</v>
      </c>
      <c r="O181" t="s">
        <v>3053</v>
      </c>
      <c r="P181" t="s">
        <v>3062</v>
      </c>
      <c r="Q181" t="s">
        <v>3215</v>
      </c>
      <c r="R181">
        <v>301.98</v>
      </c>
      <c r="S181">
        <v>4</v>
      </c>
      <c r="T181">
        <v>0.2</v>
      </c>
      <c r="U181">
        <v>26.8</v>
      </c>
    </row>
    <row r="182" spans="1:21" x14ac:dyDescent="0.3">
      <c r="A182">
        <v>181</v>
      </c>
      <c r="B182" t="s">
        <v>201</v>
      </c>
      <c r="C182" s="2">
        <v>45550</v>
      </c>
      <c r="D182" s="2">
        <v>45553</v>
      </c>
      <c r="E182" t="s">
        <v>1521</v>
      </c>
      <c r="F182" t="s">
        <v>1572</v>
      </c>
      <c r="G182" t="s">
        <v>2071</v>
      </c>
      <c r="H182" t="s">
        <v>2315</v>
      </c>
      <c r="I182" t="s">
        <v>2317</v>
      </c>
      <c r="J182" t="s">
        <v>2318</v>
      </c>
      <c r="K182" t="s">
        <v>2318</v>
      </c>
      <c r="L182">
        <v>656107</v>
      </c>
      <c r="M182" t="s">
        <v>2328</v>
      </c>
      <c r="N182" t="s">
        <v>2496</v>
      </c>
      <c r="O182" t="s">
        <v>3054</v>
      </c>
      <c r="P182" t="s">
        <v>3058</v>
      </c>
      <c r="Q182" t="s">
        <v>3230</v>
      </c>
      <c r="R182">
        <v>174.92</v>
      </c>
      <c r="S182">
        <v>3</v>
      </c>
      <c r="T182">
        <v>0.3</v>
      </c>
      <c r="U182">
        <v>11.2</v>
      </c>
    </row>
    <row r="183" spans="1:21" x14ac:dyDescent="0.3">
      <c r="A183">
        <v>182</v>
      </c>
      <c r="B183" t="s">
        <v>202</v>
      </c>
      <c r="C183" s="2">
        <v>45650</v>
      </c>
      <c r="D183" s="2">
        <v>45654</v>
      </c>
      <c r="E183" t="s">
        <v>1524</v>
      </c>
      <c r="F183" t="s">
        <v>1670</v>
      </c>
      <c r="G183" t="s">
        <v>2037</v>
      </c>
      <c r="H183" t="s">
        <v>2316</v>
      </c>
      <c r="I183" t="s">
        <v>2317</v>
      </c>
      <c r="J183" t="s">
        <v>2320</v>
      </c>
      <c r="K183" t="s">
        <v>2320</v>
      </c>
      <c r="L183">
        <v>130461</v>
      </c>
      <c r="M183" t="s">
        <v>2330</v>
      </c>
      <c r="N183" t="s">
        <v>2497</v>
      </c>
      <c r="O183" t="s">
        <v>3054</v>
      </c>
      <c r="P183" t="s">
        <v>3057</v>
      </c>
      <c r="Q183" t="s">
        <v>3231</v>
      </c>
      <c r="R183">
        <v>157.16999999999999</v>
      </c>
      <c r="S183">
        <v>6</v>
      </c>
      <c r="T183">
        <v>0.2</v>
      </c>
      <c r="U183">
        <v>24.26</v>
      </c>
    </row>
    <row r="184" spans="1:21" x14ac:dyDescent="0.3">
      <c r="A184">
        <v>183</v>
      </c>
      <c r="B184" t="s">
        <v>203</v>
      </c>
      <c r="C184" s="2">
        <v>46001</v>
      </c>
      <c r="D184" s="2">
        <v>46007</v>
      </c>
      <c r="E184" t="s">
        <v>1524</v>
      </c>
      <c r="F184" t="s">
        <v>1671</v>
      </c>
      <c r="G184" t="s">
        <v>1952</v>
      </c>
      <c r="H184" t="s">
        <v>2315</v>
      </c>
      <c r="I184" t="s">
        <v>2317</v>
      </c>
      <c r="J184" t="s">
        <v>2327</v>
      </c>
      <c r="K184" t="s">
        <v>2327</v>
      </c>
      <c r="L184">
        <v>143162</v>
      </c>
      <c r="M184" t="s">
        <v>2330</v>
      </c>
      <c r="N184" t="s">
        <v>2498</v>
      </c>
      <c r="O184" t="s">
        <v>3055</v>
      </c>
      <c r="P184" t="s">
        <v>3060</v>
      </c>
      <c r="Q184" t="s">
        <v>3073</v>
      </c>
      <c r="R184">
        <v>462.6</v>
      </c>
      <c r="S184">
        <v>5</v>
      </c>
      <c r="T184">
        <v>0.4</v>
      </c>
      <c r="U184">
        <v>-45.67</v>
      </c>
    </row>
    <row r="185" spans="1:21" x14ac:dyDescent="0.3">
      <c r="A185">
        <v>184</v>
      </c>
      <c r="B185" t="s">
        <v>204</v>
      </c>
      <c r="C185" s="2">
        <v>45747</v>
      </c>
      <c r="D185" s="2">
        <v>45749</v>
      </c>
      <c r="E185" t="s">
        <v>1524</v>
      </c>
      <c r="F185" t="s">
        <v>1672</v>
      </c>
      <c r="G185" t="s">
        <v>2072</v>
      </c>
      <c r="H185" t="s">
        <v>2315</v>
      </c>
      <c r="I185" t="s">
        <v>2317</v>
      </c>
      <c r="J185" t="s">
        <v>2319</v>
      </c>
      <c r="K185" t="s">
        <v>2319</v>
      </c>
      <c r="L185">
        <v>275405</v>
      </c>
      <c r="M185" t="s">
        <v>2329</v>
      </c>
      <c r="N185" t="s">
        <v>2499</v>
      </c>
      <c r="O185" t="s">
        <v>3053</v>
      </c>
      <c r="P185" t="s">
        <v>3056</v>
      </c>
      <c r="Q185" t="s">
        <v>3232</v>
      </c>
      <c r="R185">
        <v>269.26</v>
      </c>
      <c r="S185">
        <v>6</v>
      </c>
      <c r="T185">
        <v>0.05</v>
      </c>
      <c r="U185">
        <v>-17.25</v>
      </c>
    </row>
    <row r="186" spans="1:21" x14ac:dyDescent="0.3">
      <c r="A186">
        <v>185</v>
      </c>
      <c r="B186" t="s">
        <v>205</v>
      </c>
      <c r="C186" s="2">
        <v>45702</v>
      </c>
      <c r="D186" s="2">
        <v>45704</v>
      </c>
      <c r="E186" t="s">
        <v>1523</v>
      </c>
      <c r="F186" t="s">
        <v>1673</v>
      </c>
      <c r="G186" t="s">
        <v>1951</v>
      </c>
      <c r="H186" t="s">
        <v>2316</v>
      </c>
      <c r="I186" t="s">
        <v>2317</v>
      </c>
      <c r="J186" t="s">
        <v>2323</v>
      </c>
      <c r="K186" t="s">
        <v>2323</v>
      </c>
      <c r="L186">
        <v>605173</v>
      </c>
      <c r="M186" t="s">
        <v>2328</v>
      </c>
      <c r="N186" t="s">
        <v>2500</v>
      </c>
      <c r="O186" t="s">
        <v>3054</v>
      </c>
      <c r="P186" t="s">
        <v>3063</v>
      </c>
      <c r="Q186" t="s">
        <v>3233</v>
      </c>
      <c r="R186">
        <v>91.13</v>
      </c>
      <c r="S186">
        <v>9</v>
      </c>
      <c r="T186">
        <v>0.15</v>
      </c>
      <c r="U186">
        <v>0.91</v>
      </c>
    </row>
    <row r="187" spans="1:21" x14ac:dyDescent="0.3">
      <c r="A187">
        <v>186</v>
      </c>
      <c r="B187" t="s">
        <v>206</v>
      </c>
      <c r="C187" s="2">
        <v>45940</v>
      </c>
      <c r="D187" s="2">
        <v>45942</v>
      </c>
      <c r="E187" t="s">
        <v>1522</v>
      </c>
      <c r="F187" t="s">
        <v>1674</v>
      </c>
      <c r="G187" t="s">
        <v>2073</v>
      </c>
      <c r="H187" t="s">
        <v>2316</v>
      </c>
      <c r="I187" t="s">
        <v>2317</v>
      </c>
      <c r="J187" t="s">
        <v>2324</v>
      </c>
      <c r="K187" t="s">
        <v>2324</v>
      </c>
      <c r="L187">
        <v>766110</v>
      </c>
      <c r="M187" t="s">
        <v>2330</v>
      </c>
      <c r="N187" t="s">
        <v>2501</v>
      </c>
      <c r="O187" t="s">
        <v>3055</v>
      </c>
      <c r="P187" t="s">
        <v>3060</v>
      </c>
      <c r="Q187" t="s">
        <v>3234</v>
      </c>
      <c r="R187">
        <v>366.83</v>
      </c>
      <c r="S187">
        <v>8</v>
      </c>
      <c r="T187">
        <v>0.05</v>
      </c>
      <c r="U187">
        <v>21.97</v>
      </c>
    </row>
    <row r="188" spans="1:21" x14ac:dyDescent="0.3">
      <c r="A188">
        <v>187</v>
      </c>
      <c r="B188" t="s">
        <v>207</v>
      </c>
      <c r="C188" s="2">
        <v>45609</v>
      </c>
      <c r="D188" s="2">
        <v>45613</v>
      </c>
      <c r="E188" t="s">
        <v>1521</v>
      </c>
      <c r="F188" t="s">
        <v>1675</v>
      </c>
      <c r="G188" t="s">
        <v>2074</v>
      </c>
      <c r="H188" t="s">
        <v>2316</v>
      </c>
      <c r="I188" t="s">
        <v>2317</v>
      </c>
      <c r="J188" t="s">
        <v>2326</v>
      </c>
      <c r="K188" t="s">
        <v>2326</v>
      </c>
      <c r="L188">
        <v>673722</v>
      </c>
      <c r="M188" t="s">
        <v>2331</v>
      </c>
      <c r="N188" t="s">
        <v>2502</v>
      </c>
      <c r="O188" t="s">
        <v>3054</v>
      </c>
      <c r="P188" t="s">
        <v>3057</v>
      </c>
      <c r="Q188" t="s">
        <v>3235</v>
      </c>
      <c r="R188">
        <v>126.61</v>
      </c>
      <c r="S188">
        <v>3</v>
      </c>
      <c r="T188">
        <v>0.2</v>
      </c>
      <c r="U188">
        <v>-3.64</v>
      </c>
    </row>
    <row r="189" spans="1:21" x14ac:dyDescent="0.3">
      <c r="A189">
        <v>188</v>
      </c>
      <c r="B189" t="s">
        <v>208</v>
      </c>
      <c r="C189" s="2">
        <v>45968</v>
      </c>
      <c r="D189" s="2">
        <v>45971</v>
      </c>
      <c r="E189" t="s">
        <v>1522</v>
      </c>
      <c r="F189" t="s">
        <v>1635</v>
      </c>
      <c r="G189" t="s">
        <v>1936</v>
      </c>
      <c r="H189" t="s">
        <v>2314</v>
      </c>
      <c r="I189" t="s">
        <v>2317</v>
      </c>
      <c r="J189" t="s">
        <v>2327</v>
      </c>
      <c r="K189" t="s">
        <v>2327</v>
      </c>
      <c r="L189">
        <v>982693</v>
      </c>
      <c r="M189" t="s">
        <v>2330</v>
      </c>
      <c r="N189" t="s">
        <v>2503</v>
      </c>
      <c r="O189" t="s">
        <v>3053</v>
      </c>
      <c r="P189" t="s">
        <v>3056</v>
      </c>
      <c r="Q189" t="s">
        <v>3236</v>
      </c>
      <c r="R189">
        <v>330.84</v>
      </c>
      <c r="S189">
        <v>9</v>
      </c>
      <c r="T189">
        <v>0</v>
      </c>
      <c r="U189">
        <v>70.36</v>
      </c>
    </row>
    <row r="190" spans="1:21" x14ac:dyDescent="0.3">
      <c r="A190">
        <v>189</v>
      </c>
      <c r="B190" t="s">
        <v>209</v>
      </c>
      <c r="C190" s="2">
        <v>45516</v>
      </c>
      <c r="D190" s="2">
        <v>45517</v>
      </c>
      <c r="E190" t="s">
        <v>1522</v>
      </c>
      <c r="F190" t="s">
        <v>1669</v>
      </c>
      <c r="G190" t="s">
        <v>2075</v>
      </c>
      <c r="H190" t="s">
        <v>2316</v>
      </c>
      <c r="I190" t="s">
        <v>2317</v>
      </c>
      <c r="J190" t="s">
        <v>2319</v>
      </c>
      <c r="K190" t="s">
        <v>2319</v>
      </c>
      <c r="L190">
        <v>636512</v>
      </c>
      <c r="M190" t="s">
        <v>2329</v>
      </c>
      <c r="N190" t="s">
        <v>2504</v>
      </c>
      <c r="O190" t="s">
        <v>3055</v>
      </c>
      <c r="P190" t="s">
        <v>3059</v>
      </c>
      <c r="Q190" t="s">
        <v>3237</v>
      </c>
      <c r="R190">
        <v>554.24</v>
      </c>
      <c r="S190">
        <v>5</v>
      </c>
      <c r="T190">
        <v>0.2</v>
      </c>
      <c r="U190">
        <v>52.19</v>
      </c>
    </row>
    <row r="191" spans="1:21" x14ac:dyDescent="0.3">
      <c r="A191">
        <v>190</v>
      </c>
      <c r="B191" t="s">
        <v>210</v>
      </c>
      <c r="C191" s="2">
        <v>45525</v>
      </c>
      <c r="D191" s="2">
        <v>45528</v>
      </c>
      <c r="E191" t="s">
        <v>1522</v>
      </c>
      <c r="F191" t="s">
        <v>1676</v>
      </c>
      <c r="G191" t="s">
        <v>2075</v>
      </c>
      <c r="H191" t="s">
        <v>2314</v>
      </c>
      <c r="I191" t="s">
        <v>2317</v>
      </c>
      <c r="J191" t="s">
        <v>2318</v>
      </c>
      <c r="K191" t="s">
        <v>2318</v>
      </c>
      <c r="L191">
        <v>105577</v>
      </c>
      <c r="M191" t="s">
        <v>2328</v>
      </c>
      <c r="N191" t="s">
        <v>2505</v>
      </c>
      <c r="O191" t="s">
        <v>3053</v>
      </c>
      <c r="P191" t="s">
        <v>3065</v>
      </c>
      <c r="Q191" t="s">
        <v>3159</v>
      </c>
      <c r="R191">
        <v>336.98</v>
      </c>
      <c r="S191">
        <v>4</v>
      </c>
      <c r="T191">
        <v>0.05</v>
      </c>
      <c r="U191">
        <v>45.06</v>
      </c>
    </row>
    <row r="192" spans="1:21" x14ac:dyDescent="0.3">
      <c r="A192">
        <v>191</v>
      </c>
      <c r="B192" t="s">
        <v>211</v>
      </c>
      <c r="C192" s="2">
        <v>45975</v>
      </c>
      <c r="D192" s="2">
        <v>45979</v>
      </c>
      <c r="E192" t="s">
        <v>1524</v>
      </c>
      <c r="F192" t="s">
        <v>1677</v>
      </c>
      <c r="G192" t="s">
        <v>2012</v>
      </c>
      <c r="H192" t="s">
        <v>2315</v>
      </c>
      <c r="I192" t="s">
        <v>2317</v>
      </c>
      <c r="J192" t="s">
        <v>2321</v>
      </c>
      <c r="K192" t="s">
        <v>2321</v>
      </c>
      <c r="L192">
        <v>685842</v>
      </c>
      <c r="M192" t="s">
        <v>2329</v>
      </c>
      <c r="N192" t="s">
        <v>2506</v>
      </c>
      <c r="O192" t="s">
        <v>3054</v>
      </c>
      <c r="P192" t="s">
        <v>3063</v>
      </c>
      <c r="Q192" t="s">
        <v>3238</v>
      </c>
      <c r="R192">
        <v>35.81</v>
      </c>
      <c r="S192">
        <v>4</v>
      </c>
      <c r="T192">
        <v>0.05</v>
      </c>
      <c r="U192">
        <v>22.35</v>
      </c>
    </row>
    <row r="193" spans="1:21" x14ac:dyDescent="0.3">
      <c r="A193">
        <v>192</v>
      </c>
      <c r="B193" t="s">
        <v>212</v>
      </c>
      <c r="C193" s="2">
        <v>45955</v>
      </c>
      <c r="D193" s="2">
        <v>45957</v>
      </c>
      <c r="E193" t="s">
        <v>1523</v>
      </c>
      <c r="F193" t="s">
        <v>1665</v>
      </c>
      <c r="G193" t="s">
        <v>2076</v>
      </c>
      <c r="H193" t="s">
        <v>2316</v>
      </c>
      <c r="I193" t="s">
        <v>2317</v>
      </c>
      <c r="J193" t="s">
        <v>2326</v>
      </c>
      <c r="K193" t="s">
        <v>2326</v>
      </c>
      <c r="L193">
        <v>777758</v>
      </c>
      <c r="M193" t="s">
        <v>2331</v>
      </c>
      <c r="N193" t="s">
        <v>2507</v>
      </c>
      <c r="O193" t="s">
        <v>3055</v>
      </c>
      <c r="P193" t="s">
        <v>3060</v>
      </c>
      <c r="Q193" t="s">
        <v>3239</v>
      </c>
      <c r="R193">
        <v>118.57</v>
      </c>
      <c r="S193">
        <v>3</v>
      </c>
      <c r="T193">
        <v>0.3</v>
      </c>
      <c r="U193">
        <v>-7.88</v>
      </c>
    </row>
    <row r="194" spans="1:21" x14ac:dyDescent="0.3">
      <c r="A194">
        <v>193</v>
      </c>
      <c r="B194" t="s">
        <v>213</v>
      </c>
      <c r="C194" s="2">
        <v>45665</v>
      </c>
      <c r="D194" s="2">
        <v>45667</v>
      </c>
      <c r="E194" t="s">
        <v>1523</v>
      </c>
      <c r="F194" t="s">
        <v>1678</v>
      </c>
      <c r="G194" t="s">
        <v>2077</v>
      </c>
      <c r="H194" t="s">
        <v>2315</v>
      </c>
      <c r="I194" t="s">
        <v>2317</v>
      </c>
      <c r="J194" t="s">
        <v>2321</v>
      </c>
      <c r="K194" t="s">
        <v>2321</v>
      </c>
      <c r="L194">
        <v>396952</v>
      </c>
      <c r="M194" t="s">
        <v>2329</v>
      </c>
      <c r="N194" t="s">
        <v>2397</v>
      </c>
      <c r="O194" t="s">
        <v>3054</v>
      </c>
      <c r="P194" t="s">
        <v>3063</v>
      </c>
      <c r="Q194" t="s">
        <v>3240</v>
      </c>
      <c r="R194">
        <v>122.68</v>
      </c>
      <c r="S194">
        <v>4</v>
      </c>
      <c r="T194">
        <v>0.2</v>
      </c>
      <c r="U194">
        <v>6.85</v>
      </c>
    </row>
    <row r="195" spans="1:21" x14ac:dyDescent="0.3">
      <c r="A195">
        <v>194</v>
      </c>
      <c r="B195" t="s">
        <v>214</v>
      </c>
      <c r="C195" s="2">
        <v>45963</v>
      </c>
      <c r="D195" s="2">
        <v>45966</v>
      </c>
      <c r="E195" t="s">
        <v>1523</v>
      </c>
      <c r="F195" t="s">
        <v>1557</v>
      </c>
      <c r="G195" t="s">
        <v>2078</v>
      </c>
      <c r="H195" t="s">
        <v>2316</v>
      </c>
      <c r="I195" t="s">
        <v>2317</v>
      </c>
      <c r="J195" t="s">
        <v>2318</v>
      </c>
      <c r="K195" t="s">
        <v>2318</v>
      </c>
      <c r="L195">
        <v>697457</v>
      </c>
      <c r="M195" t="s">
        <v>2328</v>
      </c>
      <c r="N195" t="s">
        <v>2508</v>
      </c>
      <c r="O195" t="s">
        <v>3055</v>
      </c>
      <c r="P195" t="s">
        <v>3067</v>
      </c>
      <c r="Q195" t="s">
        <v>3241</v>
      </c>
      <c r="R195">
        <v>266.83</v>
      </c>
      <c r="S195">
        <v>3</v>
      </c>
      <c r="T195">
        <v>0.05</v>
      </c>
      <c r="U195">
        <v>43.96</v>
      </c>
    </row>
    <row r="196" spans="1:21" x14ac:dyDescent="0.3">
      <c r="A196">
        <v>195</v>
      </c>
      <c r="B196" t="s">
        <v>215</v>
      </c>
      <c r="C196" s="2">
        <v>45899</v>
      </c>
      <c r="D196" s="2">
        <v>45902</v>
      </c>
      <c r="E196" t="s">
        <v>1524</v>
      </c>
      <c r="F196" t="s">
        <v>1547</v>
      </c>
      <c r="G196" t="s">
        <v>2079</v>
      </c>
      <c r="H196" t="s">
        <v>2315</v>
      </c>
      <c r="I196" t="s">
        <v>2317</v>
      </c>
      <c r="J196" t="s">
        <v>2319</v>
      </c>
      <c r="K196" t="s">
        <v>2319</v>
      </c>
      <c r="L196">
        <v>101620</v>
      </c>
      <c r="M196" t="s">
        <v>2329</v>
      </c>
      <c r="N196" t="s">
        <v>2359</v>
      </c>
      <c r="O196" t="s">
        <v>3054</v>
      </c>
      <c r="P196" t="s">
        <v>3057</v>
      </c>
      <c r="Q196" t="s">
        <v>3242</v>
      </c>
      <c r="R196">
        <v>288.39999999999998</v>
      </c>
      <c r="S196">
        <v>2</v>
      </c>
      <c r="T196">
        <v>0.2</v>
      </c>
      <c r="U196">
        <v>30.57</v>
      </c>
    </row>
    <row r="197" spans="1:21" x14ac:dyDescent="0.3">
      <c r="A197">
        <v>196</v>
      </c>
      <c r="B197" t="s">
        <v>216</v>
      </c>
      <c r="C197" s="2">
        <v>45763</v>
      </c>
      <c r="D197" s="2">
        <v>45769</v>
      </c>
      <c r="E197" t="s">
        <v>1524</v>
      </c>
      <c r="F197" t="s">
        <v>1679</v>
      </c>
      <c r="G197" t="s">
        <v>2076</v>
      </c>
      <c r="H197" t="s">
        <v>2314</v>
      </c>
      <c r="I197" t="s">
        <v>2317</v>
      </c>
      <c r="J197" t="s">
        <v>2320</v>
      </c>
      <c r="K197" t="s">
        <v>2320</v>
      </c>
      <c r="L197">
        <v>880498</v>
      </c>
      <c r="M197" t="s">
        <v>2330</v>
      </c>
      <c r="N197" t="s">
        <v>2509</v>
      </c>
      <c r="O197" t="s">
        <v>3054</v>
      </c>
      <c r="P197" t="s">
        <v>3063</v>
      </c>
      <c r="Q197" t="s">
        <v>3243</v>
      </c>
      <c r="R197">
        <v>110.78</v>
      </c>
      <c r="S197">
        <v>3</v>
      </c>
      <c r="T197">
        <v>0.2</v>
      </c>
      <c r="U197">
        <v>-14.21</v>
      </c>
    </row>
    <row r="198" spans="1:21" x14ac:dyDescent="0.3">
      <c r="A198">
        <v>197</v>
      </c>
      <c r="B198" t="s">
        <v>217</v>
      </c>
      <c r="C198" s="2">
        <v>45524</v>
      </c>
      <c r="D198" s="2">
        <v>45526</v>
      </c>
      <c r="E198" t="s">
        <v>1522</v>
      </c>
      <c r="F198" t="s">
        <v>1680</v>
      </c>
      <c r="G198" t="s">
        <v>2080</v>
      </c>
      <c r="H198" t="s">
        <v>2315</v>
      </c>
      <c r="I198" t="s">
        <v>2317</v>
      </c>
      <c r="J198" t="s">
        <v>2321</v>
      </c>
      <c r="K198" t="s">
        <v>2321</v>
      </c>
      <c r="L198">
        <v>389962</v>
      </c>
      <c r="M198" t="s">
        <v>2329</v>
      </c>
      <c r="N198" t="s">
        <v>2510</v>
      </c>
      <c r="O198" t="s">
        <v>3053</v>
      </c>
      <c r="P198" t="s">
        <v>3066</v>
      </c>
      <c r="Q198" t="s">
        <v>3244</v>
      </c>
      <c r="R198">
        <v>111.89</v>
      </c>
      <c r="S198">
        <v>4</v>
      </c>
      <c r="T198">
        <v>0.15</v>
      </c>
      <c r="U198">
        <v>51.71</v>
      </c>
    </row>
    <row r="199" spans="1:21" x14ac:dyDescent="0.3">
      <c r="A199">
        <v>198</v>
      </c>
      <c r="B199" t="s">
        <v>218</v>
      </c>
      <c r="C199" s="2">
        <v>45983</v>
      </c>
      <c r="D199" s="2">
        <v>45985</v>
      </c>
      <c r="E199" t="s">
        <v>1522</v>
      </c>
      <c r="F199" t="s">
        <v>1591</v>
      </c>
      <c r="G199" t="s">
        <v>2043</v>
      </c>
      <c r="H199" t="s">
        <v>2315</v>
      </c>
      <c r="I199" t="s">
        <v>2317</v>
      </c>
      <c r="J199" t="s">
        <v>2326</v>
      </c>
      <c r="K199" t="s">
        <v>2326</v>
      </c>
      <c r="L199">
        <v>776760</v>
      </c>
      <c r="M199" t="s">
        <v>2331</v>
      </c>
      <c r="N199" t="s">
        <v>2511</v>
      </c>
      <c r="O199" t="s">
        <v>3053</v>
      </c>
      <c r="P199" t="s">
        <v>3065</v>
      </c>
      <c r="Q199" t="s">
        <v>3245</v>
      </c>
      <c r="R199">
        <v>161.13999999999999</v>
      </c>
      <c r="S199">
        <v>9</v>
      </c>
      <c r="T199">
        <v>0.3</v>
      </c>
      <c r="U199">
        <v>48.47</v>
      </c>
    </row>
    <row r="200" spans="1:21" x14ac:dyDescent="0.3">
      <c r="A200">
        <v>199</v>
      </c>
      <c r="B200" t="s">
        <v>219</v>
      </c>
      <c r="C200" s="2">
        <v>45404</v>
      </c>
      <c r="D200" s="2">
        <v>45406</v>
      </c>
      <c r="E200" t="s">
        <v>1521</v>
      </c>
      <c r="F200" t="s">
        <v>1681</v>
      </c>
      <c r="G200" t="s">
        <v>2043</v>
      </c>
      <c r="H200" t="s">
        <v>2315</v>
      </c>
      <c r="I200" t="s">
        <v>2317</v>
      </c>
      <c r="J200" t="s">
        <v>2322</v>
      </c>
      <c r="K200" t="s">
        <v>2322</v>
      </c>
      <c r="L200">
        <v>670217</v>
      </c>
      <c r="M200" t="s">
        <v>2331</v>
      </c>
      <c r="N200" t="s">
        <v>2512</v>
      </c>
      <c r="O200" t="s">
        <v>3054</v>
      </c>
      <c r="P200" t="s">
        <v>3063</v>
      </c>
      <c r="Q200" t="s">
        <v>3246</v>
      </c>
      <c r="R200">
        <v>41.61</v>
      </c>
      <c r="S200">
        <v>4</v>
      </c>
      <c r="T200">
        <v>0.2</v>
      </c>
      <c r="U200">
        <v>11.92</v>
      </c>
    </row>
    <row r="201" spans="1:21" x14ac:dyDescent="0.3">
      <c r="A201">
        <v>200</v>
      </c>
      <c r="B201" t="s">
        <v>220</v>
      </c>
      <c r="C201" s="2">
        <v>45788</v>
      </c>
      <c r="D201" s="2">
        <v>45790</v>
      </c>
      <c r="E201" t="s">
        <v>1523</v>
      </c>
      <c r="F201" t="s">
        <v>1682</v>
      </c>
      <c r="G201" t="s">
        <v>1979</v>
      </c>
      <c r="H201" t="s">
        <v>2316</v>
      </c>
      <c r="I201" t="s">
        <v>2317</v>
      </c>
      <c r="J201" t="s">
        <v>2325</v>
      </c>
      <c r="K201" t="s">
        <v>2325</v>
      </c>
      <c r="L201">
        <v>115733</v>
      </c>
      <c r="M201" t="s">
        <v>2332</v>
      </c>
      <c r="N201" t="s">
        <v>2513</v>
      </c>
      <c r="O201" t="s">
        <v>3053</v>
      </c>
      <c r="P201" t="s">
        <v>3056</v>
      </c>
      <c r="Q201" t="s">
        <v>3247</v>
      </c>
      <c r="R201">
        <v>199.19</v>
      </c>
      <c r="S201">
        <v>2</v>
      </c>
      <c r="T201">
        <v>0.2</v>
      </c>
      <c r="U201">
        <v>-18.739999999999998</v>
      </c>
    </row>
    <row r="202" spans="1:21" x14ac:dyDescent="0.3">
      <c r="A202">
        <v>201</v>
      </c>
      <c r="B202" t="s">
        <v>221</v>
      </c>
      <c r="C202" s="2">
        <v>45733</v>
      </c>
      <c r="D202" s="2">
        <v>45735</v>
      </c>
      <c r="E202" t="s">
        <v>1522</v>
      </c>
      <c r="F202" t="s">
        <v>1683</v>
      </c>
      <c r="G202" t="s">
        <v>1970</v>
      </c>
      <c r="H202" t="s">
        <v>2316</v>
      </c>
      <c r="I202" t="s">
        <v>2317</v>
      </c>
      <c r="J202" t="s">
        <v>2327</v>
      </c>
      <c r="K202" t="s">
        <v>2327</v>
      </c>
      <c r="L202">
        <v>177597</v>
      </c>
      <c r="M202" t="s">
        <v>2330</v>
      </c>
      <c r="N202" t="s">
        <v>2514</v>
      </c>
      <c r="O202" t="s">
        <v>3054</v>
      </c>
      <c r="P202" t="s">
        <v>3057</v>
      </c>
      <c r="Q202" t="s">
        <v>3248</v>
      </c>
      <c r="R202">
        <v>83.92</v>
      </c>
      <c r="S202">
        <v>9</v>
      </c>
      <c r="T202">
        <v>0.15</v>
      </c>
      <c r="U202">
        <v>4.74</v>
      </c>
    </row>
    <row r="203" spans="1:21" x14ac:dyDescent="0.3">
      <c r="A203">
        <v>202</v>
      </c>
      <c r="B203" t="s">
        <v>222</v>
      </c>
      <c r="C203" s="2">
        <v>45855</v>
      </c>
      <c r="D203" s="2">
        <v>45859</v>
      </c>
      <c r="E203" t="s">
        <v>1522</v>
      </c>
      <c r="F203" t="s">
        <v>1684</v>
      </c>
      <c r="G203" t="s">
        <v>2049</v>
      </c>
      <c r="H203" t="s">
        <v>2316</v>
      </c>
      <c r="I203" t="s">
        <v>2317</v>
      </c>
      <c r="J203" t="s">
        <v>2320</v>
      </c>
      <c r="K203" t="s">
        <v>2320</v>
      </c>
      <c r="L203">
        <v>172255</v>
      </c>
      <c r="M203" t="s">
        <v>2330</v>
      </c>
      <c r="N203" t="s">
        <v>2499</v>
      </c>
      <c r="O203" t="s">
        <v>3055</v>
      </c>
      <c r="P203" t="s">
        <v>3061</v>
      </c>
      <c r="Q203" t="s">
        <v>3249</v>
      </c>
      <c r="R203">
        <v>161.82</v>
      </c>
      <c r="S203">
        <v>4</v>
      </c>
      <c r="T203">
        <v>0.4</v>
      </c>
      <c r="U203">
        <v>-17.170000000000002</v>
      </c>
    </row>
    <row r="204" spans="1:21" x14ac:dyDescent="0.3">
      <c r="A204">
        <v>203</v>
      </c>
      <c r="B204" t="s">
        <v>223</v>
      </c>
      <c r="C204" s="2">
        <v>45559</v>
      </c>
      <c r="D204" s="2">
        <v>45562</v>
      </c>
      <c r="E204" t="s">
        <v>1523</v>
      </c>
      <c r="F204" t="s">
        <v>1607</v>
      </c>
      <c r="G204" t="s">
        <v>2081</v>
      </c>
      <c r="H204" t="s">
        <v>2316</v>
      </c>
      <c r="I204" t="s">
        <v>2317</v>
      </c>
      <c r="J204" t="s">
        <v>2321</v>
      </c>
      <c r="K204" t="s">
        <v>2321</v>
      </c>
      <c r="L204">
        <v>795457</v>
      </c>
      <c r="M204" t="s">
        <v>2329</v>
      </c>
      <c r="N204" t="s">
        <v>2515</v>
      </c>
      <c r="O204" t="s">
        <v>3054</v>
      </c>
      <c r="P204" t="s">
        <v>3064</v>
      </c>
      <c r="Q204" t="s">
        <v>3250</v>
      </c>
      <c r="R204">
        <v>71.72</v>
      </c>
      <c r="S204">
        <v>2</v>
      </c>
      <c r="T204">
        <v>0</v>
      </c>
      <c r="U204">
        <v>-35.450000000000003</v>
      </c>
    </row>
    <row r="205" spans="1:21" x14ac:dyDescent="0.3">
      <c r="A205">
        <v>204</v>
      </c>
      <c r="B205" t="s">
        <v>224</v>
      </c>
      <c r="C205" s="2">
        <v>45801</v>
      </c>
      <c r="D205" s="2">
        <v>45804</v>
      </c>
      <c r="E205" t="s">
        <v>1523</v>
      </c>
      <c r="F205" t="s">
        <v>1685</v>
      </c>
      <c r="G205" t="s">
        <v>2082</v>
      </c>
      <c r="H205" t="s">
        <v>2314</v>
      </c>
      <c r="I205" t="s">
        <v>2317</v>
      </c>
      <c r="J205" t="s">
        <v>2323</v>
      </c>
      <c r="K205" t="s">
        <v>2323</v>
      </c>
      <c r="L205">
        <v>782171</v>
      </c>
      <c r="M205" t="s">
        <v>2328</v>
      </c>
      <c r="N205" t="s">
        <v>2516</v>
      </c>
      <c r="O205" t="s">
        <v>3054</v>
      </c>
      <c r="P205" t="s">
        <v>3058</v>
      </c>
      <c r="Q205" t="s">
        <v>3200</v>
      </c>
      <c r="R205">
        <v>26.62</v>
      </c>
      <c r="S205">
        <v>6</v>
      </c>
      <c r="T205">
        <v>0</v>
      </c>
      <c r="U205">
        <v>22.19</v>
      </c>
    </row>
    <row r="206" spans="1:21" x14ac:dyDescent="0.3">
      <c r="A206">
        <v>205</v>
      </c>
      <c r="B206" t="s">
        <v>225</v>
      </c>
      <c r="C206" s="2">
        <v>45677</v>
      </c>
      <c r="D206" s="2">
        <v>45679</v>
      </c>
      <c r="E206" t="s">
        <v>1523</v>
      </c>
      <c r="F206" t="s">
        <v>1686</v>
      </c>
      <c r="G206" t="s">
        <v>2083</v>
      </c>
      <c r="H206" t="s">
        <v>2315</v>
      </c>
      <c r="I206" t="s">
        <v>2317</v>
      </c>
      <c r="J206" t="s">
        <v>2327</v>
      </c>
      <c r="K206" t="s">
        <v>2327</v>
      </c>
      <c r="L206">
        <v>292180</v>
      </c>
      <c r="M206" t="s">
        <v>2330</v>
      </c>
      <c r="N206" t="s">
        <v>2517</v>
      </c>
      <c r="O206" t="s">
        <v>3054</v>
      </c>
      <c r="P206" t="s">
        <v>3064</v>
      </c>
      <c r="Q206" t="s">
        <v>3251</v>
      </c>
      <c r="R206">
        <v>42.38</v>
      </c>
      <c r="S206">
        <v>1</v>
      </c>
      <c r="T206">
        <v>0.3</v>
      </c>
      <c r="U206">
        <v>21.54</v>
      </c>
    </row>
    <row r="207" spans="1:21" x14ac:dyDescent="0.3">
      <c r="A207">
        <v>206</v>
      </c>
      <c r="B207" t="s">
        <v>226</v>
      </c>
      <c r="C207" s="2">
        <v>45678</v>
      </c>
      <c r="D207" s="2">
        <v>45681</v>
      </c>
      <c r="E207" t="s">
        <v>1523</v>
      </c>
      <c r="F207" t="s">
        <v>1566</v>
      </c>
      <c r="G207" t="s">
        <v>2084</v>
      </c>
      <c r="H207" t="s">
        <v>2314</v>
      </c>
      <c r="I207" t="s">
        <v>2317</v>
      </c>
      <c r="J207" t="s">
        <v>2322</v>
      </c>
      <c r="K207" t="s">
        <v>2322</v>
      </c>
      <c r="L207">
        <v>883258</v>
      </c>
      <c r="M207" t="s">
        <v>2331</v>
      </c>
      <c r="N207" t="s">
        <v>2518</v>
      </c>
      <c r="O207" t="s">
        <v>3055</v>
      </c>
      <c r="P207" t="s">
        <v>3059</v>
      </c>
      <c r="Q207" t="s">
        <v>3252</v>
      </c>
      <c r="R207">
        <v>521.71</v>
      </c>
      <c r="S207">
        <v>8</v>
      </c>
      <c r="T207">
        <v>0.2</v>
      </c>
      <c r="U207">
        <v>4.3600000000000003</v>
      </c>
    </row>
    <row r="208" spans="1:21" x14ac:dyDescent="0.3">
      <c r="A208">
        <v>207</v>
      </c>
      <c r="B208" t="s">
        <v>227</v>
      </c>
      <c r="C208" s="2">
        <v>45404</v>
      </c>
      <c r="D208" s="2">
        <v>45408</v>
      </c>
      <c r="E208" t="s">
        <v>1524</v>
      </c>
      <c r="F208" t="s">
        <v>1687</v>
      </c>
      <c r="G208" t="s">
        <v>2003</v>
      </c>
      <c r="H208" t="s">
        <v>2314</v>
      </c>
      <c r="I208" t="s">
        <v>2317</v>
      </c>
      <c r="J208" t="s">
        <v>2318</v>
      </c>
      <c r="K208" t="s">
        <v>2318</v>
      </c>
      <c r="L208">
        <v>436399</v>
      </c>
      <c r="M208" t="s">
        <v>2328</v>
      </c>
      <c r="N208" t="s">
        <v>2519</v>
      </c>
      <c r="O208" t="s">
        <v>3053</v>
      </c>
      <c r="P208" t="s">
        <v>3056</v>
      </c>
      <c r="Q208" t="s">
        <v>3253</v>
      </c>
      <c r="R208">
        <v>188.27</v>
      </c>
      <c r="S208">
        <v>3</v>
      </c>
      <c r="T208">
        <v>0.15</v>
      </c>
      <c r="U208">
        <v>5.4</v>
      </c>
    </row>
    <row r="209" spans="1:21" x14ac:dyDescent="0.3">
      <c r="A209">
        <v>208</v>
      </c>
      <c r="B209" t="s">
        <v>228</v>
      </c>
      <c r="C209" s="2">
        <v>45904</v>
      </c>
      <c r="D209" s="2">
        <v>45907</v>
      </c>
      <c r="E209" t="s">
        <v>1521</v>
      </c>
      <c r="F209" t="s">
        <v>1688</v>
      </c>
      <c r="G209" t="s">
        <v>1966</v>
      </c>
      <c r="H209" t="s">
        <v>2314</v>
      </c>
      <c r="I209" t="s">
        <v>2317</v>
      </c>
      <c r="J209" t="s">
        <v>2325</v>
      </c>
      <c r="K209" t="s">
        <v>2325</v>
      </c>
      <c r="L209">
        <v>475574</v>
      </c>
      <c r="M209" t="s">
        <v>2332</v>
      </c>
      <c r="N209" t="s">
        <v>2520</v>
      </c>
      <c r="O209" t="s">
        <v>3053</v>
      </c>
      <c r="P209" t="s">
        <v>3056</v>
      </c>
      <c r="Q209" t="s">
        <v>3068</v>
      </c>
      <c r="R209">
        <v>333.47</v>
      </c>
      <c r="S209">
        <v>8</v>
      </c>
      <c r="T209">
        <v>0.2</v>
      </c>
      <c r="U209">
        <v>-32.9</v>
      </c>
    </row>
    <row r="210" spans="1:21" x14ac:dyDescent="0.3">
      <c r="A210">
        <v>209</v>
      </c>
      <c r="B210" t="s">
        <v>229</v>
      </c>
      <c r="C210" s="2">
        <v>45916</v>
      </c>
      <c r="D210" s="2">
        <v>45919</v>
      </c>
      <c r="E210" t="s">
        <v>1522</v>
      </c>
      <c r="F210" t="s">
        <v>1589</v>
      </c>
      <c r="G210" t="s">
        <v>2085</v>
      </c>
      <c r="H210" t="s">
        <v>2316</v>
      </c>
      <c r="I210" t="s">
        <v>2317</v>
      </c>
      <c r="J210" t="s">
        <v>2319</v>
      </c>
      <c r="K210" t="s">
        <v>2319</v>
      </c>
      <c r="L210">
        <v>368933</v>
      </c>
      <c r="M210" t="s">
        <v>2329</v>
      </c>
      <c r="N210" t="s">
        <v>2521</v>
      </c>
      <c r="O210" t="s">
        <v>3053</v>
      </c>
      <c r="P210" t="s">
        <v>3056</v>
      </c>
      <c r="Q210" t="s">
        <v>3254</v>
      </c>
      <c r="R210">
        <v>84.91</v>
      </c>
      <c r="S210">
        <v>5</v>
      </c>
      <c r="T210">
        <v>0.4</v>
      </c>
      <c r="U210">
        <v>23.53</v>
      </c>
    </row>
    <row r="211" spans="1:21" x14ac:dyDescent="0.3">
      <c r="A211">
        <v>210</v>
      </c>
      <c r="B211" t="s">
        <v>230</v>
      </c>
      <c r="C211" s="2">
        <v>45372</v>
      </c>
      <c r="D211" s="2">
        <v>45374</v>
      </c>
      <c r="E211" t="s">
        <v>1521</v>
      </c>
      <c r="F211" t="s">
        <v>1689</v>
      </c>
      <c r="G211" t="s">
        <v>2086</v>
      </c>
      <c r="H211" t="s">
        <v>2315</v>
      </c>
      <c r="I211" t="s">
        <v>2317</v>
      </c>
      <c r="J211" t="s">
        <v>2322</v>
      </c>
      <c r="K211" t="s">
        <v>2322</v>
      </c>
      <c r="L211">
        <v>966453</v>
      </c>
      <c r="M211" t="s">
        <v>2331</v>
      </c>
      <c r="N211" t="s">
        <v>2522</v>
      </c>
      <c r="O211" t="s">
        <v>3053</v>
      </c>
      <c r="P211" t="s">
        <v>3056</v>
      </c>
      <c r="Q211" t="s">
        <v>3255</v>
      </c>
      <c r="R211">
        <v>614.6</v>
      </c>
      <c r="S211">
        <v>8</v>
      </c>
      <c r="T211">
        <v>0.15</v>
      </c>
      <c r="U211">
        <v>33.86</v>
      </c>
    </row>
    <row r="212" spans="1:21" x14ac:dyDescent="0.3">
      <c r="A212">
        <v>211</v>
      </c>
      <c r="B212" t="s">
        <v>231</v>
      </c>
      <c r="C212" s="2">
        <v>45990</v>
      </c>
      <c r="D212" s="2">
        <v>45993</v>
      </c>
      <c r="E212" t="s">
        <v>1523</v>
      </c>
      <c r="F212" t="s">
        <v>1556</v>
      </c>
      <c r="G212" t="s">
        <v>2087</v>
      </c>
      <c r="H212" t="s">
        <v>2316</v>
      </c>
      <c r="I212" t="s">
        <v>2317</v>
      </c>
      <c r="J212" t="s">
        <v>2322</v>
      </c>
      <c r="K212" t="s">
        <v>2322</v>
      </c>
      <c r="L212">
        <v>515976</v>
      </c>
      <c r="M212" t="s">
        <v>2331</v>
      </c>
      <c r="N212" t="s">
        <v>2523</v>
      </c>
      <c r="O212" t="s">
        <v>3055</v>
      </c>
      <c r="P212" t="s">
        <v>3059</v>
      </c>
      <c r="Q212" t="s">
        <v>3256</v>
      </c>
      <c r="R212">
        <v>394.09</v>
      </c>
      <c r="S212">
        <v>7</v>
      </c>
      <c r="T212">
        <v>0.3</v>
      </c>
      <c r="U212">
        <v>12.5</v>
      </c>
    </row>
    <row r="213" spans="1:21" x14ac:dyDescent="0.3">
      <c r="A213">
        <v>212</v>
      </c>
      <c r="B213" t="s">
        <v>232</v>
      </c>
      <c r="C213" s="2">
        <v>45404</v>
      </c>
      <c r="D213" s="2">
        <v>45408</v>
      </c>
      <c r="E213" t="s">
        <v>1521</v>
      </c>
      <c r="F213" t="s">
        <v>1690</v>
      </c>
      <c r="G213" t="s">
        <v>2088</v>
      </c>
      <c r="H213" t="s">
        <v>2314</v>
      </c>
      <c r="I213" t="s">
        <v>2317</v>
      </c>
      <c r="J213" t="s">
        <v>2318</v>
      </c>
      <c r="K213" t="s">
        <v>2318</v>
      </c>
      <c r="L213">
        <v>755337</v>
      </c>
      <c r="M213" t="s">
        <v>2328</v>
      </c>
      <c r="N213" t="s">
        <v>2524</v>
      </c>
      <c r="O213" t="s">
        <v>3054</v>
      </c>
      <c r="P213" t="s">
        <v>3058</v>
      </c>
      <c r="Q213" t="s">
        <v>3257</v>
      </c>
      <c r="R213">
        <v>64.83</v>
      </c>
      <c r="S213">
        <v>9</v>
      </c>
      <c r="T213">
        <v>0.3</v>
      </c>
      <c r="U213">
        <v>-27.99</v>
      </c>
    </row>
    <row r="214" spans="1:21" x14ac:dyDescent="0.3">
      <c r="A214">
        <v>213</v>
      </c>
      <c r="B214" t="s">
        <v>233</v>
      </c>
      <c r="C214" s="2">
        <v>45293</v>
      </c>
      <c r="D214" s="2">
        <v>45299</v>
      </c>
      <c r="E214" t="s">
        <v>1523</v>
      </c>
      <c r="F214" t="s">
        <v>1691</v>
      </c>
      <c r="G214" t="s">
        <v>2089</v>
      </c>
      <c r="H214" t="s">
        <v>2314</v>
      </c>
      <c r="I214" t="s">
        <v>2317</v>
      </c>
      <c r="J214" t="s">
        <v>2324</v>
      </c>
      <c r="K214" t="s">
        <v>2324</v>
      </c>
      <c r="L214">
        <v>657176</v>
      </c>
      <c r="M214" t="s">
        <v>2330</v>
      </c>
      <c r="N214" t="s">
        <v>2525</v>
      </c>
      <c r="O214" t="s">
        <v>3053</v>
      </c>
      <c r="P214" t="s">
        <v>3056</v>
      </c>
      <c r="Q214" t="s">
        <v>3258</v>
      </c>
      <c r="R214">
        <v>336.17</v>
      </c>
      <c r="S214">
        <v>7</v>
      </c>
      <c r="T214">
        <v>0.05</v>
      </c>
      <c r="U214">
        <v>-13.05</v>
      </c>
    </row>
    <row r="215" spans="1:21" x14ac:dyDescent="0.3">
      <c r="A215">
        <v>214</v>
      </c>
      <c r="B215" t="s">
        <v>234</v>
      </c>
      <c r="C215" s="2">
        <v>45933</v>
      </c>
      <c r="D215" s="2">
        <v>45934</v>
      </c>
      <c r="E215" t="s">
        <v>1521</v>
      </c>
      <c r="F215" t="s">
        <v>1692</v>
      </c>
      <c r="G215" t="s">
        <v>2090</v>
      </c>
      <c r="H215" t="s">
        <v>2314</v>
      </c>
      <c r="I215" t="s">
        <v>2317</v>
      </c>
      <c r="J215" t="s">
        <v>2318</v>
      </c>
      <c r="K215" t="s">
        <v>2318</v>
      </c>
      <c r="L215">
        <v>551989</v>
      </c>
      <c r="M215" t="s">
        <v>2328</v>
      </c>
      <c r="N215" t="s">
        <v>2526</v>
      </c>
      <c r="O215" t="s">
        <v>3055</v>
      </c>
      <c r="P215" t="s">
        <v>3060</v>
      </c>
      <c r="Q215" t="s">
        <v>3259</v>
      </c>
      <c r="R215">
        <v>684.78</v>
      </c>
      <c r="S215">
        <v>1</v>
      </c>
      <c r="T215">
        <v>0.3</v>
      </c>
      <c r="U215">
        <v>35.67</v>
      </c>
    </row>
    <row r="216" spans="1:21" x14ac:dyDescent="0.3">
      <c r="A216">
        <v>215</v>
      </c>
      <c r="B216" t="s">
        <v>235</v>
      </c>
      <c r="C216" s="2">
        <v>45511</v>
      </c>
      <c r="D216" s="2">
        <v>45516</v>
      </c>
      <c r="E216" t="s">
        <v>1523</v>
      </c>
      <c r="F216" t="s">
        <v>1693</v>
      </c>
      <c r="G216" t="s">
        <v>2091</v>
      </c>
      <c r="H216" t="s">
        <v>2314</v>
      </c>
      <c r="I216" t="s">
        <v>2317</v>
      </c>
      <c r="J216" t="s">
        <v>2324</v>
      </c>
      <c r="K216" t="s">
        <v>2324</v>
      </c>
      <c r="L216">
        <v>649633</v>
      </c>
      <c r="M216" t="s">
        <v>2330</v>
      </c>
      <c r="N216" t="s">
        <v>2527</v>
      </c>
      <c r="O216" t="s">
        <v>3054</v>
      </c>
      <c r="P216" t="s">
        <v>3058</v>
      </c>
      <c r="Q216" t="s">
        <v>3260</v>
      </c>
      <c r="R216">
        <v>61.4</v>
      </c>
      <c r="S216">
        <v>3</v>
      </c>
      <c r="T216">
        <v>0.05</v>
      </c>
      <c r="U216">
        <v>12.37</v>
      </c>
    </row>
    <row r="217" spans="1:21" x14ac:dyDescent="0.3">
      <c r="A217">
        <v>216</v>
      </c>
      <c r="B217" t="s">
        <v>236</v>
      </c>
      <c r="C217" s="2">
        <v>45857</v>
      </c>
      <c r="D217" s="2">
        <v>45860</v>
      </c>
      <c r="E217" t="s">
        <v>1523</v>
      </c>
      <c r="F217" t="s">
        <v>1694</v>
      </c>
      <c r="G217" t="s">
        <v>2092</v>
      </c>
      <c r="H217" t="s">
        <v>2316</v>
      </c>
      <c r="I217" t="s">
        <v>2317</v>
      </c>
      <c r="J217" t="s">
        <v>2324</v>
      </c>
      <c r="K217" t="s">
        <v>2324</v>
      </c>
      <c r="L217">
        <v>199764</v>
      </c>
      <c r="M217" t="s">
        <v>2330</v>
      </c>
      <c r="N217" t="s">
        <v>2394</v>
      </c>
      <c r="O217" t="s">
        <v>3053</v>
      </c>
      <c r="P217" t="s">
        <v>3056</v>
      </c>
      <c r="Q217" t="s">
        <v>3261</v>
      </c>
      <c r="R217">
        <v>184.17</v>
      </c>
      <c r="S217">
        <v>6</v>
      </c>
      <c r="T217">
        <v>0.4</v>
      </c>
      <c r="U217">
        <v>6.34</v>
      </c>
    </row>
    <row r="218" spans="1:21" x14ac:dyDescent="0.3">
      <c r="A218">
        <v>217</v>
      </c>
      <c r="B218" t="s">
        <v>237</v>
      </c>
      <c r="C218" s="2">
        <v>45516</v>
      </c>
      <c r="D218" s="2">
        <v>45520</v>
      </c>
      <c r="E218" t="s">
        <v>1524</v>
      </c>
      <c r="F218" t="s">
        <v>1695</v>
      </c>
      <c r="G218" t="s">
        <v>2056</v>
      </c>
      <c r="H218" t="s">
        <v>2316</v>
      </c>
      <c r="I218" t="s">
        <v>2317</v>
      </c>
      <c r="J218" t="s">
        <v>2320</v>
      </c>
      <c r="K218" t="s">
        <v>2320</v>
      </c>
      <c r="L218">
        <v>299294</v>
      </c>
      <c r="M218" t="s">
        <v>2330</v>
      </c>
      <c r="N218" t="s">
        <v>2528</v>
      </c>
      <c r="O218" t="s">
        <v>3055</v>
      </c>
      <c r="P218" t="s">
        <v>3059</v>
      </c>
      <c r="Q218" t="s">
        <v>3262</v>
      </c>
      <c r="R218">
        <v>187.26</v>
      </c>
      <c r="S218">
        <v>9</v>
      </c>
      <c r="T218">
        <v>0.05</v>
      </c>
      <c r="U218">
        <v>32.950000000000003</v>
      </c>
    </row>
    <row r="219" spans="1:21" x14ac:dyDescent="0.3">
      <c r="A219">
        <v>218</v>
      </c>
      <c r="B219" t="s">
        <v>238</v>
      </c>
      <c r="C219" s="2">
        <v>45676</v>
      </c>
      <c r="D219" s="2">
        <v>45679</v>
      </c>
      <c r="E219" t="s">
        <v>1524</v>
      </c>
      <c r="F219" t="s">
        <v>1696</v>
      </c>
      <c r="G219" t="s">
        <v>1989</v>
      </c>
      <c r="H219" t="s">
        <v>2316</v>
      </c>
      <c r="I219" t="s">
        <v>2317</v>
      </c>
      <c r="J219" t="s">
        <v>2320</v>
      </c>
      <c r="K219" t="s">
        <v>2320</v>
      </c>
      <c r="L219">
        <v>969460</v>
      </c>
      <c r="M219" t="s">
        <v>2330</v>
      </c>
      <c r="N219" t="s">
        <v>2529</v>
      </c>
      <c r="O219" t="s">
        <v>3054</v>
      </c>
      <c r="P219" t="s">
        <v>3064</v>
      </c>
      <c r="Q219" t="s">
        <v>3263</v>
      </c>
      <c r="R219">
        <v>118.48</v>
      </c>
      <c r="S219">
        <v>4</v>
      </c>
      <c r="T219">
        <v>0.05</v>
      </c>
      <c r="U219">
        <v>4.38</v>
      </c>
    </row>
    <row r="220" spans="1:21" x14ac:dyDescent="0.3">
      <c r="A220">
        <v>219</v>
      </c>
      <c r="B220" t="s">
        <v>239</v>
      </c>
      <c r="C220" s="2">
        <v>45694</v>
      </c>
      <c r="D220" s="2">
        <v>45697</v>
      </c>
      <c r="E220" t="s">
        <v>1524</v>
      </c>
      <c r="F220" t="s">
        <v>1528</v>
      </c>
      <c r="G220" t="s">
        <v>2093</v>
      </c>
      <c r="H220" t="s">
        <v>2314</v>
      </c>
      <c r="I220" t="s">
        <v>2317</v>
      </c>
      <c r="J220" t="s">
        <v>2326</v>
      </c>
      <c r="K220" t="s">
        <v>2326</v>
      </c>
      <c r="L220">
        <v>523041</v>
      </c>
      <c r="M220" t="s">
        <v>2331</v>
      </c>
      <c r="N220" t="s">
        <v>2530</v>
      </c>
      <c r="O220" t="s">
        <v>3054</v>
      </c>
      <c r="P220" t="s">
        <v>3058</v>
      </c>
      <c r="Q220" t="s">
        <v>3264</v>
      </c>
      <c r="R220">
        <v>102.5</v>
      </c>
      <c r="S220">
        <v>1</v>
      </c>
      <c r="T220">
        <v>0.1</v>
      </c>
      <c r="U220">
        <v>10.29</v>
      </c>
    </row>
    <row r="221" spans="1:21" x14ac:dyDescent="0.3">
      <c r="A221">
        <v>220</v>
      </c>
      <c r="B221" t="s">
        <v>240</v>
      </c>
      <c r="C221" s="2">
        <v>45929</v>
      </c>
      <c r="D221" s="2">
        <v>45932</v>
      </c>
      <c r="E221" t="s">
        <v>1522</v>
      </c>
      <c r="F221" t="s">
        <v>1697</v>
      </c>
      <c r="G221" t="s">
        <v>2094</v>
      </c>
      <c r="H221" t="s">
        <v>2316</v>
      </c>
      <c r="I221" t="s">
        <v>2317</v>
      </c>
      <c r="J221" t="s">
        <v>2321</v>
      </c>
      <c r="K221" t="s">
        <v>2321</v>
      </c>
      <c r="L221">
        <v>923333</v>
      </c>
      <c r="M221" t="s">
        <v>2329</v>
      </c>
      <c r="N221" t="s">
        <v>2531</v>
      </c>
      <c r="O221" t="s">
        <v>3053</v>
      </c>
      <c r="P221" t="s">
        <v>3062</v>
      </c>
      <c r="Q221" t="s">
        <v>3265</v>
      </c>
      <c r="R221">
        <v>423.38</v>
      </c>
      <c r="S221">
        <v>2</v>
      </c>
      <c r="T221">
        <v>0</v>
      </c>
      <c r="U221">
        <v>59.52</v>
      </c>
    </row>
    <row r="222" spans="1:21" x14ac:dyDescent="0.3">
      <c r="A222">
        <v>221</v>
      </c>
      <c r="B222" t="s">
        <v>241</v>
      </c>
      <c r="C222" s="2">
        <v>45421</v>
      </c>
      <c r="D222" s="2">
        <v>45424</v>
      </c>
      <c r="E222" t="s">
        <v>1524</v>
      </c>
      <c r="F222" t="s">
        <v>1698</v>
      </c>
      <c r="G222" t="s">
        <v>1928</v>
      </c>
      <c r="H222" t="s">
        <v>2314</v>
      </c>
      <c r="I222" t="s">
        <v>2317</v>
      </c>
      <c r="J222" t="s">
        <v>2321</v>
      </c>
      <c r="K222" t="s">
        <v>2321</v>
      </c>
      <c r="L222">
        <v>439851</v>
      </c>
      <c r="M222" t="s">
        <v>2329</v>
      </c>
      <c r="N222" t="s">
        <v>2532</v>
      </c>
      <c r="O222" t="s">
        <v>3055</v>
      </c>
      <c r="P222" t="s">
        <v>3059</v>
      </c>
      <c r="Q222" t="s">
        <v>3266</v>
      </c>
      <c r="R222">
        <v>330.52</v>
      </c>
      <c r="S222">
        <v>9</v>
      </c>
      <c r="T222">
        <v>0.05</v>
      </c>
      <c r="U222">
        <v>83.51</v>
      </c>
    </row>
    <row r="223" spans="1:21" x14ac:dyDescent="0.3">
      <c r="A223">
        <v>222</v>
      </c>
      <c r="B223" t="s">
        <v>242</v>
      </c>
      <c r="C223" s="2">
        <v>45344</v>
      </c>
      <c r="D223" s="2">
        <v>45346</v>
      </c>
      <c r="E223" t="s">
        <v>1522</v>
      </c>
      <c r="F223" t="s">
        <v>1579</v>
      </c>
      <c r="G223" t="s">
        <v>2095</v>
      </c>
      <c r="H223" t="s">
        <v>2316</v>
      </c>
      <c r="I223" t="s">
        <v>2317</v>
      </c>
      <c r="J223" t="s">
        <v>2319</v>
      </c>
      <c r="K223" t="s">
        <v>2319</v>
      </c>
      <c r="L223">
        <v>503923</v>
      </c>
      <c r="M223" t="s">
        <v>2329</v>
      </c>
      <c r="N223" t="s">
        <v>2533</v>
      </c>
      <c r="O223" t="s">
        <v>3054</v>
      </c>
      <c r="P223" t="s">
        <v>3057</v>
      </c>
      <c r="Q223" t="s">
        <v>3267</v>
      </c>
      <c r="R223">
        <v>181.38</v>
      </c>
      <c r="S223">
        <v>3</v>
      </c>
      <c r="T223">
        <v>0.15</v>
      </c>
      <c r="U223">
        <v>34.840000000000003</v>
      </c>
    </row>
    <row r="224" spans="1:21" x14ac:dyDescent="0.3">
      <c r="A224">
        <v>223</v>
      </c>
      <c r="B224" t="s">
        <v>243</v>
      </c>
      <c r="C224" s="2">
        <v>45975</v>
      </c>
      <c r="D224" s="2">
        <v>45978</v>
      </c>
      <c r="E224" t="s">
        <v>1521</v>
      </c>
      <c r="F224" t="s">
        <v>1699</v>
      </c>
      <c r="G224" t="s">
        <v>2096</v>
      </c>
      <c r="H224" t="s">
        <v>2316</v>
      </c>
      <c r="I224" t="s">
        <v>2317</v>
      </c>
      <c r="J224" t="s">
        <v>2321</v>
      </c>
      <c r="K224" t="s">
        <v>2321</v>
      </c>
      <c r="L224">
        <v>157196</v>
      </c>
      <c r="M224" t="s">
        <v>2329</v>
      </c>
      <c r="N224" t="s">
        <v>2382</v>
      </c>
      <c r="O224" t="s">
        <v>3053</v>
      </c>
      <c r="P224" t="s">
        <v>3066</v>
      </c>
      <c r="Q224" t="s">
        <v>3268</v>
      </c>
      <c r="R224">
        <v>153.47</v>
      </c>
      <c r="S224">
        <v>8</v>
      </c>
      <c r="T224">
        <v>0.15</v>
      </c>
      <c r="U224">
        <v>13.77</v>
      </c>
    </row>
    <row r="225" spans="1:21" x14ac:dyDescent="0.3">
      <c r="A225">
        <v>224</v>
      </c>
      <c r="B225" t="s">
        <v>244</v>
      </c>
      <c r="C225" s="2">
        <v>46021</v>
      </c>
      <c r="D225" s="2">
        <v>46022</v>
      </c>
      <c r="E225" t="s">
        <v>1521</v>
      </c>
      <c r="F225" t="s">
        <v>1661</v>
      </c>
      <c r="G225" t="s">
        <v>2097</v>
      </c>
      <c r="H225" t="s">
        <v>2314</v>
      </c>
      <c r="I225" t="s">
        <v>2317</v>
      </c>
      <c r="J225" t="s">
        <v>2320</v>
      </c>
      <c r="K225" t="s">
        <v>2320</v>
      </c>
      <c r="L225">
        <v>254591</v>
      </c>
      <c r="M225" t="s">
        <v>2330</v>
      </c>
      <c r="N225" t="s">
        <v>2435</v>
      </c>
      <c r="O225" t="s">
        <v>3053</v>
      </c>
      <c r="P225" t="s">
        <v>3056</v>
      </c>
      <c r="Q225" t="s">
        <v>3269</v>
      </c>
      <c r="R225">
        <v>206.11</v>
      </c>
      <c r="S225">
        <v>8</v>
      </c>
      <c r="T225">
        <v>0.05</v>
      </c>
      <c r="U225">
        <v>-3.12</v>
      </c>
    </row>
    <row r="226" spans="1:21" x14ac:dyDescent="0.3">
      <c r="A226">
        <v>225</v>
      </c>
      <c r="B226" t="s">
        <v>245</v>
      </c>
      <c r="C226" s="2">
        <v>45963</v>
      </c>
      <c r="D226" s="2">
        <v>45965</v>
      </c>
      <c r="E226" t="s">
        <v>1524</v>
      </c>
      <c r="F226" t="s">
        <v>1700</v>
      </c>
      <c r="G226" t="s">
        <v>2015</v>
      </c>
      <c r="H226" t="s">
        <v>2316</v>
      </c>
      <c r="I226" t="s">
        <v>2317</v>
      </c>
      <c r="J226" t="s">
        <v>2326</v>
      </c>
      <c r="K226" t="s">
        <v>2326</v>
      </c>
      <c r="L226">
        <v>775899</v>
      </c>
      <c r="M226" t="s">
        <v>2331</v>
      </c>
      <c r="N226" t="s">
        <v>2534</v>
      </c>
      <c r="O226" t="s">
        <v>3053</v>
      </c>
      <c r="P226" t="s">
        <v>3065</v>
      </c>
      <c r="Q226" t="s">
        <v>3270</v>
      </c>
      <c r="R226">
        <v>365.55</v>
      </c>
      <c r="S226">
        <v>5</v>
      </c>
      <c r="T226">
        <v>0.3</v>
      </c>
      <c r="U226">
        <v>-44.26</v>
      </c>
    </row>
    <row r="227" spans="1:21" x14ac:dyDescent="0.3">
      <c r="A227">
        <v>226</v>
      </c>
      <c r="B227" t="s">
        <v>246</v>
      </c>
      <c r="C227" s="2">
        <v>46001</v>
      </c>
      <c r="D227" s="2">
        <v>46002</v>
      </c>
      <c r="E227" t="s">
        <v>1522</v>
      </c>
      <c r="F227" t="s">
        <v>1634</v>
      </c>
      <c r="G227" t="s">
        <v>2098</v>
      </c>
      <c r="H227" t="s">
        <v>2314</v>
      </c>
      <c r="I227" t="s">
        <v>2317</v>
      </c>
      <c r="J227" t="s">
        <v>2326</v>
      </c>
      <c r="K227" t="s">
        <v>2326</v>
      </c>
      <c r="L227">
        <v>460400</v>
      </c>
      <c r="M227" t="s">
        <v>2331</v>
      </c>
      <c r="N227" t="s">
        <v>2535</v>
      </c>
      <c r="O227" t="s">
        <v>3053</v>
      </c>
      <c r="P227" t="s">
        <v>3062</v>
      </c>
      <c r="Q227" t="s">
        <v>3271</v>
      </c>
      <c r="R227">
        <v>465.89</v>
      </c>
      <c r="S227">
        <v>2</v>
      </c>
      <c r="T227">
        <v>0.15</v>
      </c>
      <c r="U227">
        <v>8.99</v>
      </c>
    </row>
    <row r="228" spans="1:21" x14ac:dyDescent="0.3">
      <c r="A228">
        <v>227</v>
      </c>
      <c r="B228" t="s">
        <v>247</v>
      </c>
      <c r="C228" s="2">
        <v>45707</v>
      </c>
      <c r="D228" s="2">
        <v>45711</v>
      </c>
      <c r="E228" t="s">
        <v>1521</v>
      </c>
      <c r="F228" t="s">
        <v>1701</v>
      </c>
      <c r="G228" t="s">
        <v>2099</v>
      </c>
      <c r="H228" t="s">
        <v>2314</v>
      </c>
      <c r="I228" t="s">
        <v>2317</v>
      </c>
      <c r="J228" t="s">
        <v>2324</v>
      </c>
      <c r="K228" t="s">
        <v>2324</v>
      </c>
      <c r="L228">
        <v>957617</v>
      </c>
      <c r="M228" t="s">
        <v>2330</v>
      </c>
      <c r="N228" t="s">
        <v>2439</v>
      </c>
      <c r="O228" t="s">
        <v>3053</v>
      </c>
      <c r="P228" t="s">
        <v>3065</v>
      </c>
      <c r="Q228" t="s">
        <v>3272</v>
      </c>
      <c r="R228">
        <v>524.37</v>
      </c>
      <c r="S228">
        <v>4</v>
      </c>
      <c r="T228">
        <v>0.1</v>
      </c>
      <c r="U228">
        <v>38.340000000000003</v>
      </c>
    </row>
    <row r="229" spans="1:21" x14ac:dyDescent="0.3">
      <c r="A229">
        <v>228</v>
      </c>
      <c r="B229" t="s">
        <v>248</v>
      </c>
      <c r="C229" s="2">
        <v>45538</v>
      </c>
      <c r="D229" s="2">
        <v>45541</v>
      </c>
      <c r="E229" t="s">
        <v>1523</v>
      </c>
      <c r="F229" t="s">
        <v>1702</v>
      </c>
      <c r="G229" t="s">
        <v>2100</v>
      </c>
      <c r="H229" t="s">
        <v>2315</v>
      </c>
      <c r="I229" t="s">
        <v>2317</v>
      </c>
      <c r="J229" t="s">
        <v>2318</v>
      </c>
      <c r="K229" t="s">
        <v>2318</v>
      </c>
      <c r="L229">
        <v>368116</v>
      </c>
      <c r="M229" t="s">
        <v>2328</v>
      </c>
      <c r="N229" t="s">
        <v>2447</v>
      </c>
      <c r="O229" t="s">
        <v>3053</v>
      </c>
      <c r="P229" t="s">
        <v>3066</v>
      </c>
      <c r="Q229" t="s">
        <v>3273</v>
      </c>
      <c r="R229">
        <v>82.7</v>
      </c>
      <c r="S229">
        <v>6</v>
      </c>
      <c r="T229">
        <v>0.2</v>
      </c>
      <c r="U229">
        <v>10.47</v>
      </c>
    </row>
    <row r="230" spans="1:21" x14ac:dyDescent="0.3">
      <c r="A230">
        <v>229</v>
      </c>
      <c r="B230" t="s">
        <v>249</v>
      </c>
      <c r="C230" s="2">
        <v>45730</v>
      </c>
      <c r="D230" s="2">
        <v>45733</v>
      </c>
      <c r="E230" t="s">
        <v>1523</v>
      </c>
      <c r="F230" t="s">
        <v>1690</v>
      </c>
      <c r="G230" t="s">
        <v>2101</v>
      </c>
      <c r="H230" t="s">
        <v>2316</v>
      </c>
      <c r="I230" t="s">
        <v>2317</v>
      </c>
      <c r="J230" t="s">
        <v>2319</v>
      </c>
      <c r="K230" t="s">
        <v>2319</v>
      </c>
      <c r="L230">
        <v>898385</v>
      </c>
      <c r="M230" t="s">
        <v>2329</v>
      </c>
      <c r="N230" t="s">
        <v>2424</v>
      </c>
      <c r="O230" t="s">
        <v>3054</v>
      </c>
      <c r="P230" t="s">
        <v>3063</v>
      </c>
      <c r="Q230" t="s">
        <v>3274</v>
      </c>
      <c r="R230">
        <v>77.349999999999994</v>
      </c>
      <c r="S230">
        <v>1</v>
      </c>
      <c r="T230">
        <v>0.15</v>
      </c>
      <c r="U230">
        <v>4.13</v>
      </c>
    </row>
    <row r="231" spans="1:21" x14ac:dyDescent="0.3">
      <c r="A231">
        <v>230</v>
      </c>
      <c r="B231" t="s">
        <v>250</v>
      </c>
      <c r="C231" s="2">
        <v>45494</v>
      </c>
      <c r="D231" s="2">
        <v>45495</v>
      </c>
      <c r="E231" t="s">
        <v>1522</v>
      </c>
      <c r="F231" t="s">
        <v>1601</v>
      </c>
      <c r="G231" t="s">
        <v>2102</v>
      </c>
      <c r="H231" t="s">
        <v>2315</v>
      </c>
      <c r="I231" t="s">
        <v>2317</v>
      </c>
      <c r="J231" t="s">
        <v>2324</v>
      </c>
      <c r="K231" t="s">
        <v>2324</v>
      </c>
      <c r="L231">
        <v>964358</v>
      </c>
      <c r="M231" t="s">
        <v>2330</v>
      </c>
      <c r="N231" t="s">
        <v>2536</v>
      </c>
      <c r="O231" t="s">
        <v>3054</v>
      </c>
      <c r="P231" t="s">
        <v>3063</v>
      </c>
      <c r="Q231" t="s">
        <v>3275</v>
      </c>
      <c r="R231">
        <v>24.96</v>
      </c>
      <c r="S231">
        <v>9</v>
      </c>
      <c r="T231">
        <v>0.2</v>
      </c>
      <c r="U231">
        <v>1.25</v>
      </c>
    </row>
    <row r="232" spans="1:21" x14ac:dyDescent="0.3">
      <c r="A232">
        <v>231</v>
      </c>
      <c r="B232" t="s">
        <v>251</v>
      </c>
      <c r="C232" s="2">
        <v>45475</v>
      </c>
      <c r="D232" s="2">
        <v>45479</v>
      </c>
      <c r="E232" t="s">
        <v>1521</v>
      </c>
      <c r="F232" t="s">
        <v>1635</v>
      </c>
      <c r="G232" t="s">
        <v>2103</v>
      </c>
      <c r="H232" t="s">
        <v>2315</v>
      </c>
      <c r="I232" t="s">
        <v>2317</v>
      </c>
      <c r="J232" t="s">
        <v>2318</v>
      </c>
      <c r="K232" t="s">
        <v>2318</v>
      </c>
      <c r="L232">
        <v>608670</v>
      </c>
      <c r="M232" t="s">
        <v>2328</v>
      </c>
      <c r="N232" t="s">
        <v>2405</v>
      </c>
      <c r="O232" t="s">
        <v>3053</v>
      </c>
      <c r="P232" t="s">
        <v>3065</v>
      </c>
      <c r="Q232" t="s">
        <v>3153</v>
      </c>
      <c r="R232">
        <v>243.76</v>
      </c>
      <c r="S232">
        <v>6</v>
      </c>
      <c r="T232">
        <v>0.15</v>
      </c>
      <c r="U232">
        <v>26.42</v>
      </c>
    </row>
    <row r="233" spans="1:21" x14ac:dyDescent="0.3">
      <c r="A233">
        <v>232</v>
      </c>
      <c r="B233" t="s">
        <v>252</v>
      </c>
      <c r="C233" s="2">
        <v>45414</v>
      </c>
      <c r="D233" s="2">
        <v>45416</v>
      </c>
      <c r="E233" t="s">
        <v>1524</v>
      </c>
      <c r="F233" t="s">
        <v>1703</v>
      </c>
      <c r="G233" t="s">
        <v>1986</v>
      </c>
      <c r="H233" t="s">
        <v>2314</v>
      </c>
      <c r="I233" t="s">
        <v>2317</v>
      </c>
      <c r="J233" t="s">
        <v>2321</v>
      </c>
      <c r="K233" t="s">
        <v>2321</v>
      </c>
      <c r="L233">
        <v>917439</v>
      </c>
      <c r="M233" t="s">
        <v>2329</v>
      </c>
      <c r="N233" t="s">
        <v>2537</v>
      </c>
      <c r="O233" t="s">
        <v>3054</v>
      </c>
      <c r="P233" t="s">
        <v>3063</v>
      </c>
      <c r="Q233" t="s">
        <v>3243</v>
      </c>
      <c r="R233">
        <v>28.59</v>
      </c>
      <c r="S233">
        <v>1</v>
      </c>
      <c r="T233">
        <v>0.05</v>
      </c>
      <c r="U233">
        <v>7.22</v>
      </c>
    </row>
    <row r="234" spans="1:21" x14ac:dyDescent="0.3">
      <c r="A234">
        <v>233</v>
      </c>
      <c r="B234" t="s">
        <v>253</v>
      </c>
      <c r="C234" s="2">
        <v>45692</v>
      </c>
      <c r="D234" s="2">
        <v>45693</v>
      </c>
      <c r="E234" t="s">
        <v>1521</v>
      </c>
      <c r="F234" t="s">
        <v>1704</v>
      </c>
      <c r="G234" t="s">
        <v>2030</v>
      </c>
      <c r="H234" t="s">
        <v>2314</v>
      </c>
      <c r="I234" t="s">
        <v>2317</v>
      </c>
      <c r="J234" t="s">
        <v>2324</v>
      </c>
      <c r="K234" t="s">
        <v>2324</v>
      </c>
      <c r="L234">
        <v>858685</v>
      </c>
      <c r="M234" t="s">
        <v>2330</v>
      </c>
      <c r="N234" t="s">
        <v>2388</v>
      </c>
      <c r="O234" t="s">
        <v>3054</v>
      </c>
      <c r="P234" t="s">
        <v>3064</v>
      </c>
      <c r="Q234" t="s">
        <v>3276</v>
      </c>
      <c r="R234">
        <v>79.3</v>
      </c>
      <c r="S234">
        <v>2</v>
      </c>
      <c r="T234">
        <v>0.15</v>
      </c>
      <c r="U234">
        <v>29.35</v>
      </c>
    </row>
    <row r="235" spans="1:21" x14ac:dyDescent="0.3">
      <c r="A235">
        <v>234</v>
      </c>
      <c r="B235" t="s">
        <v>254</v>
      </c>
      <c r="C235" s="2">
        <v>45585</v>
      </c>
      <c r="D235" s="2">
        <v>45587</v>
      </c>
      <c r="E235" t="s">
        <v>1524</v>
      </c>
      <c r="F235" t="s">
        <v>1575</v>
      </c>
      <c r="G235" t="s">
        <v>2104</v>
      </c>
      <c r="H235" t="s">
        <v>2314</v>
      </c>
      <c r="I235" t="s">
        <v>2317</v>
      </c>
      <c r="J235" t="s">
        <v>2327</v>
      </c>
      <c r="K235" t="s">
        <v>2327</v>
      </c>
      <c r="L235">
        <v>219324</v>
      </c>
      <c r="M235" t="s">
        <v>2330</v>
      </c>
      <c r="N235" t="s">
        <v>2490</v>
      </c>
      <c r="O235" t="s">
        <v>3053</v>
      </c>
      <c r="P235" t="s">
        <v>3062</v>
      </c>
      <c r="Q235" t="s">
        <v>3277</v>
      </c>
      <c r="R235">
        <v>227.35</v>
      </c>
      <c r="S235">
        <v>1</v>
      </c>
      <c r="T235">
        <v>0.1</v>
      </c>
      <c r="U235">
        <v>49.75</v>
      </c>
    </row>
    <row r="236" spans="1:21" x14ac:dyDescent="0.3">
      <c r="A236">
        <v>235</v>
      </c>
      <c r="B236" t="s">
        <v>255</v>
      </c>
      <c r="C236" s="2">
        <v>45571</v>
      </c>
      <c r="D236" s="2">
        <v>45573</v>
      </c>
      <c r="E236" t="s">
        <v>1524</v>
      </c>
      <c r="F236" t="s">
        <v>1588</v>
      </c>
      <c r="G236" t="s">
        <v>2105</v>
      </c>
      <c r="H236" t="s">
        <v>2314</v>
      </c>
      <c r="I236" t="s">
        <v>2317</v>
      </c>
      <c r="J236" t="s">
        <v>2321</v>
      </c>
      <c r="K236" t="s">
        <v>2321</v>
      </c>
      <c r="L236">
        <v>660027</v>
      </c>
      <c r="M236" t="s">
        <v>2329</v>
      </c>
      <c r="N236" t="s">
        <v>2538</v>
      </c>
      <c r="O236" t="s">
        <v>3053</v>
      </c>
      <c r="P236" t="s">
        <v>3066</v>
      </c>
      <c r="Q236" t="s">
        <v>3278</v>
      </c>
      <c r="R236">
        <v>586.91999999999996</v>
      </c>
      <c r="S236">
        <v>2</v>
      </c>
      <c r="T236">
        <v>0.2</v>
      </c>
      <c r="U236">
        <v>32.89</v>
      </c>
    </row>
    <row r="237" spans="1:21" x14ac:dyDescent="0.3">
      <c r="A237">
        <v>236</v>
      </c>
      <c r="B237" t="s">
        <v>256</v>
      </c>
      <c r="C237" s="2">
        <v>45901</v>
      </c>
      <c r="D237" s="2">
        <v>45904</v>
      </c>
      <c r="E237" t="s">
        <v>1521</v>
      </c>
      <c r="F237" t="s">
        <v>1705</v>
      </c>
      <c r="G237" t="s">
        <v>2106</v>
      </c>
      <c r="H237" t="s">
        <v>2314</v>
      </c>
      <c r="I237" t="s">
        <v>2317</v>
      </c>
      <c r="J237" t="s">
        <v>2318</v>
      </c>
      <c r="K237" t="s">
        <v>2318</v>
      </c>
      <c r="L237">
        <v>440362</v>
      </c>
      <c r="M237" t="s">
        <v>2328</v>
      </c>
      <c r="N237" t="s">
        <v>2539</v>
      </c>
      <c r="O237" t="s">
        <v>3054</v>
      </c>
      <c r="P237" t="s">
        <v>3058</v>
      </c>
      <c r="Q237" t="s">
        <v>3279</v>
      </c>
      <c r="R237">
        <v>96.97</v>
      </c>
      <c r="S237">
        <v>8</v>
      </c>
      <c r="T237">
        <v>0.05</v>
      </c>
      <c r="U237">
        <v>24.61</v>
      </c>
    </row>
    <row r="238" spans="1:21" x14ac:dyDescent="0.3">
      <c r="A238">
        <v>237</v>
      </c>
      <c r="B238" t="s">
        <v>257</v>
      </c>
      <c r="C238" s="2">
        <v>45489</v>
      </c>
      <c r="D238" s="2">
        <v>45491</v>
      </c>
      <c r="E238" t="s">
        <v>1521</v>
      </c>
      <c r="F238" t="s">
        <v>1607</v>
      </c>
      <c r="G238" t="s">
        <v>1973</v>
      </c>
      <c r="H238" t="s">
        <v>2314</v>
      </c>
      <c r="I238" t="s">
        <v>2317</v>
      </c>
      <c r="J238" t="s">
        <v>2319</v>
      </c>
      <c r="K238" t="s">
        <v>2319</v>
      </c>
      <c r="L238">
        <v>628943</v>
      </c>
      <c r="M238" t="s">
        <v>2329</v>
      </c>
      <c r="N238" t="s">
        <v>2540</v>
      </c>
      <c r="O238" t="s">
        <v>3053</v>
      </c>
      <c r="P238" t="s">
        <v>3062</v>
      </c>
      <c r="Q238" t="s">
        <v>3166</v>
      </c>
      <c r="R238">
        <v>226.17</v>
      </c>
      <c r="S238">
        <v>5</v>
      </c>
      <c r="T238">
        <v>0.2</v>
      </c>
      <c r="U238">
        <v>44.69</v>
      </c>
    </row>
    <row r="239" spans="1:21" x14ac:dyDescent="0.3">
      <c r="A239">
        <v>238</v>
      </c>
      <c r="B239" t="s">
        <v>258</v>
      </c>
      <c r="C239" s="2">
        <v>45802</v>
      </c>
      <c r="D239" s="2">
        <v>45804</v>
      </c>
      <c r="E239" t="s">
        <v>1521</v>
      </c>
      <c r="F239" t="s">
        <v>1706</v>
      </c>
      <c r="G239" t="s">
        <v>2107</v>
      </c>
      <c r="H239" t="s">
        <v>2314</v>
      </c>
      <c r="I239" t="s">
        <v>2317</v>
      </c>
      <c r="J239" t="s">
        <v>2318</v>
      </c>
      <c r="K239" t="s">
        <v>2318</v>
      </c>
      <c r="L239">
        <v>580674</v>
      </c>
      <c r="M239" t="s">
        <v>2328</v>
      </c>
      <c r="N239" t="s">
        <v>2541</v>
      </c>
      <c r="O239" t="s">
        <v>3054</v>
      </c>
      <c r="P239" t="s">
        <v>3063</v>
      </c>
      <c r="Q239" t="s">
        <v>3184</v>
      </c>
      <c r="R239">
        <v>40.520000000000003</v>
      </c>
      <c r="S239">
        <v>4</v>
      </c>
      <c r="T239">
        <v>0.1</v>
      </c>
      <c r="U239">
        <v>-15.66</v>
      </c>
    </row>
    <row r="240" spans="1:21" x14ac:dyDescent="0.3">
      <c r="A240">
        <v>239</v>
      </c>
      <c r="B240" t="s">
        <v>259</v>
      </c>
      <c r="C240" s="2">
        <v>45435</v>
      </c>
      <c r="D240" s="2">
        <v>45439</v>
      </c>
      <c r="E240" t="s">
        <v>1521</v>
      </c>
      <c r="F240" t="s">
        <v>1707</v>
      </c>
      <c r="G240" t="s">
        <v>2108</v>
      </c>
      <c r="H240" t="s">
        <v>2315</v>
      </c>
      <c r="I240" t="s">
        <v>2317</v>
      </c>
      <c r="J240" t="s">
        <v>2324</v>
      </c>
      <c r="K240" t="s">
        <v>2324</v>
      </c>
      <c r="L240">
        <v>405218</v>
      </c>
      <c r="M240" t="s">
        <v>2330</v>
      </c>
      <c r="N240" t="s">
        <v>2542</v>
      </c>
      <c r="O240" t="s">
        <v>3053</v>
      </c>
      <c r="P240" t="s">
        <v>3056</v>
      </c>
      <c r="Q240" t="s">
        <v>3280</v>
      </c>
      <c r="R240">
        <v>242.05</v>
      </c>
      <c r="S240">
        <v>2</v>
      </c>
      <c r="T240">
        <v>0</v>
      </c>
      <c r="U240">
        <v>13.57</v>
      </c>
    </row>
    <row r="241" spans="1:21" x14ac:dyDescent="0.3">
      <c r="A241">
        <v>240</v>
      </c>
      <c r="B241" t="s">
        <v>260</v>
      </c>
      <c r="C241" s="2">
        <v>45900</v>
      </c>
      <c r="D241" s="2">
        <v>45902</v>
      </c>
      <c r="E241" t="s">
        <v>1523</v>
      </c>
      <c r="F241" t="s">
        <v>1708</v>
      </c>
      <c r="G241" t="s">
        <v>2109</v>
      </c>
      <c r="H241" t="s">
        <v>2316</v>
      </c>
      <c r="I241" t="s">
        <v>2317</v>
      </c>
      <c r="J241" t="s">
        <v>2324</v>
      </c>
      <c r="K241" t="s">
        <v>2324</v>
      </c>
      <c r="L241">
        <v>404543</v>
      </c>
      <c r="M241" t="s">
        <v>2330</v>
      </c>
      <c r="N241" t="s">
        <v>2483</v>
      </c>
      <c r="O241" t="s">
        <v>3054</v>
      </c>
      <c r="P241" t="s">
        <v>3057</v>
      </c>
      <c r="Q241" t="s">
        <v>3186</v>
      </c>
      <c r="R241">
        <v>140.69999999999999</v>
      </c>
      <c r="S241">
        <v>2</v>
      </c>
      <c r="T241">
        <v>0.05</v>
      </c>
      <c r="U241">
        <v>-20.63</v>
      </c>
    </row>
    <row r="242" spans="1:21" x14ac:dyDescent="0.3">
      <c r="A242">
        <v>241</v>
      </c>
      <c r="B242" t="s">
        <v>261</v>
      </c>
      <c r="C242" s="2">
        <v>45492</v>
      </c>
      <c r="D242" s="2">
        <v>45496</v>
      </c>
      <c r="E242" t="s">
        <v>1521</v>
      </c>
      <c r="F242" t="s">
        <v>1581</v>
      </c>
      <c r="G242" t="s">
        <v>2051</v>
      </c>
      <c r="H242" t="s">
        <v>2315</v>
      </c>
      <c r="I242" t="s">
        <v>2317</v>
      </c>
      <c r="J242" t="s">
        <v>2322</v>
      </c>
      <c r="K242" t="s">
        <v>2322</v>
      </c>
      <c r="L242">
        <v>631661</v>
      </c>
      <c r="M242" t="s">
        <v>2331</v>
      </c>
      <c r="N242" t="s">
        <v>2543</v>
      </c>
      <c r="O242" t="s">
        <v>3055</v>
      </c>
      <c r="P242" t="s">
        <v>3059</v>
      </c>
      <c r="Q242" t="s">
        <v>3132</v>
      </c>
      <c r="R242">
        <v>362.39</v>
      </c>
      <c r="S242">
        <v>2</v>
      </c>
      <c r="T242">
        <v>0.1</v>
      </c>
      <c r="U242">
        <v>62.34</v>
      </c>
    </row>
    <row r="243" spans="1:21" x14ac:dyDescent="0.3">
      <c r="A243">
        <v>242</v>
      </c>
      <c r="B243" t="s">
        <v>262</v>
      </c>
      <c r="C243" s="2">
        <v>45415</v>
      </c>
      <c r="D243" s="2">
        <v>45418</v>
      </c>
      <c r="E243" t="s">
        <v>1522</v>
      </c>
      <c r="F243" t="s">
        <v>1532</v>
      </c>
      <c r="G243" t="s">
        <v>2027</v>
      </c>
      <c r="H243" t="s">
        <v>2315</v>
      </c>
      <c r="I243" t="s">
        <v>2317</v>
      </c>
      <c r="J243" t="s">
        <v>2319</v>
      </c>
      <c r="K243" t="s">
        <v>2319</v>
      </c>
      <c r="L243">
        <v>851943</v>
      </c>
      <c r="M243" t="s">
        <v>2329</v>
      </c>
      <c r="N243" t="s">
        <v>2479</v>
      </c>
      <c r="O243" t="s">
        <v>3055</v>
      </c>
      <c r="P243" t="s">
        <v>3067</v>
      </c>
      <c r="Q243" t="s">
        <v>3281</v>
      </c>
      <c r="R243">
        <v>175.25</v>
      </c>
      <c r="S243">
        <v>8</v>
      </c>
      <c r="T243">
        <v>0.1</v>
      </c>
      <c r="U243">
        <v>18.16</v>
      </c>
    </row>
    <row r="244" spans="1:21" x14ac:dyDescent="0.3">
      <c r="A244">
        <v>243</v>
      </c>
      <c r="B244" t="s">
        <v>263</v>
      </c>
      <c r="C244" s="2">
        <v>45478</v>
      </c>
      <c r="D244" s="2">
        <v>45482</v>
      </c>
      <c r="E244" t="s">
        <v>1524</v>
      </c>
      <c r="F244" t="s">
        <v>1685</v>
      </c>
      <c r="G244" t="s">
        <v>2110</v>
      </c>
      <c r="H244" t="s">
        <v>2315</v>
      </c>
      <c r="I244" t="s">
        <v>2317</v>
      </c>
      <c r="J244" t="s">
        <v>2323</v>
      </c>
      <c r="K244" t="s">
        <v>2323</v>
      </c>
      <c r="L244">
        <v>505123</v>
      </c>
      <c r="M244" t="s">
        <v>2328</v>
      </c>
      <c r="N244" t="s">
        <v>2544</v>
      </c>
      <c r="O244" t="s">
        <v>3054</v>
      </c>
      <c r="P244" t="s">
        <v>3058</v>
      </c>
      <c r="Q244" t="s">
        <v>3282</v>
      </c>
      <c r="R244">
        <v>53.96</v>
      </c>
      <c r="S244">
        <v>9</v>
      </c>
      <c r="T244">
        <v>0.1</v>
      </c>
      <c r="U244">
        <v>37.450000000000003</v>
      </c>
    </row>
    <row r="245" spans="1:21" x14ac:dyDescent="0.3">
      <c r="A245">
        <v>244</v>
      </c>
      <c r="B245" t="s">
        <v>264</v>
      </c>
      <c r="C245" s="2">
        <v>45617</v>
      </c>
      <c r="D245" s="2">
        <v>45619</v>
      </c>
      <c r="E245" t="s">
        <v>1521</v>
      </c>
      <c r="F245" t="s">
        <v>1709</v>
      </c>
      <c r="G245" t="s">
        <v>2111</v>
      </c>
      <c r="H245" t="s">
        <v>2314</v>
      </c>
      <c r="I245" t="s">
        <v>2317</v>
      </c>
      <c r="J245" t="s">
        <v>2321</v>
      </c>
      <c r="K245" t="s">
        <v>2321</v>
      </c>
      <c r="L245">
        <v>305671</v>
      </c>
      <c r="M245" t="s">
        <v>2329</v>
      </c>
      <c r="N245" t="s">
        <v>2347</v>
      </c>
      <c r="O245" t="s">
        <v>3055</v>
      </c>
      <c r="P245" t="s">
        <v>3067</v>
      </c>
      <c r="Q245" t="s">
        <v>3228</v>
      </c>
      <c r="R245">
        <v>599.17999999999995</v>
      </c>
      <c r="S245">
        <v>9</v>
      </c>
      <c r="T245">
        <v>0.15</v>
      </c>
      <c r="U245">
        <v>50.39</v>
      </c>
    </row>
    <row r="246" spans="1:21" x14ac:dyDescent="0.3">
      <c r="A246">
        <v>245</v>
      </c>
      <c r="B246" t="s">
        <v>265</v>
      </c>
      <c r="C246" s="2">
        <v>45755</v>
      </c>
      <c r="D246" s="2">
        <v>45758</v>
      </c>
      <c r="E246" t="s">
        <v>1523</v>
      </c>
      <c r="F246" t="s">
        <v>1543</v>
      </c>
      <c r="G246" t="s">
        <v>2032</v>
      </c>
      <c r="H246" t="s">
        <v>2316</v>
      </c>
      <c r="I246" t="s">
        <v>2317</v>
      </c>
      <c r="J246" t="s">
        <v>2326</v>
      </c>
      <c r="K246" t="s">
        <v>2326</v>
      </c>
      <c r="L246">
        <v>704019</v>
      </c>
      <c r="M246" t="s">
        <v>2331</v>
      </c>
      <c r="N246" t="s">
        <v>2545</v>
      </c>
      <c r="O246" t="s">
        <v>3055</v>
      </c>
      <c r="P246" t="s">
        <v>3061</v>
      </c>
      <c r="Q246" t="s">
        <v>3283</v>
      </c>
      <c r="R246">
        <v>1032.1099999999999</v>
      </c>
      <c r="S246">
        <v>7</v>
      </c>
      <c r="T246">
        <v>0.2</v>
      </c>
      <c r="U246">
        <v>59.24</v>
      </c>
    </row>
    <row r="247" spans="1:21" x14ac:dyDescent="0.3">
      <c r="A247">
        <v>246</v>
      </c>
      <c r="B247" t="s">
        <v>266</v>
      </c>
      <c r="C247" s="2">
        <v>45640</v>
      </c>
      <c r="D247" s="2">
        <v>45643</v>
      </c>
      <c r="E247" t="s">
        <v>1524</v>
      </c>
      <c r="F247" t="s">
        <v>1710</v>
      </c>
      <c r="G247" t="s">
        <v>2094</v>
      </c>
      <c r="H247" t="s">
        <v>2316</v>
      </c>
      <c r="I247" t="s">
        <v>2317</v>
      </c>
      <c r="J247" t="s">
        <v>2319</v>
      </c>
      <c r="K247" t="s">
        <v>2319</v>
      </c>
      <c r="L247">
        <v>167194</v>
      </c>
      <c r="M247" t="s">
        <v>2329</v>
      </c>
      <c r="N247" t="s">
        <v>2546</v>
      </c>
      <c r="O247" t="s">
        <v>3053</v>
      </c>
      <c r="P247" t="s">
        <v>3062</v>
      </c>
      <c r="Q247" t="s">
        <v>3284</v>
      </c>
      <c r="R247">
        <v>158.74</v>
      </c>
      <c r="S247">
        <v>7</v>
      </c>
      <c r="T247">
        <v>0</v>
      </c>
      <c r="U247">
        <v>-7.72</v>
      </c>
    </row>
    <row r="248" spans="1:21" x14ac:dyDescent="0.3">
      <c r="A248">
        <v>247</v>
      </c>
      <c r="B248" t="s">
        <v>267</v>
      </c>
      <c r="C248" s="2">
        <v>45951</v>
      </c>
      <c r="D248" s="2">
        <v>45955</v>
      </c>
      <c r="E248" t="s">
        <v>1521</v>
      </c>
      <c r="F248" t="s">
        <v>1711</v>
      </c>
      <c r="G248" t="s">
        <v>2079</v>
      </c>
      <c r="H248" t="s">
        <v>2315</v>
      </c>
      <c r="I248" t="s">
        <v>2317</v>
      </c>
      <c r="J248" t="s">
        <v>2326</v>
      </c>
      <c r="K248" t="s">
        <v>2326</v>
      </c>
      <c r="L248">
        <v>996618</v>
      </c>
      <c r="M248" t="s">
        <v>2331</v>
      </c>
      <c r="N248" t="s">
        <v>2387</v>
      </c>
      <c r="O248" t="s">
        <v>3055</v>
      </c>
      <c r="P248" t="s">
        <v>3067</v>
      </c>
      <c r="Q248" t="s">
        <v>3161</v>
      </c>
      <c r="R248">
        <v>310.57</v>
      </c>
      <c r="S248">
        <v>3</v>
      </c>
      <c r="T248">
        <v>0.4</v>
      </c>
      <c r="U248">
        <v>-13.93</v>
      </c>
    </row>
    <row r="249" spans="1:21" x14ac:dyDescent="0.3">
      <c r="A249">
        <v>248</v>
      </c>
      <c r="B249" t="s">
        <v>268</v>
      </c>
      <c r="C249" s="2">
        <v>45694</v>
      </c>
      <c r="D249" s="2">
        <v>45696</v>
      </c>
      <c r="E249" t="s">
        <v>1523</v>
      </c>
      <c r="F249" t="s">
        <v>1650</v>
      </c>
      <c r="G249" t="s">
        <v>2112</v>
      </c>
      <c r="H249" t="s">
        <v>2315</v>
      </c>
      <c r="I249" t="s">
        <v>2317</v>
      </c>
      <c r="J249" t="s">
        <v>2319</v>
      </c>
      <c r="K249" t="s">
        <v>2319</v>
      </c>
      <c r="L249">
        <v>609163</v>
      </c>
      <c r="M249" t="s">
        <v>2329</v>
      </c>
      <c r="N249" t="s">
        <v>2547</v>
      </c>
      <c r="O249" t="s">
        <v>3055</v>
      </c>
      <c r="P249" t="s">
        <v>3067</v>
      </c>
      <c r="Q249" t="s">
        <v>3285</v>
      </c>
      <c r="R249">
        <v>1467.81</v>
      </c>
      <c r="S249">
        <v>2</v>
      </c>
      <c r="T249">
        <v>0.2</v>
      </c>
      <c r="U249">
        <v>103.37</v>
      </c>
    </row>
    <row r="250" spans="1:21" x14ac:dyDescent="0.3">
      <c r="A250">
        <v>249</v>
      </c>
      <c r="B250" t="s">
        <v>269</v>
      </c>
      <c r="C250" s="2">
        <v>45637</v>
      </c>
      <c r="D250" s="2">
        <v>45642</v>
      </c>
      <c r="E250" t="s">
        <v>1521</v>
      </c>
      <c r="F250" t="s">
        <v>1712</v>
      </c>
      <c r="G250" t="s">
        <v>2098</v>
      </c>
      <c r="H250" t="s">
        <v>2315</v>
      </c>
      <c r="I250" t="s">
        <v>2317</v>
      </c>
      <c r="J250" t="s">
        <v>2319</v>
      </c>
      <c r="K250" t="s">
        <v>2319</v>
      </c>
      <c r="L250">
        <v>386305</v>
      </c>
      <c r="M250" t="s">
        <v>2329</v>
      </c>
      <c r="N250" t="s">
        <v>2548</v>
      </c>
      <c r="O250" t="s">
        <v>3054</v>
      </c>
      <c r="P250" t="s">
        <v>3063</v>
      </c>
      <c r="Q250" t="s">
        <v>3136</v>
      </c>
      <c r="R250">
        <v>44.07</v>
      </c>
      <c r="S250">
        <v>1</v>
      </c>
      <c r="T250">
        <v>0.15</v>
      </c>
      <c r="U250">
        <v>21.04</v>
      </c>
    </row>
    <row r="251" spans="1:21" x14ac:dyDescent="0.3">
      <c r="A251">
        <v>250</v>
      </c>
      <c r="B251" t="s">
        <v>270</v>
      </c>
      <c r="C251" s="2">
        <v>45802</v>
      </c>
      <c r="D251" s="2">
        <v>45807</v>
      </c>
      <c r="E251" t="s">
        <v>1523</v>
      </c>
      <c r="F251" t="s">
        <v>1713</v>
      </c>
      <c r="G251" t="s">
        <v>2113</v>
      </c>
      <c r="H251" t="s">
        <v>2315</v>
      </c>
      <c r="I251" t="s">
        <v>2317</v>
      </c>
      <c r="J251" t="s">
        <v>2318</v>
      </c>
      <c r="K251" t="s">
        <v>2318</v>
      </c>
      <c r="L251">
        <v>682933</v>
      </c>
      <c r="M251" t="s">
        <v>2328</v>
      </c>
      <c r="N251" t="s">
        <v>2549</v>
      </c>
      <c r="O251" t="s">
        <v>3055</v>
      </c>
      <c r="P251" t="s">
        <v>3061</v>
      </c>
      <c r="Q251" t="s">
        <v>3286</v>
      </c>
      <c r="R251">
        <v>323.02999999999997</v>
      </c>
      <c r="S251">
        <v>2</v>
      </c>
      <c r="T251">
        <v>0.3</v>
      </c>
      <c r="U251">
        <v>6.11</v>
      </c>
    </row>
    <row r="252" spans="1:21" x14ac:dyDescent="0.3">
      <c r="A252">
        <v>251</v>
      </c>
      <c r="B252" t="s">
        <v>271</v>
      </c>
      <c r="C252" s="2">
        <v>45438</v>
      </c>
      <c r="D252" s="2">
        <v>45441</v>
      </c>
      <c r="E252" t="s">
        <v>1524</v>
      </c>
      <c r="F252" t="s">
        <v>1569</v>
      </c>
      <c r="G252" t="s">
        <v>1983</v>
      </c>
      <c r="H252" t="s">
        <v>2315</v>
      </c>
      <c r="I252" t="s">
        <v>2317</v>
      </c>
      <c r="J252" t="s">
        <v>2319</v>
      </c>
      <c r="K252" t="s">
        <v>2319</v>
      </c>
      <c r="L252">
        <v>390655</v>
      </c>
      <c r="M252" t="s">
        <v>2329</v>
      </c>
      <c r="N252" t="s">
        <v>2407</v>
      </c>
      <c r="O252" t="s">
        <v>3054</v>
      </c>
      <c r="P252" t="s">
        <v>3063</v>
      </c>
      <c r="Q252" t="s">
        <v>3274</v>
      </c>
      <c r="R252">
        <v>216.09</v>
      </c>
      <c r="S252">
        <v>7</v>
      </c>
      <c r="T252">
        <v>0.1</v>
      </c>
      <c r="U252">
        <v>24.99</v>
      </c>
    </row>
    <row r="253" spans="1:21" x14ac:dyDescent="0.3">
      <c r="A253">
        <v>252</v>
      </c>
      <c r="B253" t="s">
        <v>272</v>
      </c>
      <c r="C253" s="2">
        <v>45439</v>
      </c>
      <c r="D253" s="2">
        <v>45441</v>
      </c>
      <c r="E253" t="s">
        <v>1522</v>
      </c>
      <c r="F253" t="s">
        <v>1689</v>
      </c>
      <c r="G253" t="s">
        <v>2031</v>
      </c>
      <c r="H253" t="s">
        <v>2316</v>
      </c>
      <c r="I253" t="s">
        <v>2317</v>
      </c>
      <c r="J253" t="s">
        <v>2322</v>
      </c>
      <c r="K253" t="s">
        <v>2322</v>
      </c>
      <c r="L253">
        <v>111017</v>
      </c>
      <c r="M253" t="s">
        <v>2331</v>
      </c>
      <c r="N253" t="s">
        <v>2550</v>
      </c>
      <c r="O253" t="s">
        <v>3054</v>
      </c>
      <c r="P253" t="s">
        <v>3057</v>
      </c>
      <c r="Q253" t="s">
        <v>3287</v>
      </c>
      <c r="R253">
        <v>44.11</v>
      </c>
      <c r="S253">
        <v>4</v>
      </c>
      <c r="T253">
        <v>0.1</v>
      </c>
      <c r="U253">
        <v>34</v>
      </c>
    </row>
    <row r="254" spans="1:21" x14ac:dyDescent="0.3">
      <c r="A254">
        <v>253</v>
      </c>
      <c r="B254" t="s">
        <v>273</v>
      </c>
      <c r="C254" s="2">
        <v>46002</v>
      </c>
      <c r="D254" s="2">
        <v>46007</v>
      </c>
      <c r="E254" t="s">
        <v>1524</v>
      </c>
      <c r="F254" t="s">
        <v>1714</v>
      </c>
      <c r="G254" t="s">
        <v>2023</v>
      </c>
      <c r="H254" t="s">
        <v>2315</v>
      </c>
      <c r="I254" t="s">
        <v>2317</v>
      </c>
      <c r="J254" t="s">
        <v>2323</v>
      </c>
      <c r="K254" t="s">
        <v>2323</v>
      </c>
      <c r="L254">
        <v>878928</v>
      </c>
      <c r="M254" t="s">
        <v>2328</v>
      </c>
      <c r="N254" t="s">
        <v>2402</v>
      </c>
      <c r="O254" t="s">
        <v>3054</v>
      </c>
      <c r="P254" t="s">
        <v>3057</v>
      </c>
      <c r="Q254" t="s">
        <v>3288</v>
      </c>
      <c r="R254">
        <v>51.8</v>
      </c>
      <c r="S254">
        <v>4</v>
      </c>
      <c r="T254">
        <v>0.05</v>
      </c>
      <c r="U254">
        <v>2.2799999999999998</v>
      </c>
    </row>
    <row r="255" spans="1:21" x14ac:dyDescent="0.3">
      <c r="A255">
        <v>254</v>
      </c>
      <c r="B255" t="s">
        <v>274</v>
      </c>
      <c r="C255" s="2">
        <v>45780</v>
      </c>
      <c r="D255" s="2">
        <v>45782</v>
      </c>
      <c r="E255" t="s">
        <v>1522</v>
      </c>
      <c r="F255" t="s">
        <v>1617</v>
      </c>
      <c r="G255" t="s">
        <v>1976</v>
      </c>
      <c r="H255" t="s">
        <v>2316</v>
      </c>
      <c r="I255" t="s">
        <v>2317</v>
      </c>
      <c r="J255" t="s">
        <v>2324</v>
      </c>
      <c r="K255" t="s">
        <v>2324</v>
      </c>
      <c r="L255">
        <v>731581</v>
      </c>
      <c r="M255" t="s">
        <v>2330</v>
      </c>
      <c r="N255" t="s">
        <v>2551</v>
      </c>
      <c r="O255" t="s">
        <v>3055</v>
      </c>
      <c r="P255" t="s">
        <v>3061</v>
      </c>
      <c r="Q255" t="s">
        <v>3289</v>
      </c>
      <c r="R255">
        <v>246.58</v>
      </c>
      <c r="S255">
        <v>6</v>
      </c>
      <c r="T255">
        <v>0</v>
      </c>
      <c r="U255">
        <v>-0.49</v>
      </c>
    </row>
    <row r="256" spans="1:21" x14ac:dyDescent="0.3">
      <c r="A256">
        <v>255</v>
      </c>
      <c r="B256" t="s">
        <v>275</v>
      </c>
      <c r="C256" s="2">
        <v>45931</v>
      </c>
      <c r="D256" s="2">
        <v>45932</v>
      </c>
      <c r="E256" t="s">
        <v>1521</v>
      </c>
      <c r="F256" t="s">
        <v>1715</v>
      </c>
      <c r="G256" t="s">
        <v>2114</v>
      </c>
      <c r="H256" t="s">
        <v>2315</v>
      </c>
      <c r="I256" t="s">
        <v>2317</v>
      </c>
      <c r="J256" t="s">
        <v>2325</v>
      </c>
      <c r="K256" t="s">
        <v>2325</v>
      </c>
      <c r="L256">
        <v>187132</v>
      </c>
      <c r="M256" t="s">
        <v>2332</v>
      </c>
      <c r="N256" t="s">
        <v>2552</v>
      </c>
      <c r="O256" t="s">
        <v>3054</v>
      </c>
      <c r="P256" t="s">
        <v>3057</v>
      </c>
      <c r="Q256" t="s">
        <v>3290</v>
      </c>
      <c r="R256">
        <v>158.15</v>
      </c>
      <c r="S256">
        <v>4</v>
      </c>
      <c r="T256">
        <v>0.1</v>
      </c>
      <c r="U256">
        <v>31.96</v>
      </c>
    </row>
    <row r="257" spans="1:21" x14ac:dyDescent="0.3">
      <c r="A257">
        <v>256</v>
      </c>
      <c r="B257" t="s">
        <v>276</v>
      </c>
      <c r="C257" s="2">
        <v>45842</v>
      </c>
      <c r="D257" s="2">
        <v>45847</v>
      </c>
      <c r="E257" t="s">
        <v>1521</v>
      </c>
      <c r="F257" t="s">
        <v>1676</v>
      </c>
      <c r="G257" t="s">
        <v>2115</v>
      </c>
      <c r="H257" t="s">
        <v>2316</v>
      </c>
      <c r="I257" t="s">
        <v>2317</v>
      </c>
      <c r="J257" t="s">
        <v>2326</v>
      </c>
      <c r="K257" t="s">
        <v>2326</v>
      </c>
      <c r="L257">
        <v>741687</v>
      </c>
      <c r="M257" t="s">
        <v>2331</v>
      </c>
      <c r="N257" t="s">
        <v>2469</v>
      </c>
      <c r="O257" t="s">
        <v>3053</v>
      </c>
      <c r="P257" t="s">
        <v>3062</v>
      </c>
      <c r="Q257" t="s">
        <v>3291</v>
      </c>
      <c r="R257">
        <v>182.49</v>
      </c>
      <c r="S257">
        <v>7</v>
      </c>
      <c r="T257">
        <v>0.15</v>
      </c>
      <c r="U257">
        <v>42.29</v>
      </c>
    </row>
    <row r="258" spans="1:21" x14ac:dyDescent="0.3">
      <c r="A258">
        <v>257</v>
      </c>
      <c r="B258" t="s">
        <v>277</v>
      </c>
      <c r="C258" s="2">
        <v>45629</v>
      </c>
      <c r="D258" s="2">
        <v>45632</v>
      </c>
      <c r="E258" t="s">
        <v>1523</v>
      </c>
      <c r="F258" t="s">
        <v>1716</v>
      </c>
      <c r="G258" t="s">
        <v>2028</v>
      </c>
      <c r="H258" t="s">
        <v>2316</v>
      </c>
      <c r="I258" t="s">
        <v>2317</v>
      </c>
      <c r="J258" t="s">
        <v>2324</v>
      </c>
      <c r="K258" t="s">
        <v>2324</v>
      </c>
      <c r="L258">
        <v>375478</v>
      </c>
      <c r="M258" t="s">
        <v>2330</v>
      </c>
      <c r="N258" t="s">
        <v>2553</v>
      </c>
      <c r="O258" t="s">
        <v>3054</v>
      </c>
      <c r="P258" t="s">
        <v>3064</v>
      </c>
      <c r="Q258" t="s">
        <v>3292</v>
      </c>
      <c r="R258">
        <v>24.41</v>
      </c>
      <c r="S258">
        <v>2</v>
      </c>
      <c r="T258">
        <v>0.05</v>
      </c>
      <c r="U258">
        <v>29.91</v>
      </c>
    </row>
    <row r="259" spans="1:21" x14ac:dyDescent="0.3">
      <c r="A259">
        <v>258</v>
      </c>
      <c r="B259" t="s">
        <v>278</v>
      </c>
      <c r="C259" s="2">
        <v>45932</v>
      </c>
      <c r="D259" s="2">
        <v>45933</v>
      </c>
      <c r="E259" t="s">
        <v>1524</v>
      </c>
      <c r="F259" t="s">
        <v>1655</v>
      </c>
      <c r="G259" t="s">
        <v>2010</v>
      </c>
      <c r="H259" t="s">
        <v>2315</v>
      </c>
      <c r="I259" t="s">
        <v>2317</v>
      </c>
      <c r="J259" t="s">
        <v>2325</v>
      </c>
      <c r="K259" t="s">
        <v>2325</v>
      </c>
      <c r="L259">
        <v>334975</v>
      </c>
      <c r="M259" t="s">
        <v>2332</v>
      </c>
      <c r="N259" t="s">
        <v>2554</v>
      </c>
      <c r="O259" t="s">
        <v>3054</v>
      </c>
      <c r="P259" t="s">
        <v>3058</v>
      </c>
      <c r="Q259" t="s">
        <v>3293</v>
      </c>
      <c r="R259">
        <v>93.05</v>
      </c>
      <c r="S259">
        <v>9</v>
      </c>
      <c r="T259">
        <v>0.15</v>
      </c>
      <c r="U259">
        <v>31.61</v>
      </c>
    </row>
    <row r="260" spans="1:21" x14ac:dyDescent="0.3">
      <c r="A260">
        <v>259</v>
      </c>
      <c r="B260" t="s">
        <v>279</v>
      </c>
      <c r="C260" s="2">
        <v>45764</v>
      </c>
      <c r="D260" s="2">
        <v>45767</v>
      </c>
      <c r="E260" t="s">
        <v>1524</v>
      </c>
      <c r="F260" t="s">
        <v>1717</v>
      </c>
      <c r="G260" t="s">
        <v>2116</v>
      </c>
      <c r="H260" t="s">
        <v>2315</v>
      </c>
      <c r="I260" t="s">
        <v>2317</v>
      </c>
      <c r="J260" t="s">
        <v>2323</v>
      </c>
      <c r="K260" t="s">
        <v>2323</v>
      </c>
      <c r="L260">
        <v>443243</v>
      </c>
      <c r="M260" t="s">
        <v>2328</v>
      </c>
      <c r="N260" t="s">
        <v>2555</v>
      </c>
      <c r="O260" t="s">
        <v>3054</v>
      </c>
      <c r="P260" t="s">
        <v>3057</v>
      </c>
      <c r="Q260" t="s">
        <v>3074</v>
      </c>
      <c r="R260">
        <v>110.66</v>
      </c>
      <c r="S260">
        <v>7</v>
      </c>
      <c r="T260">
        <v>0</v>
      </c>
      <c r="U260">
        <v>-22.39</v>
      </c>
    </row>
    <row r="261" spans="1:21" x14ac:dyDescent="0.3">
      <c r="A261">
        <v>260</v>
      </c>
      <c r="B261" t="s">
        <v>280</v>
      </c>
      <c r="C261" s="2">
        <v>45442</v>
      </c>
      <c r="D261" s="2">
        <v>45447</v>
      </c>
      <c r="E261" t="s">
        <v>1522</v>
      </c>
      <c r="F261" t="s">
        <v>1718</v>
      </c>
      <c r="G261" t="s">
        <v>2117</v>
      </c>
      <c r="H261" t="s">
        <v>2316</v>
      </c>
      <c r="I261" t="s">
        <v>2317</v>
      </c>
      <c r="J261" t="s">
        <v>2323</v>
      </c>
      <c r="K261" t="s">
        <v>2323</v>
      </c>
      <c r="L261">
        <v>871279</v>
      </c>
      <c r="M261" t="s">
        <v>2328</v>
      </c>
      <c r="N261" t="s">
        <v>2556</v>
      </c>
      <c r="O261" t="s">
        <v>3053</v>
      </c>
      <c r="P261" t="s">
        <v>3066</v>
      </c>
      <c r="Q261" t="s">
        <v>3294</v>
      </c>
      <c r="R261">
        <v>456.16</v>
      </c>
      <c r="S261">
        <v>8</v>
      </c>
      <c r="T261">
        <v>0.2</v>
      </c>
      <c r="U261">
        <v>-4.67</v>
      </c>
    </row>
    <row r="262" spans="1:21" x14ac:dyDescent="0.3">
      <c r="A262">
        <v>261</v>
      </c>
      <c r="B262" t="s">
        <v>281</v>
      </c>
      <c r="C262" s="2">
        <v>45706</v>
      </c>
      <c r="D262" s="2">
        <v>45709</v>
      </c>
      <c r="E262" t="s">
        <v>1523</v>
      </c>
      <c r="F262" t="s">
        <v>1665</v>
      </c>
      <c r="G262" t="s">
        <v>2073</v>
      </c>
      <c r="H262" t="s">
        <v>2314</v>
      </c>
      <c r="I262" t="s">
        <v>2317</v>
      </c>
      <c r="J262" t="s">
        <v>2326</v>
      </c>
      <c r="K262" t="s">
        <v>2326</v>
      </c>
      <c r="L262">
        <v>872783</v>
      </c>
      <c r="M262" t="s">
        <v>2331</v>
      </c>
      <c r="N262" t="s">
        <v>2542</v>
      </c>
      <c r="O262" t="s">
        <v>3054</v>
      </c>
      <c r="P262" t="s">
        <v>3064</v>
      </c>
      <c r="Q262" t="s">
        <v>3295</v>
      </c>
      <c r="R262">
        <v>126.86</v>
      </c>
      <c r="S262">
        <v>6</v>
      </c>
      <c r="T262">
        <v>0</v>
      </c>
      <c r="U262">
        <v>23.32</v>
      </c>
    </row>
    <row r="263" spans="1:21" x14ac:dyDescent="0.3">
      <c r="A263">
        <v>262</v>
      </c>
      <c r="B263" t="s">
        <v>282</v>
      </c>
      <c r="C263" s="2">
        <v>45589</v>
      </c>
      <c r="D263" s="2">
        <v>45592</v>
      </c>
      <c r="E263" t="s">
        <v>1524</v>
      </c>
      <c r="F263" t="s">
        <v>1641</v>
      </c>
      <c r="G263" t="s">
        <v>2088</v>
      </c>
      <c r="H263" t="s">
        <v>2315</v>
      </c>
      <c r="I263" t="s">
        <v>2317</v>
      </c>
      <c r="J263" t="s">
        <v>2326</v>
      </c>
      <c r="K263" t="s">
        <v>2326</v>
      </c>
      <c r="L263">
        <v>623512</v>
      </c>
      <c r="M263" t="s">
        <v>2331</v>
      </c>
      <c r="N263" t="s">
        <v>2557</v>
      </c>
      <c r="O263" t="s">
        <v>3053</v>
      </c>
      <c r="P263" t="s">
        <v>3065</v>
      </c>
      <c r="Q263" t="s">
        <v>3296</v>
      </c>
      <c r="R263">
        <v>224.54</v>
      </c>
      <c r="S263">
        <v>7</v>
      </c>
      <c r="T263">
        <v>0.4</v>
      </c>
      <c r="U263">
        <v>15.49</v>
      </c>
    </row>
    <row r="264" spans="1:21" x14ac:dyDescent="0.3">
      <c r="A264">
        <v>263</v>
      </c>
      <c r="B264" t="s">
        <v>283</v>
      </c>
      <c r="C264" s="2">
        <v>45902</v>
      </c>
      <c r="D264" s="2">
        <v>45906</v>
      </c>
      <c r="E264" t="s">
        <v>1521</v>
      </c>
      <c r="F264" t="s">
        <v>1719</v>
      </c>
      <c r="G264" t="s">
        <v>2107</v>
      </c>
      <c r="H264" t="s">
        <v>2316</v>
      </c>
      <c r="I264" t="s">
        <v>2317</v>
      </c>
      <c r="J264" t="s">
        <v>2323</v>
      </c>
      <c r="K264" t="s">
        <v>2323</v>
      </c>
      <c r="L264">
        <v>919781</v>
      </c>
      <c r="M264" t="s">
        <v>2328</v>
      </c>
      <c r="N264" t="s">
        <v>2558</v>
      </c>
      <c r="O264" t="s">
        <v>3054</v>
      </c>
      <c r="P264" t="s">
        <v>3064</v>
      </c>
      <c r="Q264" t="s">
        <v>3297</v>
      </c>
      <c r="R264">
        <v>78.069999999999993</v>
      </c>
      <c r="S264">
        <v>8</v>
      </c>
      <c r="T264">
        <v>0.05</v>
      </c>
      <c r="U264">
        <v>49.44</v>
      </c>
    </row>
    <row r="265" spans="1:21" x14ac:dyDescent="0.3">
      <c r="A265">
        <v>264</v>
      </c>
      <c r="B265" t="s">
        <v>284</v>
      </c>
      <c r="C265" s="2">
        <v>45554</v>
      </c>
      <c r="D265" s="2">
        <v>45557</v>
      </c>
      <c r="E265" t="s">
        <v>1524</v>
      </c>
      <c r="F265" t="s">
        <v>1720</v>
      </c>
      <c r="G265" t="s">
        <v>2118</v>
      </c>
      <c r="H265" t="s">
        <v>2315</v>
      </c>
      <c r="I265" t="s">
        <v>2317</v>
      </c>
      <c r="J265" t="s">
        <v>2325</v>
      </c>
      <c r="K265" t="s">
        <v>2325</v>
      </c>
      <c r="L265">
        <v>241553</v>
      </c>
      <c r="M265" t="s">
        <v>2332</v>
      </c>
      <c r="N265" t="s">
        <v>2559</v>
      </c>
      <c r="O265" t="s">
        <v>3054</v>
      </c>
      <c r="P265" t="s">
        <v>3057</v>
      </c>
      <c r="Q265" t="s">
        <v>3248</v>
      </c>
      <c r="R265">
        <v>148.94999999999999</v>
      </c>
      <c r="S265">
        <v>6</v>
      </c>
      <c r="T265">
        <v>0.4</v>
      </c>
      <c r="U265">
        <v>52.16</v>
      </c>
    </row>
    <row r="266" spans="1:21" x14ac:dyDescent="0.3">
      <c r="A266">
        <v>265</v>
      </c>
      <c r="B266" t="s">
        <v>285</v>
      </c>
      <c r="C266" s="2">
        <v>45435</v>
      </c>
      <c r="D266" s="2">
        <v>45436</v>
      </c>
      <c r="E266" t="s">
        <v>1521</v>
      </c>
      <c r="F266" t="s">
        <v>1525</v>
      </c>
      <c r="G266" t="s">
        <v>2056</v>
      </c>
      <c r="H266" t="s">
        <v>2315</v>
      </c>
      <c r="I266" t="s">
        <v>2317</v>
      </c>
      <c r="J266" t="s">
        <v>2319</v>
      </c>
      <c r="K266" t="s">
        <v>2319</v>
      </c>
      <c r="L266">
        <v>357808</v>
      </c>
      <c r="M266" t="s">
        <v>2329</v>
      </c>
      <c r="N266" t="s">
        <v>2560</v>
      </c>
      <c r="O266" t="s">
        <v>3055</v>
      </c>
      <c r="P266" t="s">
        <v>3061</v>
      </c>
      <c r="Q266" t="s">
        <v>3298</v>
      </c>
      <c r="R266">
        <v>469.55</v>
      </c>
      <c r="S266">
        <v>8</v>
      </c>
      <c r="T266">
        <v>0.1</v>
      </c>
      <c r="U266">
        <v>19.07</v>
      </c>
    </row>
    <row r="267" spans="1:21" x14ac:dyDescent="0.3">
      <c r="A267">
        <v>266</v>
      </c>
      <c r="B267" t="s">
        <v>286</v>
      </c>
      <c r="C267" s="2">
        <v>45637</v>
      </c>
      <c r="D267" s="2">
        <v>45639</v>
      </c>
      <c r="E267" t="s">
        <v>1522</v>
      </c>
      <c r="F267" t="s">
        <v>1721</v>
      </c>
      <c r="G267" t="s">
        <v>2119</v>
      </c>
      <c r="H267" t="s">
        <v>2314</v>
      </c>
      <c r="I267" t="s">
        <v>2317</v>
      </c>
      <c r="J267" t="s">
        <v>2321</v>
      </c>
      <c r="K267" t="s">
        <v>2321</v>
      </c>
      <c r="L267">
        <v>957759</v>
      </c>
      <c r="M267" t="s">
        <v>2329</v>
      </c>
      <c r="N267" t="s">
        <v>2529</v>
      </c>
      <c r="O267" t="s">
        <v>3054</v>
      </c>
      <c r="P267" t="s">
        <v>3058</v>
      </c>
      <c r="Q267" t="s">
        <v>3299</v>
      </c>
      <c r="R267">
        <v>133.81</v>
      </c>
      <c r="S267">
        <v>4</v>
      </c>
      <c r="T267">
        <v>0.1</v>
      </c>
      <c r="U267">
        <v>28.1</v>
      </c>
    </row>
    <row r="268" spans="1:21" x14ac:dyDescent="0.3">
      <c r="A268">
        <v>267</v>
      </c>
      <c r="B268" t="s">
        <v>287</v>
      </c>
      <c r="C268" s="2">
        <v>45915</v>
      </c>
      <c r="D268" s="2">
        <v>45917</v>
      </c>
      <c r="E268" t="s">
        <v>1521</v>
      </c>
      <c r="F268" t="s">
        <v>1711</v>
      </c>
      <c r="G268" t="s">
        <v>2120</v>
      </c>
      <c r="H268" t="s">
        <v>2314</v>
      </c>
      <c r="I268" t="s">
        <v>2317</v>
      </c>
      <c r="J268" t="s">
        <v>2327</v>
      </c>
      <c r="K268" t="s">
        <v>2327</v>
      </c>
      <c r="L268">
        <v>405745</v>
      </c>
      <c r="M268" t="s">
        <v>2330</v>
      </c>
      <c r="N268" t="s">
        <v>2492</v>
      </c>
      <c r="O268" t="s">
        <v>3055</v>
      </c>
      <c r="P268" t="s">
        <v>3061</v>
      </c>
      <c r="Q268" t="s">
        <v>3300</v>
      </c>
      <c r="R268">
        <v>454</v>
      </c>
      <c r="S268">
        <v>9</v>
      </c>
      <c r="T268">
        <v>0.15</v>
      </c>
      <c r="U268">
        <v>40.229999999999997</v>
      </c>
    </row>
    <row r="269" spans="1:21" x14ac:dyDescent="0.3">
      <c r="A269">
        <v>268</v>
      </c>
      <c r="B269" t="s">
        <v>288</v>
      </c>
      <c r="C269" s="2">
        <v>45863</v>
      </c>
      <c r="D269" s="2">
        <v>45867</v>
      </c>
      <c r="E269" t="s">
        <v>1523</v>
      </c>
      <c r="F269" t="s">
        <v>1722</v>
      </c>
      <c r="G269" t="s">
        <v>2121</v>
      </c>
      <c r="H269" t="s">
        <v>2316</v>
      </c>
      <c r="I269" t="s">
        <v>2317</v>
      </c>
      <c r="J269" t="s">
        <v>2324</v>
      </c>
      <c r="K269" t="s">
        <v>2324</v>
      </c>
      <c r="L269">
        <v>521001</v>
      </c>
      <c r="M269" t="s">
        <v>2330</v>
      </c>
      <c r="N269" t="s">
        <v>2500</v>
      </c>
      <c r="O269" t="s">
        <v>3055</v>
      </c>
      <c r="P269" t="s">
        <v>3061</v>
      </c>
      <c r="Q269" t="s">
        <v>3301</v>
      </c>
      <c r="R269">
        <v>282.86</v>
      </c>
      <c r="S269">
        <v>6</v>
      </c>
      <c r="T269">
        <v>0.15</v>
      </c>
      <c r="U269">
        <v>8.2100000000000009</v>
      </c>
    </row>
    <row r="270" spans="1:21" x14ac:dyDescent="0.3">
      <c r="A270">
        <v>269</v>
      </c>
      <c r="B270" t="s">
        <v>289</v>
      </c>
      <c r="C270" s="2">
        <v>45293</v>
      </c>
      <c r="D270" s="2">
        <v>45297</v>
      </c>
      <c r="E270" t="s">
        <v>1521</v>
      </c>
      <c r="F270" t="s">
        <v>1553</v>
      </c>
      <c r="G270" t="s">
        <v>2114</v>
      </c>
      <c r="H270" t="s">
        <v>2314</v>
      </c>
      <c r="I270" t="s">
        <v>2317</v>
      </c>
      <c r="J270" t="s">
        <v>2318</v>
      </c>
      <c r="K270" t="s">
        <v>2318</v>
      </c>
      <c r="L270">
        <v>477721</v>
      </c>
      <c r="M270" t="s">
        <v>2328</v>
      </c>
      <c r="N270" t="s">
        <v>2561</v>
      </c>
      <c r="O270" t="s">
        <v>3055</v>
      </c>
      <c r="P270" t="s">
        <v>3060</v>
      </c>
      <c r="Q270" t="s">
        <v>3259</v>
      </c>
      <c r="R270">
        <v>296.04000000000002</v>
      </c>
      <c r="S270">
        <v>1</v>
      </c>
      <c r="T270">
        <v>0.1</v>
      </c>
      <c r="U270">
        <v>29.34</v>
      </c>
    </row>
    <row r="271" spans="1:21" x14ac:dyDescent="0.3">
      <c r="A271">
        <v>270</v>
      </c>
      <c r="B271" t="s">
        <v>290</v>
      </c>
      <c r="C271" s="2">
        <v>45595</v>
      </c>
      <c r="D271" s="2">
        <v>45599</v>
      </c>
      <c r="E271" t="s">
        <v>1521</v>
      </c>
      <c r="F271" t="s">
        <v>1687</v>
      </c>
      <c r="G271" t="s">
        <v>2122</v>
      </c>
      <c r="H271" t="s">
        <v>2316</v>
      </c>
      <c r="I271" t="s">
        <v>2317</v>
      </c>
      <c r="J271" t="s">
        <v>2324</v>
      </c>
      <c r="K271" t="s">
        <v>2324</v>
      </c>
      <c r="L271">
        <v>322603</v>
      </c>
      <c r="M271" t="s">
        <v>2330</v>
      </c>
      <c r="N271" t="s">
        <v>2562</v>
      </c>
      <c r="O271" t="s">
        <v>3053</v>
      </c>
      <c r="P271" t="s">
        <v>3065</v>
      </c>
      <c r="Q271" t="s">
        <v>3302</v>
      </c>
      <c r="R271">
        <v>322.52</v>
      </c>
      <c r="S271">
        <v>3</v>
      </c>
      <c r="T271">
        <v>0.3</v>
      </c>
      <c r="U271">
        <v>-1.07</v>
      </c>
    </row>
    <row r="272" spans="1:21" x14ac:dyDescent="0.3">
      <c r="A272">
        <v>271</v>
      </c>
      <c r="B272" t="s">
        <v>291</v>
      </c>
      <c r="C272" s="2">
        <v>45545</v>
      </c>
      <c r="D272" s="2">
        <v>45548</v>
      </c>
      <c r="E272" t="s">
        <v>1522</v>
      </c>
      <c r="F272" t="s">
        <v>1562</v>
      </c>
      <c r="G272" t="s">
        <v>2009</v>
      </c>
      <c r="H272" t="s">
        <v>2314</v>
      </c>
      <c r="I272" t="s">
        <v>2317</v>
      </c>
      <c r="J272" t="s">
        <v>2318</v>
      </c>
      <c r="K272" t="s">
        <v>2318</v>
      </c>
      <c r="L272">
        <v>140524</v>
      </c>
      <c r="M272" t="s">
        <v>2328</v>
      </c>
      <c r="N272" t="s">
        <v>2563</v>
      </c>
      <c r="O272" t="s">
        <v>3054</v>
      </c>
      <c r="P272" t="s">
        <v>3058</v>
      </c>
      <c r="Q272" t="s">
        <v>3303</v>
      </c>
      <c r="R272">
        <v>90.23</v>
      </c>
      <c r="S272">
        <v>2</v>
      </c>
      <c r="T272">
        <v>0.2</v>
      </c>
      <c r="U272">
        <v>-29.95</v>
      </c>
    </row>
    <row r="273" spans="1:21" x14ac:dyDescent="0.3">
      <c r="A273">
        <v>272</v>
      </c>
      <c r="B273" t="s">
        <v>292</v>
      </c>
      <c r="C273" s="2">
        <v>45943</v>
      </c>
      <c r="D273" s="2">
        <v>45945</v>
      </c>
      <c r="E273" t="s">
        <v>1524</v>
      </c>
      <c r="F273" t="s">
        <v>1723</v>
      </c>
      <c r="G273" t="s">
        <v>2037</v>
      </c>
      <c r="H273" t="s">
        <v>2314</v>
      </c>
      <c r="I273" t="s">
        <v>2317</v>
      </c>
      <c r="J273" t="s">
        <v>2325</v>
      </c>
      <c r="K273" t="s">
        <v>2325</v>
      </c>
      <c r="L273">
        <v>592134</v>
      </c>
      <c r="M273" t="s">
        <v>2332</v>
      </c>
      <c r="N273" t="s">
        <v>2483</v>
      </c>
      <c r="O273" t="s">
        <v>3055</v>
      </c>
      <c r="P273" t="s">
        <v>3060</v>
      </c>
      <c r="Q273" t="s">
        <v>3304</v>
      </c>
      <c r="R273">
        <v>303.14999999999998</v>
      </c>
      <c r="S273">
        <v>3</v>
      </c>
      <c r="T273">
        <v>0.3</v>
      </c>
      <c r="U273">
        <v>-18.03</v>
      </c>
    </row>
    <row r="274" spans="1:21" x14ac:dyDescent="0.3">
      <c r="A274">
        <v>273</v>
      </c>
      <c r="B274" t="s">
        <v>293</v>
      </c>
      <c r="C274" s="2">
        <v>45744</v>
      </c>
      <c r="D274" s="2">
        <v>45747</v>
      </c>
      <c r="E274" t="s">
        <v>1522</v>
      </c>
      <c r="F274" t="s">
        <v>1724</v>
      </c>
      <c r="G274" t="s">
        <v>2123</v>
      </c>
      <c r="H274" t="s">
        <v>2314</v>
      </c>
      <c r="I274" t="s">
        <v>2317</v>
      </c>
      <c r="J274" t="s">
        <v>2318</v>
      </c>
      <c r="K274" t="s">
        <v>2318</v>
      </c>
      <c r="L274">
        <v>165480</v>
      </c>
      <c r="M274" t="s">
        <v>2328</v>
      </c>
      <c r="N274" t="s">
        <v>2564</v>
      </c>
      <c r="O274" t="s">
        <v>3055</v>
      </c>
      <c r="P274" t="s">
        <v>3061</v>
      </c>
      <c r="Q274" t="s">
        <v>3305</v>
      </c>
      <c r="R274">
        <v>602.70000000000005</v>
      </c>
      <c r="S274">
        <v>7</v>
      </c>
      <c r="T274">
        <v>0.4</v>
      </c>
      <c r="U274">
        <v>0.18</v>
      </c>
    </row>
    <row r="275" spans="1:21" x14ac:dyDescent="0.3">
      <c r="A275">
        <v>274</v>
      </c>
      <c r="B275" t="s">
        <v>294</v>
      </c>
      <c r="C275" s="2">
        <v>45328</v>
      </c>
      <c r="D275" s="2">
        <v>45331</v>
      </c>
      <c r="E275" t="s">
        <v>1522</v>
      </c>
      <c r="F275" t="s">
        <v>1557</v>
      </c>
      <c r="G275" t="s">
        <v>1958</v>
      </c>
      <c r="H275" t="s">
        <v>2316</v>
      </c>
      <c r="I275" t="s">
        <v>2317</v>
      </c>
      <c r="J275" t="s">
        <v>2326</v>
      </c>
      <c r="K275" t="s">
        <v>2326</v>
      </c>
      <c r="L275">
        <v>936659</v>
      </c>
      <c r="M275" t="s">
        <v>2331</v>
      </c>
      <c r="N275" t="s">
        <v>2565</v>
      </c>
      <c r="O275" t="s">
        <v>3054</v>
      </c>
      <c r="P275" t="s">
        <v>3058</v>
      </c>
      <c r="Q275" t="s">
        <v>3282</v>
      </c>
      <c r="R275">
        <v>37.450000000000003</v>
      </c>
      <c r="S275">
        <v>1</v>
      </c>
      <c r="T275">
        <v>0.15</v>
      </c>
      <c r="U275">
        <v>3.88</v>
      </c>
    </row>
    <row r="276" spans="1:21" x14ac:dyDescent="0.3">
      <c r="A276">
        <v>275</v>
      </c>
      <c r="B276" t="s">
        <v>295</v>
      </c>
      <c r="C276" s="2">
        <v>45451</v>
      </c>
      <c r="D276" s="2">
        <v>45453</v>
      </c>
      <c r="E276" t="s">
        <v>1523</v>
      </c>
      <c r="F276" t="s">
        <v>1707</v>
      </c>
      <c r="G276" t="s">
        <v>2124</v>
      </c>
      <c r="H276" t="s">
        <v>2316</v>
      </c>
      <c r="I276" t="s">
        <v>2317</v>
      </c>
      <c r="J276" t="s">
        <v>2321</v>
      </c>
      <c r="K276" t="s">
        <v>2321</v>
      </c>
      <c r="L276">
        <v>464534</v>
      </c>
      <c r="M276" t="s">
        <v>2329</v>
      </c>
      <c r="N276" t="s">
        <v>2566</v>
      </c>
      <c r="O276" t="s">
        <v>3054</v>
      </c>
      <c r="P276" t="s">
        <v>3057</v>
      </c>
      <c r="Q276" t="s">
        <v>3109</v>
      </c>
      <c r="R276">
        <v>41.98</v>
      </c>
      <c r="S276">
        <v>1</v>
      </c>
      <c r="T276">
        <v>0.15</v>
      </c>
      <c r="U276">
        <v>-9.75</v>
      </c>
    </row>
    <row r="277" spans="1:21" x14ac:dyDescent="0.3">
      <c r="A277">
        <v>276</v>
      </c>
      <c r="B277" t="s">
        <v>296</v>
      </c>
      <c r="C277" s="2">
        <v>45300</v>
      </c>
      <c r="D277" s="2">
        <v>45303</v>
      </c>
      <c r="E277" t="s">
        <v>1523</v>
      </c>
      <c r="F277" t="s">
        <v>1681</v>
      </c>
      <c r="G277" t="s">
        <v>1978</v>
      </c>
      <c r="H277" t="s">
        <v>2316</v>
      </c>
      <c r="I277" t="s">
        <v>2317</v>
      </c>
      <c r="J277" t="s">
        <v>2321</v>
      </c>
      <c r="K277" t="s">
        <v>2321</v>
      </c>
      <c r="L277">
        <v>107233</v>
      </c>
      <c r="M277" t="s">
        <v>2329</v>
      </c>
      <c r="N277" t="s">
        <v>2407</v>
      </c>
      <c r="O277" t="s">
        <v>3054</v>
      </c>
      <c r="P277" t="s">
        <v>3058</v>
      </c>
      <c r="Q277" t="s">
        <v>3306</v>
      </c>
      <c r="R277">
        <v>107.88</v>
      </c>
      <c r="S277">
        <v>7</v>
      </c>
      <c r="T277">
        <v>0.1</v>
      </c>
      <c r="U277">
        <v>19.149999999999999</v>
      </c>
    </row>
    <row r="278" spans="1:21" x14ac:dyDescent="0.3">
      <c r="A278">
        <v>277</v>
      </c>
      <c r="B278" t="s">
        <v>297</v>
      </c>
      <c r="C278" s="2">
        <v>45524</v>
      </c>
      <c r="D278" s="2">
        <v>45526</v>
      </c>
      <c r="E278" t="s">
        <v>1522</v>
      </c>
      <c r="F278" t="s">
        <v>1603</v>
      </c>
      <c r="G278" t="s">
        <v>2125</v>
      </c>
      <c r="H278" t="s">
        <v>2315</v>
      </c>
      <c r="I278" t="s">
        <v>2317</v>
      </c>
      <c r="J278" t="s">
        <v>2326</v>
      </c>
      <c r="K278" t="s">
        <v>2326</v>
      </c>
      <c r="L278">
        <v>738103</v>
      </c>
      <c r="M278" t="s">
        <v>2331</v>
      </c>
      <c r="N278" t="s">
        <v>2347</v>
      </c>
      <c r="O278" t="s">
        <v>3054</v>
      </c>
      <c r="P278" t="s">
        <v>3063</v>
      </c>
      <c r="Q278" t="s">
        <v>3307</v>
      </c>
      <c r="R278">
        <v>22.88</v>
      </c>
      <c r="S278">
        <v>2</v>
      </c>
      <c r="T278">
        <v>0.2</v>
      </c>
      <c r="U278">
        <v>-17.12</v>
      </c>
    </row>
    <row r="279" spans="1:21" x14ac:dyDescent="0.3">
      <c r="A279">
        <v>278</v>
      </c>
      <c r="B279" t="s">
        <v>298</v>
      </c>
      <c r="C279" s="2">
        <v>45390</v>
      </c>
      <c r="D279" s="2">
        <v>45395</v>
      </c>
      <c r="E279" t="s">
        <v>1522</v>
      </c>
      <c r="F279" t="s">
        <v>1725</v>
      </c>
      <c r="G279" t="s">
        <v>2018</v>
      </c>
      <c r="H279" t="s">
        <v>2316</v>
      </c>
      <c r="I279" t="s">
        <v>2317</v>
      </c>
      <c r="J279" t="s">
        <v>2322</v>
      </c>
      <c r="K279" t="s">
        <v>2322</v>
      </c>
      <c r="L279">
        <v>968408</v>
      </c>
      <c r="M279" t="s">
        <v>2331</v>
      </c>
      <c r="N279" t="s">
        <v>2368</v>
      </c>
      <c r="O279" t="s">
        <v>3054</v>
      </c>
      <c r="P279" t="s">
        <v>3057</v>
      </c>
      <c r="Q279" t="s">
        <v>3308</v>
      </c>
      <c r="R279">
        <v>54.66</v>
      </c>
      <c r="S279">
        <v>3</v>
      </c>
      <c r="T279">
        <v>0.1</v>
      </c>
      <c r="U279">
        <v>-1.89</v>
      </c>
    </row>
    <row r="280" spans="1:21" x14ac:dyDescent="0.3">
      <c r="A280">
        <v>279</v>
      </c>
      <c r="B280" t="s">
        <v>299</v>
      </c>
      <c r="C280" s="2">
        <v>45950</v>
      </c>
      <c r="D280" s="2">
        <v>45953</v>
      </c>
      <c r="E280" t="s">
        <v>1523</v>
      </c>
      <c r="F280" t="s">
        <v>1726</v>
      </c>
      <c r="G280" t="s">
        <v>2115</v>
      </c>
      <c r="H280" t="s">
        <v>2314</v>
      </c>
      <c r="I280" t="s">
        <v>2317</v>
      </c>
      <c r="J280" t="s">
        <v>2325</v>
      </c>
      <c r="K280" t="s">
        <v>2325</v>
      </c>
      <c r="L280">
        <v>438074</v>
      </c>
      <c r="M280" t="s">
        <v>2332</v>
      </c>
      <c r="N280" t="s">
        <v>2535</v>
      </c>
      <c r="O280" t="s">
        <v>3055</v>
      </c>
      <c r="P280" t="s">
        <v>3067</v>
      </c>
      <c r="Q280" t="s">
        <v>3201</v>
      </c>
      <c r="R280">
        <v>179.67</v>
      </c>
      <c r="S280">
        <v>9</v>
      </c>
      <c r="T280">
        <v>0.05</v>
      </c>
      <c r="U280">
        <v>25.36</v>
      </c>
    </row>
    <row r="281" spans="1:21" x14ac:dyDescent="0.3">
      <c r="A281">
        <v>280</v>
      </c>
      <c r="B281" t="s">
        <v>300</v>
      </c>
      <c r="C281" s="2">
        <v>45499</v>
      </c>
      <c r="D281" s="2">
        <v>45502</v>
      </c>
      <c r="E281" t="s">
        <v>1521</v>
      </c>
      <c r="F281" t="s">
        <v>1567</v>
      </c>
      <c r="G281" t="s">
        <v>2042</v>
      </c>
      <c r="H281" t="s">
        <v>2315</v>
      </c>
      <c r="I281" t="s">
        <v>2317</v>
      </c>
      <c r="J281" t="s">
        <v>2322</v>
      </c>
      <c r="K281" t="s">
        <v>2322</v>
      </c>
      <c r="L281">
        <v>599964</v>
      </c>
      <c r="M281" t="s">
        <v>2331</v>
      </c>
      <c r="N281" t="s">
        <v>2522</v>
      </c>
      <c r="O281" t="s">
        <v>3053</v>
      </c>
      <c r="P281" t="s">
        <v>3056</v>
      </c>
      <c r="Q281" t="s">
        <v>3309</v>
      </c>
      <c r="R281">
        <v>265.8</v>
      </c>
      <c r="S281">
        <v>1</v>
      </c>
      <c r="T281">
        <v>0.05</v>
      </c>
      <c r="U281">
        <v>9.25</v>
      </c>
    </row>
    <row r="282" spans="1:21" x14ac:dyDescent="0.3">
      <c r="A282">
        <v>281</v>
      </c>
      <c r="B282" t="s">
        <v>301</v>
      </c>
      <c r="C282" s="2">
        <v>45422</v>
      </c>
      <c r="D282" s="2">
        <v>45426</v>
      </c>
      <c r="E282" t="s">
        <v>1521</v>
      </c>
      <c r="F282" t="s">
        <v>1727</v>
      </c>
      <c r="G282" t="s">
        <v>2126</v>
      </c>
      <c r="H282" t="s">
        <v>2314</v>
      </c>
      <c r="I282" t="s">
        <v>2317</v>
      </c>
      <c r="J282" t="s">
        <v>2322</v>
      </c>
      <c r="K282" t="s">
        <v>2322</v>
      </c>
      <c r="L282">
        <v>547628</v>
      </c>
      <c r="M282" t="s">
        <v>2331</v>
      </c>
      <c r="N282" t="s">
        <v>2567</v>
      </c>
      <c r="O282" t="s">
        <v>3054</v>
      </c>
      <c r="P282" t="s">
        <v>3064</v>
      </c>
      <c r="Q282" t="s">
        <v>3310</v>
      </c>
      <c r="R282">
        <v>60.54</v>
      </c>
      <c r="S282">
        <v>1</v>
      </c>
      <c r="T282">
        <v>0.2</v>
      </c>
      <c r="U282">
        <v>14.63</v>
      </c>
    </row>
    <row r="283" spans="1:21" x14ac:dyDescent="0.3">
      <c r="A283">
        <v>282</v>
      </c>
      <c r="B283" t="s">
        <v>302</v>
      </c>
      <c r="C283" s="2">
        <v>45695</v>
      </c>
      <c r="D283" s="2">
        <v>45697</v>
      </c>
      <c r="E283" t="s">
        <v>1523</v>
      </c>
      <c r="F283" t="s">
        <v>1554</v>
      </c>
      <c r="G283" t="s">
        <v>2088</v>
      </c>
      <c r="H283" t="s">
        <v>2314</v>
      </c>
      <c r="I283" t="s">
        <v>2317</v>
      </c>
      <c r="J283" t="s">
        <v>2324</v>
      </c>
      <c r="K283" t="s">
        <v>2324</v>
      </c>
      <c r="L283">
        <v>912802</v>
      </c>
      <c r="M283" t="s">
        <v>2330</v>
      </c>
      <c r="N283" t="s">
        <v>2568</v>
      </c>
      <c r="O283" t="s">
        <v>3055</v>
      </c>
      <c r="P283" t="s">
        <v>3059</v>
      </c>
      <c r="Q283" t="s">
        <v>3311</v>
      </c>
      <c r="R283">
        <v>543.29</v>
      </c>
      <c r="S283">
        <v>8</v>
      </c>
      <c r="T283">
        <v>0.15</v>
      </c>
      <c r="U283">
        <v>35.369999999999997</v>
      </c>
    </row>
    <row r="284" spans="1:21" x14ac:dyDescent="0.3">
      <c r="A284">
        <v>283</v>
      </c>
      <c r="B284" t="s">
        <v>303</v>
      </c>
      <c r="C284" s="2">
        <v>45443</v>
      </c>
      <c r="D284" s="2">
        <v>45447</v>
      </c>
      <c r="E284" t="s">
        <v>1521</v>
      </c>
      <c r="F284" t="s">
        <v>1728</v>
      </c>
      <c r="G284" t="s">
        <v>2098</v>
      </c>
      <c r="H284" t="s">
        <v>2315</v>
      </c>
      <c r="I284" t="s">
        <v>2317</v>
      </c>
      <c r="J284" t="s">
        <v>2323</v>
      </c>
      <c r="K284" t="s">
        <v>2323</v>
      </c>
      <c r="L284">
        <v>242321</v>
      </c>
      <c r="M284" t="s">
        <v>2328</v>
      </c>
      <c r="N284" t="s">
        <v>2569</v>
      </c>
      <c r="O284" t="s">
        <v>3054</v>
      </c>
      <c r="P284" t="s">
        <v>3064</v>
      </c>
      <c r="Q284" t="s">
        <v>3312</v>
      </c>
      <c r="R284">
        <v>79.72</v>
      </c>
      <c r="S284">
        <v>3</v>
      </c>
      <c r="T284">
        <v>0.1</v>
      </c>
      <c r="U284">
        <v>-12.38</v>
      </c>
    </row>
    <row r="285" spans="1:21" x14ac:dyDescent="0.3">
      <c r="A285">
        <v>284</v>
      </c>
      <c r="B285" t="s">
        <v>304</v>
      </c>
      <c r="C285" s="2">
        <v>45345</v>
      </c>
      <c r="D285" s="2">
        <v>45348</v>
      </c>
      <c r="E285" t="s">
        <v>1521</v>
      </c>
      <c r="F285" t="s">
        <v>1553</v>
      </c>
      <c r="G285" t="s">
        <v>1937</v>
      </c>
      <c r="H285" t="s">
        <v>2315</v>
      </c>
      <c r="I285" t="s">
        <v>2317</v>
      </c>
      <c r="J285" t="s">
        <v>2324</v>
      </c>
      <c r="K285" t="s">
        <v>2324</v>
      </c>
      <c r="L285">
        <v>818980</v>
      </c>
      <c r="M285" t="s">
        <v>2330</v>
      </c>
      <c r="N285" t="s">
        <v>2570</v>
      </c>
      <c r="O285" t="s">
        <v>3055</v>
      </c>
      <c r="P285" t="s">
        <v>3059</v>
      </c>
      <c r="Q285" t="s">
        <v>3072</v>
      </c>
      <c r="R285">
        <v>186.83</v>
      </c>
      <c r="S285">
        <v>2</v>
      </c>
      <c r="T285">
        <v>0.1</v>
      </c>
      <c r="U285">
        <v>6.15</v>
      </c>
    </row>
    <row r="286" spans="1:21" x14ac:dyDescent="0.3">
      <c r="A286">
        <v>285</v>
      </c>
      <c r="B286" t="s">
        <v>305</v>
      </c>
      <c r="C286" s="2">
        <v>45411</v>
      </c>
      <c r="D286" s="2">
        <v>45416</v>
      </c>
      <c r="E286" t="s">
        <v>1523</v>
      </c>
      <c r="F286" t="s">
        <v>1729</v>
      </c>
      <c r="G286" t="s">
        <v>2081</v>
      </c>
      <c r="H286" t="s">
        <v>2315</v>
      </c>
      <c r="I286" t="s">
        <v>2317</v>
      </c>
      <c r="J286" t="s">
        <v>2323</v>
      </c>
      <c r="K286" t="s">
        <v>2323</v>
      </c>
      <c r="L286">
        <v>185395</v>
      </c>
      <c r="M286" t="s">
        <v>2328</v>
      </c>
      <c r="N286" t="s">
        <v>2491</v>
      </c>
      <c r="O286" t="s">
        <v>3053</v>
      </c>
      <c r="P286" t="s">
        <v>3056</v>
      </c>
      <c r="Q286" t="s">
        <v>3138</v>
      </c>
      <c r="R286">
        <v>60.95</v>
      </c>
      <c r="S286">
        <v>8</v>
      </c>
      <c r="T286">
        <v>0.2</v>
      </c>
      <c r="U286">
        <v>-18.73</v>
      </c>
    </row>
    <row r="287" spans="1:21" x14ac:dyDescent="0.3">
      <c r="A287">
        <v>286</v>
      </c>
      <c r="B287" t="s">
        <v>306</v>
      </c>
      <c r="C287" s="2">
        <v>45964</v>
      </c>
      <c r="D287" s="2">
        <v>45968</v>
      </c>
      <c r="E287" t="s">
        <v>1524</v>
      </c>
      <c r="F287" t="s">
        <v>1546</v>
      </c>
      <c r="G287" t="s">
        <v>1931</v>
      </c>
      <c r="H287" t="s">
        <v>2316</v>
      </c>
      <c r="I287" t="s">
        <v>2317</v>
      </c>
      <c r="J287" t="s">
        <v>2327</v>
      </c>
      <c r="K287" t="s">
        <v>2327</v>
      </c>
      <c r="L287">
        <v>217399</v>
      </c>
      <c r="M287" t="s">
        <v>2330</v>
      </c>
      <c r="N287" t="s">
        <v>2571</v>
      </c>
      <c r="O287" t="s">
        <v>3053</v>
      </c>
      <c r="P287" t="s">
        <v>3056</v>
      </c>
      <c r="Q287" t="s">
        <v>3313</v>
      </c>
      <c r="R287">
        <v>388.47</v>
      </c>
      <c r="S287">
        <v>1</v>
      </c>
      <c r="T287">
        <v>0</v>
      </c>
      <c r="U287">
        <v>51.31</v>
      </c>
    </row>
    <row r="288" spans="1:21" x14ac:dyDescent="0.3">
      <c r="A288">
        <v>287</v>
      </c>
      <c r="B288" t="s">
        <v>307</v>
      </c>
      <c r="C288" s="2">
        <v>45919</v>
      </c>
      <c r="D288" s="2">
        <v>45921</v>
      </c>
      <c r="E288" t="s">
        <v>1522</v>
      </c>
      <c r="F288" t="s">
        <v>1730</v>
      </c>
      <c r="G288" t="s">
        <v>2127</v>
      </c>
      <c r="H288" t="s">
        <v>2315</v>
      </c>
      <c r="I288" t="s">
        <v>2317</v>
      </c>
      <c r="J288" t="s">
        <v>2318</v>
      </c>
      <c r="K288" t="s">
        <v>2318</v>
      </c>
      <c r="L288">
        <v>523206</v>
      </c>
      <c r="M288" t="s">
        <v>2328</v>
      </c>
      <c r="N288" t="s">
        <v>2572</v>
      </c>
      <c r="O288" t="s">
        <v>3054</v>
      </c>
      <c r="P288" t="s">
        <v>3064</v>
      </c>
      <c r="Q288" t="s">
        <v>3314</v>
      </c>
      <c r="R288">
        <v>36.68</v>
      </c>
      <c r="S288">
        <v>6</v>
      </c>
      <c r="T288">
        <v>0.3</v>
      </c>
      <c r="U288">
        <v>18.02</v>
      </c>
    </row>
    <row r="289" spans="1:21" x14ac:dyDescent="0.3">
      <c r="A289">
        <v>288</v>
      </c>
      <c r="B289" t="s">
        <v>308</v>
      </c>
      <c r="C289" s="2">
        <v>45878</v>
      </c>
      <c r="D289" s="2">
        <v>45881</v>
      </c>
      <c r="E289" t="s">
        <v>1523</v>
      </c>
      <c r="F289" t="s">
        <v>1731</v>
      </c>
      <c r="G289" t="s">
        <v>2105</v>
      </c>
      <c r="H289" t="s">
        <v>2316</v>
      </c>
      <c r="I289" t="s">
        <v>2317</v>
      </c>
      <c r="J289" t="s">
        <v>2323</v>
      </c>
      <c r="K289" t="s">
        <v>2323</v>
      </c>
      <c r="L289">
        <v>362199</v>
      </c>
      <c r="M289" t="s">
        <v>2328</v>
      </c>
      <c r="N289" t="s">
        <v>2573</v>
      </c>
      <c r="O289" t="s">
        <v>3053</v>
      </c>
      <c r="P289" t="s">
        <v>3065</v>
      </c>
      <c r="Q289" t="s">
        <v>3315</v>
      </c>
      <c r="R289">
        <v>341.66</v>
      </c>
      <c r="S289">
        <v>3</v>
      </c>
      <c r="T289">
        <v>0.2</v>
      </c>
      <c r="U289">
        <v>-26.99</v>
      </c>
    </row>
    <row r="290" spans="1:21" x14ac:dyDescent="0.3">
      <c r="A290">
        <v>289</v>
      </c>
      <c r="B290" t="s">
        <v>309</v>
      </c>
      <c r="C290" s="2">
        <v>45916</v>
      </c>
      <c r="D290" s="2">
        <v>45919</v>
      </c>
      <c r="E290" t="s">
        <v>1522</v>
      </c>
      <c r="F290" t="s">
        <v>1732</v>
      </c>
      <c r="G290" t="s">
        <v>2073</v>
      </c>
      <c r="H290" t="s">
        <v>2316</v>
      </c>
      <c r="I290" t="s">
        <v>2317</v>
      </c>
      <c r="J290" t="s">
        <v>2326</v>
      </c>
      <c r="K290" t="s">
        <v>2326</v>
      </c>
      <c r="L290">
        <v>768626</v>
      </c>
      <c r="M290" t="s">
        <v>2331</v>
      </c>
      <c r="N290" t="s">
        <v>2526</v>
      </c>
      <c r="O290" t="s">
        <v>3054</v>
      </c>
      <c r="P290" t="s">
        <v>3057</v>
      </c>
      <c r="Q290" t="s">
        <v>3316</v>
      </c>
      <c r="R290">
        <v>51.19</v>
      </c>
      <c r="S290">
        <v>8</v>
      </c>
      <c r="T290">
        <v>0.1</v>
      </c>
      <c r="U290">
        <v>41.22</v>
      </c>
    </row>
    <row r="291" spans="1:21" x14ac:dyDescent="0.3">
      <c r="A291">
        <v>290</v>
      </c>
      <c r="B291" t="s">
        <v>310</v>
      </c>
      <c r="C291" s="2">
        <v>45711</v>
      </c>
      <c r="D291" s="2">
        <v>45713</v>
      </c>
      <c r="E291" t="s">
        <v>1524</v>
      </c>
      <c r="F291" t="s">
        <v>1606</v>
      </c>
      <c r="G291" t="s">
        <v>2128</v>
      </c>
      <c r="H291" t="s">
        <v>2314</v>
      </c>
      <c r="I291" t="s">
        <v>2317</v>
      </c>
      <c r="J291" t="s">
        <v>2324</v>
      </c>
      <c r="K291" t="s">
        <v>2324</v>
      </c>
      <c r="L291">
        <v>246479</v>
      </c>
      <c r="M291" t="s">
        <v>2330</v>
      </c>
      <c r="N291" t="s">
        <v>2574</v>
      </c>
      <c r="O291" t="s">
        <v>3055</v>
      </c>
      <c r="P291" t="s">
        <v>3060</v>
      </c>
      <c r="Q291" t="s">
        <v>3317</v>
      </c>
      <c r="R291">
        <v>53.29</v>
      </c>
      <c r="S291">
        <v>4</v>
      </c>
      <c r="T291">
        <v>0.05</v>
      </c>
      <c r="U291">
        <v>4.93</v>
      </c>
    </row>
    <row r="292" spans="1:21" x14ac:dyDescent="0.3">
      <c r="A292">
        <v>291</v>
      </c>
      <c r="B292" t="s">
        <v>311</v>
      </c>
      <c r="C292" s="2">
        <v>45713</v>
      </c>
      <c r="D292" s="2">
        <v>45717</v>
      </c>
      <c r="E292" t="s">
        <v>1522</v>
      </c>
      <c r="F292" t="s">
        <v>1730</v>
      </c>
      <c r="G292" t="s">
        <v>2091</v>
      </c>
      <c r="H292" t="s">
        <v>2315</v>
      </c>
      <c r="I292" t="s">
        <v>2317</v>
      </c>
      <c r="J292" t="s">
        <v>2325</v>
      </c>
      <c r="K292" t="s">
        <v>2325</v>
      </c>
      <c r="L292">
        <v>986997</v>
      </c>
      <c r="M292" t="s">
        <v>2332</v>
      </c>
      <c r="N292" t="s">
        <v>2575</v>
      </c>
      <c r="O292" t="s">
        <v>3055</v>
      </c>
      <c r="P292" t="s">
        <v>3067</v>
      </c>
      <c r="Q292" t="s">
        <v>3318</v>
      </c>
      <c r="R292">
        <v>641.65</v>
      </c>
      <c r="S292">
        <v>5</v>
      </c>
      <c r="T292">
        <v>0.3</v>
      </c>
      <c r="U292">
        <v>2.29</v>
      </c>
    </row>
    <row r="293" spans="1:21" x14ac:dyDescent="0.3">
      <c r="A293">
        <v>292</v>
      </c>
      <c r="B293" t="s">
        <v>312</v>
      </c>
      <c r="C293" s="2">
        <v>45395</v>
      </c>
      <c r="D293" s="2">
        <v>45396</v>
      </c>
      <c r="E293" t="s">
        <v>1521</v>
      </c>
      <c r="F293" t="s">
        <v>1605</v>
      </c>
      <c r="G293" t="s">
        <v>2129</v>
      </c>
      <c r="H293" t="s">
        <v>2316</v>
      </c>
      <c r="I293" t="s">
        <v>2317</v>
      </c>
      <c r="J293" t="s">
        <v>2318</v>
      </c>
      <c r="K293" t="s">
        <v>2318</v>
      </c>
      <c r="L293">
        <v>832760</v>
      </c>
      <c r="M293" t="s">
        <v>2328</v>
      </c>
      <c r="N293" t="s">
        <v>2480</v>
      </c>
      <c r="O293" t="s">
        <v>3054</v>
      </c>
      <c r="P293" t="s">
        <v>3057</v>
      </c>
      <c r="Q293" t="s">
        <v>3186</v>
      </c>
      <c r="R293">
        <v>75.790000000000006</v>
      </c>
      <c r="S293">
        <v>1</v>
      </c>
      <c r="T293">
        <v>0</v>
      </c>
      <c r="U293">
        <v>42.38</v>
      </c>
    </row>
    <row r="294" spans="1:21" x14ac:dyDescent="0.3">
      <c r="A294">
        <v>293</v>
      </c>
      <c r="B294" t="s">
        <v>313</v>
      </c>
      <c r="C294" s="2">
        <v>45545</v>
      </c>
      <c r="D294" s="2">
        <v>45549</v>
      </c>
      <c r="E294" t="s">
        <v>1521</v>
      </c>
      <c r="F294" t="s">
        <v>1733</v>
      </c>
      <c r="G294" t="s">
        <v>2074</v>
      </c>
      <c r="H294" t="s">
        <v>2316</v>
      </c>
      <c r="I294" t="s">
        <v>2317</v>
      </c>
      <c r="J294" t="s">
        <v>2327</v>
      </c>
      <c r="K294" t="s">
        <v>2327</v>
      </c>
      <c r="L294">
        <v>315432</v>
      </c>
      <c r="M294" t="s">
        <v>2330</v>
      </c>
      <c r="N294" t="s">
        <v>2478</v>
      </c>
      <c r="O294" t="s">
        <v>3054</v>
      </c>
      <c r="P294" t="s">
        <v>3064</v>
      </c>
      <c r="Q294" t="s">
        <v>3312</v>
      </c>
      <c r="R294">
        <v>128.41</v>
      </c>
      <c r="S294">
        <v>1</v>
      </c>
      <c r="T294">
        <v>0.15</v>
      </c>
      <c r="U294">
        <v>29.11</v>
      </c>
    </row>
    <row r="295" spans="1:21" x14ac:dyDescent="0.3">
      <c r="A295">
        <v>294</v>
      </c>
      <c r="B295" t="s">
        <v>314</v>
      </c>
      <c r="C295" s="2">
        <v>45518</v>
      </c>
      <c r="D295" s="2">
        <v>45521</v>
      </c>
      <c r="E295" t="s">
        <v>1523</v>
      </c>
      <c r="F295" t="s">
        <v>1670</v>
      </c>
      <c r="G295" t="s">
        <v>1943</v>
      </c>
      <c r="H295" t="s">
        <v>2314</v>
      </c>
      <c r="I295" t="s">
        <v>2317</v>
      </c>
      <c r="J295" t="s">
        <v>2323</v>
      </c>
      <c r="K295" t="s">
        <v>2323</v>
      </c>
      <c r="L295">
        <v>931080</v>
      </c>
      <c r="M295" t="s">
        <v>2328</v>
      </c>
      <c r="N295" t="s">
        <v>2576</v>
      </c>
      <c r="O295" t="s">
        <v>3055</v>
      </c>
      <c r="P295" t="s">
        <v>3061</v>
      </c>
      <c r="Q295" t="s">
        <v>3319</v>
      </c>
      <c r="R295">
        <v>239.96</v>
      </c>
      <c r="S295">
        <v>9</v>
      </c>
      <c r="T295">
        <v>0.15</v>
      </c>
      <c r="U295">
        <v>27.06</v>
      </c>
    </row>
    <row r="296" spans="1:21" x14ac:dyDescent="0.3">
      <c r="A296">
        <v>295</v>
      </c>
      <c r="B296" t="s">
        <v>315</v>
      </c>
      <c r="C296" s="2">
        <v>45403</v>
      </c>
      <c r="D296" s="2">
        <v>45405</v>
      </c>
      <c r="E296" t="s">
        <v>1524</v>
      </c>
      <c r="F296" t="s">
        <v>1734</v>
      </c>
      <c r="G296" t="s">
        <v>2130</v>
      </c>
      <c r="H296" t="s">
        <v>2316</v>
      </c>
      <c r="I296" t="s">
        <v>2317</v>
      </c>
      <c r="J296" t="s">
        <v>2327</v>
      </c>
      <c r="K296" t="s">
        <v>2327</v>
      </c>
      <c r="L296">
        <v>511811</v>
      </c>
      <c r="M296" t="s">
        <v>2330</v>
      </c>
      <c r="N296" t="s">
        <v>2577</v>
      </c>
      <c r="O296" t="s">
        <v>3054</v>
      </c>
      <c r="P296" t="s">
        <v>3058</v>
      </c>
      <c r="Q296" t="s">
        <v>3320</v>
      </c>
      <c r="R296">
        <v>41.61</v>
      </c>
      <c r="S296">
        <v>9</v>
      </c>
      <c r="T296">
        <v>0.05</v>
      </c>
      <c r="U296">
        <v>-18.059999999999999</v>
      </c>
    </row>
    <row r="297" spans="1:21" x14ac:dyDescent="0.3">
      <c r="A297">
        <v>296</v>
      </c>
      <c r="B297" t="s">
        <v>316</v>
      </c>
      <c r="C297" s="2">
        <v>45801</v>
      </c>
      <c r="D297" s="2">
        <v>45803</v>
      </c>
      <c r="E297" t="s">
        <v>1521</v>
      </c>
      <c r="F297" t="s">
        <v>1575</v>
      </c>
      <c r="G297" t="s">
        <v>1969</v>
      </c>
      <c r="H297" t="s">
        <v>2314</v>
      </c>
      <c r="I297" t="s">
        <v>2317</v>
      </c>
      <c r="J297" t="s">
        <v>2325</v>
      </c>
      <c r="K297" t="s">
        <v>2325</v>
      </c>
      <c r="L297">
        <v>195057</v>
      </c>
      <c r="M297" t="s">
        <v>2332</v>
      </c>
      <c r="N297" t="s">
        <v>2578</v>
      </c>
      <c r="O297" t="s">
        <v>3055</v>
      </c>
      <c r="P297" t="s">
        <v>3067</v>
      </c>
      <c r="Q297" t="s">
        <v>3229</v>
      </c>
      <c r="R297">
        <v>176.43</v>
      </c>
      <c r="S297">
        <v>4</v>
      </c>
      <c r="T297">
        <v>0.15</v>
      </c>
      <c r="U297">
        <v>24.37</v>
      </c>
    </row>
    <row r="298" spans="1:21" x14ac:dyDescent="0.3">
      <c r="A298">
        <v>297</v>
      </c>
      <c r="B298" t="s">
        <v>317</v>
      </c>
      <c r="C298" s="2">
        <v>45764</v>
      </c>
      <c r="D298" s="2">
        <v>45768</v>
      </c>
      <c r="E298" t="s">
        <v>1521</v>
      </c>
      <c r="F298" t="s">
        <v>1735</v>
      </c>
      <c r="G298" t="s">
        <v>2040</v>
      </c>
      <c r="H298" t="s">
        <v>2315</v>
      </c>
      <c r="I298" t="s">
        <v>2317</v>
      </c>
      <c r="J298" t="s">
        <v>2322</v>
      </c>
      <c r="K298" t="s">
        <v>2322</v>
      </c>
      <c r="L298">
        <v>794651</v>
      </c>
      <c r="M298" t="s">
        <v>2331</v>
      </c>
      <c r="N298" t="s">
        <v>2579</v>
      </c>
      <c r="O298" t="s">
        <v>3053</v>
      </c>
      <c r="P298" t="s">
        <v>3056</v>
      </c>
      <c r="Q298" t="s">
        <v>3321</v>
      </c>
      <c r="R298">
        <v>329.22</v>
      </c>
      <c r="S298">
        <v>1</v>
      </c>
      <c r="T298">
        <v>0.1</v>
      </c>
      <c r="U298">
        <v>-71.44</v>
      </c>
    </row>
    <row r="299" spans="1:21" x14ac:dyDescent="0.3">
      <c r="A299">
        <v>298</v>
      </c>
      <c r="B299" t="s">
        <v>318</v>
      </c>
      <c r="C299" s="2">
        <v>45390</v>
      </c>
      <c r="D299" s="2">
        <v>45392</v>
      </c>
      <c r="E299" t="s">
        <v>1522</v>
      </c>
      <c r="F299" t="s">
        <v>1736</v>
      </c>
      <c r="G299" t="s">
        <v>2131</v>
      </c>
      <c r="H299" t="s">
        <v>2316</v>
      </c>
      <c r="I299" t="s">
        <v>2317</v>
      </c>
      <c r="J299" t="s">
        <v>2321</v>
      </c>
      <c r="K299" t="s">
        <v>2321</v>
      </c>
      <c r="L299">
        <v>198843</v>
      </c>
      <c r="M299" t="s">
        <v>2329</v>
      </c>
      <c r="N299" t="s">
        <v>2580</v>
      </c>
      <c r="O299" t="s">
        <v>3055</v>
      </c>
      <c r="P299" t="s">
        <v>3060</v>
      </c>
      <c r="Q299" t="s">
        <v>3322</v>
      </c>
      <c r="R299">
        <v>113.31</v>
      </c>
      <c r="S299">
        <v>2</v>
      </c>
      <c r="T299">
        <v>0.05</v>
      </c>
      <c r="U299">
        <v>-8.2799999999999994</v>
      </c>
    </row>
    <row r="300" spans="1:21" x14ac:dyDescent="0.3">
      <c r="A300">
        <v>299</v>
      </c>
      <c r="B300" t="s">
        <v>319</v>
      </c>
      <c r="C300" s="2">
        <v>45444</v>
      </c>
      <c r="D300" s="2">
        <v>45446</v>
      </c>
      <c r="E300" t="s">
        <v>1524</v>
      </c>
      <c r="F300" t="s">
        <v>1601</v>
      </c>
      <c r="G300" t="s">
        <v>2132</v>
      </c>
      <c r="H300" t="s">
        <v>2314</v>
      </c>
      <c r="I300" t="s">
        <v>2317</v>
      </c>
      <c r="J300" t="s">
        <v>2325</v>
      </c>
      <c r="K300" t="s">
        <v>2325</v>
      </c>
      <c r="L300">
        <v>737384</v>
      </c>
      <c r="M300" t="s">
        <v>2332</v>
      </c>
      <c r="N300" t="s">
        <v>2578</v>
      </c>
      <c r="O300" t="s">
        <v>3054</v>
      </c>
      <c r="P300" t="s">
        <v>3063</v>
      </c>
      <c r="Q300" t="s">
        <v>3323</v>
      </c>
      <c r="R300">
        <v>51.09</v>
      </c>
      <c r="S300">
        <v>1</v>
      </c>
      <c r="T300">
        <v>0.05</v>
      </c>
      <c r="U300">
        <v>8.84</v>
      </c>
    </row>
    <row r="301" spans="1:21" x14ac:dyDescent="0.3">
      <c r="A301">
        <v>300</v>
      </c>
      <c r="B301" t="s">
        <v>320</v>
      </c>
      <c r="C301" s="2">
        <v>45629</v>
      </c>
      <c r="D301" s="2">
        <v>45634</v>
      </c>
      <c r="E301" t="s">
        <v>1522</v>
      </c>
      <c r="F301" t="s">
        <v>1681</v>
      </c>
      <c r="G301" t="s">
        <v>2133</v>
      </c>
      <c r="H301" t="s">
        <v>2315</v>
      </c>
      <c r="I301" t="s">
        <v>2317</v>
      </c>
      <c r="J301" t="s">
        <v>2320</v>
      </c>
      <c r="K301" t="s">
        <v>2320</v>
      </c>
      <c r="L301">
        <v>303990</v>
      </c>
      <c r="M301" t="s">
        <v>2330</v>
      </c>
      <c r="N301" t="s">
        <v>2581</v>
      </c>
      <c r="O301" t="s">
        <v>3054</v>
      </c>
      <c r="P301" t="s">
        <v>3057</v>
      </c>
      <c r="Q301" t="s">
        <v>3324</v>
      </c>
      <c r="R301">
        <v>39.229999999999997</v>
      </c>
      <c r="S301">
        <v>2</v>
      </c>
      <c r="T301">
        <v>0.1</v>
      </c>
      <c r="U301">
        <v>3.21</v>
      </c>
    </row>
    <row r="302" spans="1:21" x14ac:dyDescent="0.3">
      <c r="A302">
        <v>301</v>
      </c>
      <c r="B302" t="s">
        <v>321</v>
      </c>
      <c r="C302" s="2">
        <v>45997</v>
      </c>
      <c r="D302" s="2">
        <v>45999</v>
      </c>
      <c r="E302" t="s">
        <v>1523</v>
      </c>
      <c r="F302" t="s">
        <v>1642</v>
      </c>
      <c r="G302" t="s">
        <v>2134</v>
      </c>
      <c r="H302" t="s">
        <v>2315</v>
      </c>
      <c r="I302" t="s">
        <v>2317</v>
      </c>
      <c r="J302" t="s">
        <v>2325</v>
      </c>
      <c r="K302" t="s">
        <v>2325</v>
      </c>
      <c r="L302">
        <v>712236</v>
      </c>
      <c r="M302" t="s">
        <v>2332</v>
      </c>
      <c r="N302" t="s">
        <v>2435</v>
      </c>
      <c r="O302" t="s">
        <v>3055</v>
      </c>
      <c r="P302" t="s">
        <v>3059</v>
      </c>
      <c r="Q302" t="s">
        <v>3325</v>
      </c>
      <c r="R302">
        <v>519.89</v>
      </c>
      <c r="S302">
        <v>6</v>
      </c>
      <c r="T302">
        <v>0.05</v>
      </c>
      <c r="U302">
        <v>54.96</v>
      </c>
    </row>
    <row r="303" spans="1:21" x14ac:dyDescent="0.3">
      <c r="A303">
        <v>302</v>
      </c>
      <c r="B303" t="s">
        <v>322</v>
      </c>
      <c r="C303" s="2">
        <v>45454</v>
      </c>
      <c r="D303" s="2">
        <v>45456</v>
      </c>
      <c r="E303" t="s">
        <v>1524</v>
      </c>
      <c r="F303" t="s">
        <v>1737</v>
      </c>
      <c r="G303" t="s">
        <v>2019</v>
      </c>
      <c r="H303" t="s">
        <v>2316</v>
      </c>
      <c r="I303" t="s">
        <v>2317</v>
      </c>
      <c r="J303" t="s">
        <v>2327</v>
      </c>
      <c r="K303" t="s">
        <v>2327</v>
      </c>
      <c r="L303">
        <v>285169</v>
      </c>
      <c r="M303" t="s">
        <v>2330</v>
      </c>
      <c r="N303" t="s">
        <v>2582</v>
      </c>
      <c r="O303" t="s">
        <v>3054</v>
      </c>
      <c r="P303" t="s">
        <v>3063</v>
      </c>
      <c r="Q303" t="s">
        <v>3117</v>
      </c>
      <c r="R303">
        <v>71.09</v>
      </c>
      <c r="S303">
        <v>8</v>
      </c>
      <c r="T303">
        <v>0.1</v>
      </c>
      <c r="U303">
        <v>23.34</v>
      </c>
    </row>
    <row r="304" spans="1:21" x14ac:dyDescent="0.3">
      <c r="A304">
        <v>303</v>
      </c>
      <c r="B304" t="s">
        <v>323</v>
      </c>
      <c r="C304" s="2">
        <v>46011</v>
      </c>
      <c r="D304" s="2">
        <v>46014</v>
      </c>
      <c r="E304" t="s">
        <v>1521</v>
      </c>
      <c r="F304" t="s">
        <v>1702</v>
      </c>
      <c r="G304" t="s">
        <v>2015</v>
      </c>
      <c r="H304" t="s">
        <v>2314</v>
      </c>
      <c r="I304" t="s">
        <v>2317</v>
      </c>
      <c r="J304" t="s">
        <v>2326</v>
      </c>
      <c r="K304" t="s">
        <v>2326</v>
      </c>
      <c r="L304">
        <v>503311</v>
      </c>
      <c r="M304" t="s">
        <v>2331</v>
      </c>
      <c r="N304" t="s">
        <v>2583</v>
      </c>
      <c r="O304" t="s">
        <v>3053</v>
      </c>
      <c r="P304" t="s">
        <v>3056</v>
      </c>
      <c r="Q304" t="s">
        <v>3326</v>
      </c>
      <c r="R304">
        <v>174.65</v>
      </c>
      <c r="S304">
        <v>2</v>
      </c>
      <c r="T304">
        <v>0.15</v>
      </c>
      <c r="U304">
        <v>-27.69</v>
      </c>
    </row>
    <row r="305" spans="1:21" x14ac:dyDescent="0.3">
      <c r="A305">
        <v>304</v>
      </c>
      <c r="B305" t="s">
        <v>324</v>
      </c>
      <c r="C305" s="2">
        <v>45972</v>
      </c>
      <c r="D305" s="2">
        <v>45975</v>
      </c>
      <c r="E305" t="s">
        <v>1521</v>
      </c>
      <c r="F305" t="s">
        <v>1617</v>
      </c>
      <c r="G305" t="s">
        <v>2135</v>
      </c>
      <c r="H305" t="s">
        <v>2316</v>
      </c>
      <c r="I305" t="s">
        <v>2317</v>
      </c>
      <c r="J305" t="s">
        <v>2324</v>
      </c>
      <c r="K305" t="s">
        <v>2324</v>
      </c>
      <c r="L305">
        <v>112818</v>
      </c>
      <c r="M305" t="s">
        <v>2330</v>
      </c>
      <c r="N305" t="s">
        <v>2344</v>
      </c>
      <c r="O305" t="s">
        <v>3055</v>
      </c>
      <c r="P305" t="s">
        <v>3061</v>
      </c>
      <c r="Q305" t="s">
        <v>3327</v>
      </c>
      <c r="R305">
        <v>139.87</v>
      </c>
      <c r="S305">
        <v>3</v>
      </c>
      <c r="T305">
        <v>0.3</v>
      </c>
      <c r="U305">
        <v>19.38</v>
      </c>
    </row>
    <row r="306" spans="1:21" x14ac:dyDescent="0.3">
      <c r="A306">
        <v>305</v>
      </c>
      <c r="B306" t="s">
        <v>325</v>
      </c>
      <c r="C306" s="2">
        <v>45452</v>
      </c>
      <c r="D306" s="2">
        <v>45454</v>
      </c>
      <c r="E306" t="s">
        <v>1522</v>
      </c>
      <c r="F306" t="s">
        <v>1644</v>
      </c>
      <c r="G306" t="s">
        <v>2136</v>
      </c>
      <c r="H306" t="s">
        <v>2314</v>
      </c>
      <c r="I306" t="s">
        <v>2317</v>
      </c>
      <c r="J306" t="s">
        <v>2326</v>
      </c>
      <c r="K306" t="s">
        <v>2326</v>
      </c>
      <c r="L306">
        <v>174408</v>
      </c>
      <c r="M306" t="s">
        <v>2331</v>
      </c>
      <c r="N306" t="s">
        <v>2584</v>
      </c>
      <c r="O306" t="s">
        <v>3055</v>
      </c>
      <c r="P306" t="s">
        <v>3059</v>
      </c>
      <c r="Q306" t="s">
        <v>3133</v>
      </c>
      <c r="R306">
        <v>532.04999999999995</v>
      </c>
      <c r="S306">
        <v>9</v>
      </c>
      <c r="T306">
        <v>0.1</v>
      </c>
      <c r="U306">
        <v>33.450000000000003</v>
      </c>
    </row>
    <row r="307" spans="1:21" x14ac:dyDescent="0.3">
      <c r="A307">
        <v>306</v>
      </c>
      <c r="B307" t="s">
        <v>326</v>
      </c>
      <c r="C307" s="2">
        <v>45871</v>
      </c>
      <c r="D307" s="2">
        <v>45873</v>
      </c>
      <c r="E307" t="s">
        <v>1521</v>
      </c>
      <c r="F307" t="s">
        <v>1738</v>
      </c>
      <c r="G307" t="s">
        <v>1923</v>
      </c>
      <c r="H307" t="s">
        <v>2316</v>
      </c>
      <c r="I307" t="s">
        <v>2317</v>
      </c>
      <c r="J307" t="s">
        <v>2327</v>
      </c>
      <c r="K307" t="s">
        <v>2327</v>
      </c>
      <c r="L307">
        <v>716552</v>
      </c>
      <c r="M307" t="s">
        <v>2330</v>
      </c>
      <c r="N307" t="s">
        <v>2585</v>
      </c>
      <c r="O307" t="s">
        <v>3055</v>
      </c>
      <c r="P307" t="s">
        <v>3067</v>
      </c>
      <c r="Q307" t="s">
        <v>3328</v>
      </c>
      <c r="R307">
        <v>159.47999999999999</v>
      </c>
      <c r="S307">
        <v>6</v>
      </c>
      <c r="T307">
        <v>0.15</v>
      </c>
      <c r="U307">
        <v>-11.73</v>
      </c>
    </row>
    <row r="308" spans="1:21" x14ac:dyDescent="0.3">
      <c r="A308">
        <v>307</v>
      </c>
      <c r="B308" t="s">
        <v>327</v>
      </c>
      <c r="C308" s="2">
        <v>45689</v>
      </c>
      <c r="D308" s="2">
        <v>45691</v>
      </c>
      <c r="E308" t="s">
        <v>1522</v>
      </c>
      <c r="F308" t="s">
        <v>1739</v>
      </c>
      <c r="G308" t="s">
        <v>2137</v>
      </c>
      <c r="H308" t="s">
        <v>2316</v>
      </c>
      <c r="I308" t="s">
        <v>2317</v>
      </c>
      <c r="J308" t="s">
        <v>2324</v>
      </c>
      <c r="K308" t="s">
        <v>2324</v>
      </c>
      <c r="L308">
        <v>894280</v>
      </c>
      <c r="M308" t="s">
        <v>2330</v>
      </c>
      <c r="N308" t="s">
        <v>2365</v>
      </c>
      <c r="O308" t="s">
        <v>3055</v>
      </c>
      <c r="P308" t="s">
        <v>3061</v>
      </c>
      <c r="Q308" t="s">
        <v>3329</v>
      </c>
      <c r="R308">
        <v>545.85</v>
      </c>
      <c r="S308">
        <v>4</v>
      </c>
      <c r="T308">
        <v>0.3</v>
      </c>
      <c r="U308">
        <v>-4.0599999999999996</v>
      </c>
    </row>
    <row r="309" spans="1:21" x14ac:dyDescent="0.3">
      <c r="A309">
        <v>308</v>
      </c>
      <c r="B309" t="s">
        <v>328</v>
      </c>
      <c r="C309" s="2">
        <v>45568</v>
      </c>
      <c r="D309" s="2">
        <v>45572</v>
      </c>
      <c r="E309" t="s">
        <v>1521</v>
      </c>
      <c r="F309" t="s">
        <v>1694</v>
      </c>
      <c r="G309" t="s">
        <v>2138</v>
      </c>
      <c r="H309" t="s">
        <v>2314</v>
      </c>
      <c r="I309" t="s">
        <v>2317</v>
      </c>
      <c r="J309" t="s">
        <v>2320</v>
      </c>
      <c r="K309" t="s">
        <v>2320</v>
      </c>
      <c r="L309">
        <v>954727</v>
      </c>
      <c r="M309" t="s">
        <v>2330</v>
      </c>
      <c r="N309" t="s">
        <v>2586</v>
      </c>
      <c r="O309" t="s">
        <v>3053</v>
      </c>
      <c r="P309" t="s">
        <v>3066</v>
      </c>
      <c r="Q309" t="s">
        <v>3294</v>
      </c>
      <c r="R309">
        <v>114.66</v>
      </c>
      <c r="S309">
        <v>2</v>
      </c>
      <c r="T309">
        <v>0.05</v>
      </c>
      <c r="U309">
        <v>8.39</v>
      </c>
    </row>
    <row r="310" spans="1:21" x14ac:dyDescent="0.3">
      <c r="A310">
        <v>309</v>
      </c>
      <c r="B310" t="s">
        <v>329</v>
      </c>
      <c r="C310" s="2">
        <v>45795</v>
      </c>
      <c r="D310" s="2">
        <v>45798</v>
      </c>
      <c r="E310" t="s">
        <v>1522</v>
      </c>
      <c r="F310" t="s">
        <v>1600</v>
      </c>
      <c r="G310" t="s">
        <v>2126</v>
      </c>
      <c r="H310" t="s">
        <v>2314</v>
      </c>
      <c r="I310" t="s">
        <v>2317</v>
      </c>
      <c r="J310" t="s">
        <v>2321</v>
      </c>
      <c r="K310" t="s">
        <v>2321</v>
      </c>
      <c r="L310">
        <v>174804</v>
      </c>
      <c r="M310" t="s">
        <v>2329</v>
      </c>
      <c r="N310" t="s">
        <v>2587</v>
      </c>
      <c r="O310" t="s">
        <v>3054</v>
      </c>
      <c r="P310" t="s">
        <v>3058</v>
      </c>
      <c r="Q310" t="s">
        <v>3330</v>
      </c>
      <c r="R310">
        <v>125.11</v>
      </c>
      <c r="S310">
        <v>3</v>
      </c>
      <c r="T310">
        <v>0.3</v>
      </c>
      <c r="U310">
        <v>-13.45</v>
      </c>
    </row>
    <row r="311" spans="1:21" x14ac:dyDescent="0.3">
      <c r="A311">
        <v>310</v>
      </c>
      <c r="B311" t="s">
        <v>330</v>
      </c>
      <c r="C311" s="2">
        <v>45683</v>
      </c>
      <c r="D311" s="2">
        <v>45687</v>
      </c>
      <c r="E311" t="s">
        <v>1523</v>
      </c>
      <c r="F311" t="s">
        <v>1740</v>
      </c>
      <c r="G311" t="s">
        <v>2139</v>
      </c>
      <c r="H311" t="s">
        <v>2316</v>
      </c>
      <c r="I311" t="s">
        <v>2317</v>
      </c>
      <c r="J311" t="s">
        <v>2318</v>
      </c>
      <c r="K311" t="s">
        <v>2318</v>
      </c>
      <c r="L311">
        <v>829523</v>
      </c>
      <c r="M311" t="s">
        <v>2328</v>
      </c>
      <c r="N311" t="s">
        <v>2588</v>
      </c>
      <c r="O311" t="s">
        <v>3053</v>
      </c>
      <c r="P311" t="s">
        <v>3066</v>
      </c>
      <c r="Q311" t="s">
        <v>3331</v>
      </c>
      <c r="R311">
        <v>278.89999999999998</v>
      </c>
      <c r="S311">
        <v>8</v>
      </c>
      <c r="T311">
        <v>0</v>
      </c>
      <c r="U311">
        <v>81.069999999999993</v>
      </c>
    </row>
    <row r="312" spans="1:21" x14ac:dyDescent="0.3">
      <c r="A312">
        <v>311</v>
      </c>
      <c r="B312" t="s">
        <v>331</v>
      </c>
      <c r="C312" s="2">
        <v>45426</v>
      </c>
      <c r="D312" s="2">
        <v>45431</v>
      </c>
      <c r="E312" t="s">
        <v>1521</v>
      </c>
      <c r="F312" t="s">
        <v>1676</v>
      </c>
      <c r="G312" t="s">
        <v>2069</v>
      </c>
      <c r="H312" t="s">
        <v>2315</v>
      </c>
      <c r="I312" t="s">
        <v>2317</v>
      </c>
      <c r="J312" t="s">
        <v>2327</v>
      </c>
      <c r="K312" t="s">
        <v>2327</v>
      </c>
      <c r="L312">
        <v>496562</v>
      </c>
      <c r="M312" t="s">
        <v>2330</v>
      </c>
      <c r="N312" t="s">
        <v>2589</v>
      </c>
      <c r="O312" t="s">
        <v>3055</v>
      </c>
      <c r="P312" t="s">
        <v>3061</v>
      </c>
      <c r="Q312" t="s">
        <v>3332</v>
      </c>
      <c r="R312">
        <v>134.27000000000001</v>
      </c>
      <c r="S312">
        <v>9</v>
      </c>
      <c r="T312">
        <v>0.2</v>
      </c>
      <c r="U312">
        <v>-13.17</v>
      </c>
    </row>
    <row r="313" spans="1:21" x14ac:dyDescent="0.3">
      <c r="A313">
        <v>312</v>
      </c>
      <c r="B313" t="s">
        <v>332</v>
      </c>
      <c r="C313" s="2">
        <v>45486</v>
      </c>
      <c r="D313" s="2">
        <v>45489</v>
      </c>
      <c r="E313" t="s">
        <v>1521</v>
      </c>
      <c r="F313" t="s">
        <v>1591</v>
      </c>
      <c r="G313" t="s">
        <v>2140</v>
      </c>
      <c r="H313" t="s">
        <v>2314</v>
      </c>
      <c r="I313" t="s">
        <v>2317</v>
      </c>
      <c r="J313" t="s">
        <v>2323</v>
      </c>
      <c r="K313" t="s">
        <v>2323</v>
      </c>
      <c r="L313">
        <v>790527</v>
      </c>
      <c r="M313" t="s">
        <v>2328</v>
      </c>
      <c r="N313" t="s">
        <v>2590</v>
      </c>
      <c r="O313" t="s">
        <v>3055</v>
      </c>
      <c r="P313" t="s">
        <v>3060</v>
      </c>
      <c r="Q313" t="s">
        <v>3333</v>
      </c>
      <c r="R313">
        <v>855.11</v>
      </c>
      <c r="S313">
        <v>5</v>
      </c>
      <c r="T313">
        <v>0.1</v>
      </c>
      <c r="U313">
        <v>74.12</v>
      </c>
    </row>
    <row r="314" spans="1:21" x14ac:dyDescent="0.3">
      <c r="A314">
        <v>313</v>
      </c>
      <c r="B314" t="s">
        <v>333</v>
      </c>
      <c r="C314" s="2">
        <v>45692</v>
      </c>
      <c r="D314" s="2">
        <v>45695</v>
      </c>
      <c r="E314" t="s">
        <v>1523</v>
      </c>
      <c r="F314" t="s">
        <v>1741</v>
      </c>
      <c r="G314" t="s">
        <v>2141</v>
      </c>
      <c r="H314" t="s">
        <v>2314</v>
      </c>
      <c r="I314" t="s">
        <v>2317</v>
      </c>
      <c r="J314" t="s">
        <v>2327</v>
      </c>
      <c r="K314" t="s">
        <v>2327</v>
      </c>
      <c r="L314">
        <v>334484</v>
      </c>
      <c r="M314" t="s">
        <v>2330</v>
      </c>
      <c r="N314" t="s">
        <v>2402</v>
      </c>
      <c r="O314" t="s">
        <v>3055</v>
      </c>
      <c r="P314" t="s">
        <v>3067</v>
      </c>
      <c r="Q314" t="s">
        <v>3281</v>
      </c>
      <c r="R314">
        <v>430.69</v>
      </c>
      <c r="S314">
        <v>2</v>
      </c>
      <c r="T314">
        <v>0</v>
      </c>
      <c r="U314">
        <v>63.89</v>
      </c>
    </row>
    <row r="315" spans="1:21" x14ac:dyDescent="0.3">
      <c r="A315">
        <v>314</v>
      </c>
      <c r="B315" t="s">
        <v>334</v>
      </c>
      <c r="C315" s="2">
        <v>45931</v>
      </c>
      <c r="D315" s="2">
        <v>45934</v>
      </c>
      <c r="E315" t="s">
        <v>1524</v>
      </c>
      <c r="F315" t="s">
        <v>1724</v>
      </c>
      <c r="G315" t="s">
        <v>1964</v>
      </c>
      <c r="H315" t="s">
        <v>2315</v>
      </c>
      <c r="I315" t="s">
        <v>2317</v>
      </c>
      <c r="J315" t="s">
        <v>2327</v>
      </c>
      <c r="K315" t="s">
        <v>2327</v>
      </c>
      <c r="L315">
        <v>619904</v>
      </c>
      <c r="M315" t="s">
        <v>2330</v>
      </c>
      <c r="N315" t="s">
        <v>2591</v>
      </c>
      <c r="O315" t="s">
        <v>3053</v>
      </c>
      <c r="P315" t="s">
        <v>3056</v>
      </c>
      <c r="Q315" t="s">
        <v>3334</v>
      </c>
      <c r="R315">
        <v>46.7</v>
      </c>
      <c r="S315">
        <v>1</v>
      </c>
      <c r="T315">
        <v>0.4</v>
      </c>
      <c r="U315">
        <v>13.49</v>
      </c>
    </row>
    <row r="316" spans="1:21" x14ac:dyDescent="0.3">
      <c r="A316">
        <v>315</v>
      </c>
      <c r="B316" t="s">
        <v>335</v>
      </c>
      <c r="C316" s="2">
        <v>45324</v>
      </c>
      <c r="D316" s="2">
        <v>45326</v>
      </c>
      <c r="E316" t="s">
        <v>1522</v>
      </c>
      <c r="F316" t="s">
        <v>1742</v>
      </c>
      <c r="G316" t="s">
        <v>1925</v>
      </c>
      <c r="H316" t="s">
        <v>2316</v>
      </c>
      <c r="I316" t="s">
        <v>2317</v>
      </c>
      <c r="J316" t="s">
        <v>2324</v>
      </c>
      <c r="K316" t="s">
        <v>2324</v>
      </c>
      <c r="L316">
        <v>355539</v>
      </c>
      <c r="M316" t="s">
        <v>2330</v>
      </c>
      <c r="N316" t="s">
        <v>2589</v>
      </c>
      <c r="O316" t="s">
        <v>3054</v>
      </c>
      <c r="P316" t="s">
        <v>3058</v>
      </c>
      <c r="Q316" t="s">
        <v>3335</v>
      </c>
      <c r="R316">
        <v>269.3</v>
      </c>
      <c r="S316">
        <v>7</v>
      </c>
      <c r="T316">
        <v>0.3</v>
      </c>
      <c r="U316">
        <v>29.26</v>
      </c>
    </row>
    <row r="317" spans="1:21" x14ac:dyDescent="0.3">
      <c r="A317">
        <v>316</v>
      </c>
      <c r="B317" t="s">
        <v>336</v>
      </c>
      <c r="C317" s="2">
        <v>45979</v>
      </c>
      <c r="D317" s="2">
        <v>45981</v>
      </c>
      <c r="E317" t="s">
        <v>1522</v>
      </c>
      <c r="F317" t="s">
        <v>1735</v>
      </c>
      <c r="G317" t="s">
        <v>2142</v>
      </c>
      <c r="H317" t="s">
        <v>2314</v>
      </c>
      <c r="I317" t="s">
        <v>2317</v>
      </c>
      <c r="J317" t="s">
        <v>2319</v>
      </c>
      <c r="K317" t="s">
        <v>2319</v>
      </c>
      <c r="L317">
        <v>112120</v>
      </c>
      <c r="M317" t="s">
        <v>2329</v>
      </c>
      <c r="N317" t="s">
        <v>2450</v>
      </c>
      <c r="O317" t="s">
        <v>3055</v>
      </c>
      <c r="P317" t="s">
        <v>3061</v>
      </c>
      <c r="Q317" t="s">
        <v>3336</v>
      </c>
      <c r="R317">
        <v>1130.8399999999999</v>
      </c>
      <c r="S317">
        <v>2</v>
      </c>
      <c r="T317">
        <v>0.1</v>
      </c>
      <c r="U317">
        <v>120.51</v>
      </c>
    </row>
    <row r="318" spans="1:21" x14ac:dyDescent="0.3">
      <c r="A318">
        <v>317</v>
      </c>
      <c r="B318" t="s">
        <v>337</v>
      </c>
      <c r="C318" s="2">
        <v>45751</v>
      </c>
      <c r="D318" s="2">
        <v>45753</v>
      </c>
      <c r="E318" t="s">
        <v>1523</v>
      </c>
      <c r="F318" t="s">
        <v>1743</v>
      </c>
      <c r="G318" t="s">
        <v>2143</v>
      </c>
      <c r="H318" t="s">
        <v>2315</v>
      </c>
      <c r="I318" t="s">
        <v>2317</v>
      </c>
      <c r="J318" t="s">
        <v>2325</v>
      </c>
      <c r="K318" t="s">
        <v>2325</v>
      </c>
      <c r="L318">
        <v>958690</v>
      </c>
      <c r="M318" t="s">
        <v>2332</v>
      </c>
      <c r="N318" t="s">
        <v>2592</v>
      </c>
      <c r="O318" t="s">
        <v>3054</v>
      </c>
      <c r="P318" t="s">
        <v>3064</v>
      </c>
      <c r="Q318" t="s">
        <v>3337</v>
      </c>
      <c r="R318">
        <v>55.58</v>
      </c>
      <c r="S318">
        <v>4</v>
      </c>
      <c r="T318">
        <v>0.2</v>
      </c>
      <c r="U318">
        <v>31.88</v>
      </c>
    </row>
    <row r="319" spans="1:21" x14ac:dyDescent="0.3">
      <c r="A319">
        <v>318</v>
      </c>
      <c r="B319" t="s">
        <v>338</v>
      </c>
      <c r="C319" s="2">
        <v>45761</v>
      </c>
      <c r="D319" s="2">
        <v>45764</v>
      </c>
      <c r="E319" t="s">
        <v>1524</v>
      </c>
      <c r="F319" t="s">
        <v>1744</v>
      </c>
      <c r="G319" t="s">
        <v>2144</v>
      </c>
      <c r="H319" t="s">
        <v>2314</v>
      </c>
      <c r="I319" t="s">
        <v>2317</v>
      </c>
      <c r="J319" t="s">
        <v>2319</v>
      </c>
      <c r="K319" t="s">
        <v>2319</v>
      </c>
      <c r="L319">
        <v>243435</v>
      </c>
      <c r="M319" t="s">
        <v>2329</v>
      </c>
      <c r="N319" t="s">
        <v>2593</v>
      </c>
      <c r="O319" t="s">
        <v>3054</v>
      </c>
      <c r="P319" t="s">
        <v>3058</v>
      </c>
      <c r="Q319" t="s">
        <v>3338</v>
      </c>
      <c r="R319">
        <v>111.05</v>
      </c>
      <c r="S319">
        <v>1</v>
      </c>
      <c r="T319">
        <v>0.1</v>
      </c>
      <c r="U319">
        <v>29.54</v>
      </c>
    </row>
    <row r="320" spans="1:21" x14ac:dyDescent="0.3">
      <c r="A320">
        <v>319</v>
      </c>
      <c r="B320" t="s">
        <v>339</v>
      </c>
      <c r="C320" s="2">
        <v>45666</v>
      </c>
      <c r="D320" s="2">
        <v>45667</v>
      </c>
      <c r="E320" t="s">
        <v>1522</v>
      </c>
      <c r="F320" t="s">
        <v>1640</v>
      </c>
      <c r="G320" t="s">
        <v>2145</v>
      </c>
      <c r="H320" t="s">
        <v>2316</v>
      </c>
      <c r="I320" t="s">
        <v>2317</v>
      </c>
      <c r="J320" t="s">
        <v>2320</v>
      </c>
      <c r="K320" t="s">
        <v>2320</v>
      </c>
      <c r="L320">
        <v>758981</v>
      </c>
      <c r="M320" t="s">
        <v>2330</v>
      </c>
      <c r="N320" t="s">
        <v>2445</v>
      </c>
      <c r="O320" t="s">
        <v>3053</v>
      </c>
      <c r="P320" t="s">
        <v>3065</v>
      </c>
      <c r="Q320" t="s">
        <v>3339</v>
      </c>
      <c r="R320">
        <v>602.20000000000005</v>
      </c>
      <c r="S320">
        <v>3</v>
      </c>
      <c r="T320">
        <v>0</v>
      </c>
      <c r="U320">
        <v>86</v>
      </c>
    </row>
    <row r="321" spans="1:21" x14ac:dyDescent="0.3">
      <c r="A321">
        <v>320</v>
      </c>
      <c r="B321" t="s">
        <v>340</v>
      </c>
      <c r="C321" s="2">
        <v>45313</v>
      </c>
      <c r="D321" s="2">
        <v>45314</v>
      </c>
      <c r="E321" t="s">
        <v>1521</v>
      </c>
      <c r="F321" t="s">
        <v>1702</v>
      </c>
      <c r="G321" t="s">
        <v>2113</v>
      </c>
      <c r="H321" t="s">
        <v>2314</v>
      </c>
      <c r="I321" t="s">
        <v>2317</v>
      </c>
      <c r="J321" t="s">
        <v>2323</v>
      </c>
      <c r="K321" t="s">
        <v>2323</v>
      </c>
      <c r="L321">
        <v>980255</v>
      </c>
      <c r="M321" t="s">
        <v>2328</v>
      </c>
      <c r="N321" t="s">
        <v>2530</v>
      </c>
      <c r="O321" t="s">
        <v>3054</v>
      </c>
      <c r="P321" t="s">
        <v>3064</v>
      </c>
      <c r="Q321" t="s">
        <v>3340</v>
      </c>
      <c r="R321">
        <v>107.98</v>
      </c>
      <c r="S321">
        <v>3</v>
      </c>
      <c r="T321">
        <v>0.15</v>
      </c>
      <c r="U321">
        <v>43.05</v>
      </c>
    </row>
    <row r="322" spans="1:21" x14ac:dyDescent="0.3">
      <c r="A322">
        <v>321</v>
      </c>
      <c r="B322" t="s">
        <v>341</v>
      </c>
      <c r="C322" s="2">
        <v>45961</v>
      </c>
      <c r="D322" s="2">
        <v>45966</v>
      </c>
      <c r="E322" t="s">
        <v>1521</v>
      </c>
      <c r="F322" t="s">
        <v>1687</v>
      </c>
      <c r="G322" t="s">
        <v>2146</v>
      </c>
      <c r="H322" t="s">
        <v>2316</v>
      </c>
      <c r="I322" t="s">
        <v>2317</v>
      </c>
      <c r="J322" t="s">
        <v>2321</v>
      </c>
      <c r="K322" t="s">
        <v>2321</v>
      </c>
      <c r="L322">
        <v>255915</v>
      </c>
      <c r="M322" t="s">
        <v>2329</v>
      </c>
      <c r="N322" t="s">
        <v>2594</v>
      </c>
      <c r="O322" t="s">
        <v>3053</v>
      </c>
      <c r="P322" t="s">
        <v>3066</v>
      </c>
      <c r="Q322" t="s">
        <v>3341</v>
      </c>
      <c r="R322">
        <v>138.49</v>
      </c>
      <c r="S322">
        <v>4</v>
      </c>
      <c r="T322">
        <v>0.3</v>
      </c>
      <c r="U322">
        <v>45.31</v>
      </c>
    </row>
    <row r="323" spans="1:21" x14ac:dyDescent="0.3">
      <c r="A323">
        <v>322</v>
      </c>
      <c r="B323" t="s">
        <v>342</v>
      </c>
      <c r="C323" s="2">
        <v>45329</v>
      </c>
      <c r="D323" s="2">
        <v>45331</v>
      </c>
      <c r="E323" t="s">
        <v>1522</v>
      </c>
      <c r="F323" t="s">
        <v>1566</v>
      </c>
      <c r="G323" t="s">
        <v>2066</v>
      </c>
      <c r="H323" t="s">
        <v>2316</v>
      </c>
      <c r="I323" t="s">
        <v>2317</v>
      </c>
      <c r="J323" t="s">
        <v>2322</v>
      </c>
      <c r="K323" t="s">
        <v>2322</v>
      </c>
      <c r="L323">
        <v>911624</v>
      </c>
      <c r="M323" t="s">
        <v>2331</v>
      </c>
      <c r="N323" t="s">
        <v>2595</v>
      </c>
      <c r="O323" t="s">
        <v>3054</v>
      </c>
      <c r="P323" t="s">
        <v>3058</v>
      </c>
      <c r="Q323" t="s">
        <v>3342</v>
      </c>
      <c r="R323">
        <v>205.48</v>
      </c>
      <c r="S323">
        <v>9</v>
      </c>
      <c r="T323">
        <v>0</v>
      </c>
      <c r="U323">
        <v>18.5</v>
      </c>
    </row>
    <row r="324" spans="1:21" x14ac:dyDescent="0.3">
      <c r="A324">
        <v>323</v>
      </c>
      <c r="B324" t="s">
        <v>343</v>
      </c>
      <c r="C324" s="2">
        <v>45521</v>
      </c>
      <c r="D324" s="2">
        <v>45523</v>
      </c>
      <c r="E324" t="s">
        <v>1522</v>
      </c>
      <c r="F324" t="s">
        <v>1745</v>
      </c>
      <c r="G324" t="s">
        <v>2127</v>
      </c>
      <c r="H324" t="s">
        <v>2316</v>
      </c>
      <c r="I324" t="s">
        <v>2317</v>
      </c>
      <c r="J324" t="s">
        <v>2320</v>
      </c>
      <c r="K324" t="s">
        <v>2320</v>
      </c>
      <c r="L324">
        <v>937007</v>
      </c>
      <c r="M324" t="s">
        <v>2330</v>
      </c>
      <c r="N324" t="s">
        <v>2596</v>
      </c>
      <c r="O324" t="s">
        <v>3053</v>
      </c>
      <c r="P324" t="s">
        <v>3062</v>
      </c>
      <c r="Q324" t="s">
        <v>3343</v>
      </c>
      <c r="R324">
        <v>111.5</v>
      </c>
      <c r="S324">
        <v>9</v>
      </c>
      <c r="T324">
        <v>0.2</v>
      </c>
      <c r="U324">
        <v>-0.66</v>
      </c>
    </row>
    <row r="325" spans="1:21" x14ac:dyDescent="0.3">
      <c r="A325">
        <v>324</v>
      </c>
      <c r="B325" t="s">
        <v>344</v>
      </c>
      <c r="C325" s="2">
        <v>45656</v>
      </c>
      <c r="D325" s="2">
        <v>45658</v>
      </c>
      <c r="E325" t="s">
        <v>1521</v>
      </c>
      <c r="F325" t="s">
        <v>1746</v>
      </c>
      <c r="G325" t="s">
        <v>1971</v>
      </c>
      <c r="H325" t="s">
        <v>2316</v>
      </c>
      <c r="I325" t="s">
        <v>2317</v>
      </c>
      <c r="J325" t="s">
        <v>2322</v>
      </c>
      <c r="K325" t="s">
        <v>2322</v>
      </c>
      <c r="L325">
        <v>375419</v>
      </c>
      <c r="M325" t="s">
        <v>2331</v>
      </c>
      <c r="N325" t="s">
        <v>2597</v>
      </c>
      <c r="O325" t="s">
        <v>3053</v>
      </c>
      <c r="P325" t="s">
        <v>3062</v>
      </c>
      <c r="Q325" t="s">
        <v>3344</v>
      </c>
      <c r="R325">
        <v>60.47</v>
      </c>
      <c r="S325">
        <v>8</v>
      </c>
      <c r="T325">
        <v>0.1</v>
      </c>
      <c r="U325">
        <v>-11.97</v>
      </c>
    </row>
    <row r="326" spans="1:21" x14ac:dyDescent="0.3">
      <c r="A326">
        <v>325</v>
      </c>
      <c r="B326" t="s">
        <v>345</v>
      </c>
      <c r="C326" s="2">
        <v>45854</v>
      </c>
      <c r="D326" s="2">
        <v>45857</v>
      </c>
      <c r="E326" t="s">
        <v>1522</v>
      </c>
      <c r="F326" t="s">
        <v>1745</v>
      </c>
      <c r="G326" t="s">
        <v>2116</v>
      </c>
      <c r="H326" t="s">
        <v>2314</v>
      </c>
      <c r="I326" t="s">
        <v>2317</v>
      </c>
      <c r="J326" t="s">
        <v>2322</v>
      </c>
      <c r="K326" t="s">
        <v>2322</v>
      </c>
      <c r="L326">
        <v>787318</v>
      </c>
      <c r="M326" t="s">
        <v>2331</v>
      </c>
      <c r="N326" t="s">
        <v>2552</v>
      </c>
      <c r="O326" t="s">
        <v>3055</v>
      </c>
      <c r="P326" t="s">
        <v>3059</v>
      </c>
      <c r="Q326" t="s">
        <v>3345</v>
      </c>
      <c r="R326">
        <v>145.71</v>
      </c>
      <c r="S326">
        <v>5</v>
      </c>
      <c r="T326">
        <v>0.15</v>
      </c>
      <c r="U326">
        <v>11.68</v>
      </c>
    </row>
    <row r="327" spans="1:21" x14ac:dyDescent="0.3">
      <c r="A327">
        <v>326</v>
      </c>
      <c r="B327" t="s">
        <v>346</v>
      </c>
      <c r="C327" s="2">
        <v>45729</v>
      </c>
      <c r="D327" s="2">
        <v>45731</v>
      </c>
      <c r="E327" t="s">
        <v>1523</v>
      </c>
      <c r="F327" t="s">
        <v>1563</v>
      </c>
      <c r="G327" t="s">
        <v>1962</v>
      </c>
      <c r="H327" t="s">
        <v>2316</v>
      </c>
      <c r="I327" t="s">
        <v>2317</v>
      </c>
      <c r="J327" t="s">
        <v>2321</v>
      </c>
      <c r="K327" t="s">
        <v>2321</v>
      </c>
      <c r="L327">
        <v>742064</v>
      </c>
      <c r="M327" t="s">
        <v>2329</v>
      </c>
      <c r="N327" t="s">
        <v>2598</v>
      </c>
      <c r="O327" t="s">
        <v>3053</v>
      </c>
      <c r="P327" t="s">
        <v>3066</v>
      </c>
      <c r="Q327" t="s">
        <v>3346</v>
      </c>
      <c r="R327">
        <v>475.62</v>
      </c>
      <c r="S327">
        <v>2</v>
      </c>
      <c r="T327">
        <v>0.1</v>
      </c>
      <c r="U327">
        <v>64.67</v>
      </c>
    </row>
    <row r="328" spans="1:21" x14ac:dyDescent="0.3">
      <c r="A328">
        <v>327</v>
      </c>
      <c r="B328" t="s">
        <v>347</v>
      </c>
      <c r="C328" s="2">
        <v>45574</v>
      </c>
      <c r="D328" s="2">
        <v>45576</v>
      </c>
      <c r="E328" t="s">
        <v>1523</v>
      </c>
      <c r="F328" t="s">
        <v>1747</v>
      </c>
      <c r="G328" t="s">
        <v>2100</v>
      </c>
      <c r="H328" t="s">
        <v>2315</v>
      </c>
      <c r="I328" t="s">
        <v>2317</v>
      </c>
      <c r="J328" t="s">
        <v>2326</v>
      </c>
      <c r="K328" t="s">
        <v>2326</v>
      </c>
      <c r="L328">
        <v>945075</v>
      </c>
      <c r="M328" t="s">
        <v>2331</v>
      </c>
      <c r="N328" t="s">
        <v>2599</v>
      </c>
      <c r="O328" t="s">
        <v>3055</v>
      </c>
      <c r="P328" t="s">
        <v>3059</v>
      </c>
      <c r="Q328" t="s">
        <v>3311</v>
      </c>
      <c r="R328">
        <v>456.72</v>
      </c>
      <c r="S328">
        <v>5</v>
      </c>
      <c r="T328">
        <v>0</v>
      </c>
      <c r="U328">
        <v>66.16</v>
      </c>
    </row>
    <row r="329" spans="1:21" x14ac:dyDescent="0.3">
      <c r="A329">
        <v>328</v>
      </c>
      <c r="B329" t="s">
        <v>348</v>
      </c>
      <c r="C329" s="2">
        <v>45318</v>
      </c>
      <c r="D329" s="2">
        <v>45322</v>
      </c>
      <c r="E329" t="s">
        <v>1524</v>
      </c>
      <c r="F329" t="s">
        <v>1748</v>
      </c>
      <c r="G329" t="s">
        <v>2110</v>
      </c>
      <c r="H329" t="s">
        <v>2314</v>
      </c>
      <c r="I329" t="s">
        <v>2317</v>
      </c>
      <c r="J329" t="s">
        <v>2319</v>
      </c>
      <c r="K329" t="s">
        <v>2319</v>
      </c>
      <c r="L329">
        <v>595054</v>
      </c>
      <c r="M329" t="s">
        <v>2329</v>
      </c>
      <c r="N329" t="s">
        <v>2600</v>
      </c>
      <c r="O329" t="s">
        <v>3053</v>
      </c>
      <c r="P329" t="s">
        <v>3062</v>
      </c>
      <c r="Q329" t="s">
        <v>3347</v>
      </c>
      <c r="R329">
        <v>301.76</v>
      </c>
      <c r="S329">
        <v>9</v>
      </c>
      <c r="T329">
        <v>0.1</v>
      </c>
      <c r="U329">
        <v>8.4600000000000009</v>
      </c>
    </row>
    <row r="330" spans="1:21" x14ac:dyDescent="0.3">
      <c r="A330">
        <v>329</v>
      </c>
      <c r="B330" t="s">
        <v>349</v>
      </c>
      <c r="C330" s="2">
        <v>45517</v>
      </c>
      <c r="D330" s="2">
        <v>45521</v>
      </c>
      <c r="E330" t="s">
        <v>1524</v>
      </c>
      <c r="F330" t="s">
        <v>1749</v>
      </c>
      <c r="G330" t="s">
        <v>2147</v>
      </c>
      <c r="H330" t="s">
        <v>2315</v>
      </c>
      <c r="I330" t="s">
        <v>2317</v>
      </c>
      <c r="J330" t="s">
        <v>2327</v>
      </c>
      <c r="K330" t="s">
        <v>2327</v>
      </c>
      <c r="L330">
        <v>392759</v>
      </c>
      <c r="M330" t="s">
        <v>2330</v>
      </c>
      <c r="N330" t="s">
        <v>2601</v>
      </c>
      <c r="O330" t="s">
        <v>3055</v>
      </c>
      <c r="P330" t="s">
        <v>3060</v>
      </c>
      <c r="Q330" t="s">
        <v>3348</v>
      </c>
      <c r="R330">
        <v>170.72</v>
      </c>
      <c r="S330">
        <v>8</v>
      </c>
      <c r="T330">
        <v>0</v>
      </c>
      <c r="U330">
        <v>-2.83</v>
      </c>
    </row>
    <row r="331" spans="1:21" x14ac:dyDescent="0.3">
      <c r="A331">
        <v>330</v>
      </c>
      <c r="B331" t="s">
        <v>350</v>
      </c>
      <c r="C331" s="2">
        <v>45568</v>
      </c>
      <c r="D331" s="2">
        <v>45573</v>
      </c>
      <c r="E331" t="s">
        <v>1524</v>
      </c>
      <c r="F331" t="s">
        <v>1750</v>
      </c>
      <c r="G331" t="s">
        <v>2015</v>
      </c>
      <c r="H331" t="s">
        <v>2315</v>
      </c>
      <c r="I331" t="s">
        <v>2317</v>
      </c>
      <c r="J331" t="s">
        <v>2318</v>
      </c>
      <c r="K331" t="s">
        <v>2318</v>
      </c>
      <c r="L331">
        <v>304829</v>
      </c>
      <c r="M331" t="s">
        <v>2328</v>
      </c>
      <c r="N331" t="s">
        <v>2583</v>
      </c>
      <c r="O331" t="s">
        <v>3054</v>
      </c>
      <c r="P331" t="s">
        <v>3064</v>
      </c>
      <c r="Q331" t="s">
        <v>3297</v>
      </c>
      <c r="R331">
        <v>71.709999999999994</v>
      </c>
      <c r="S331">
        <v>1</v>
      </c>
      <c r="T331">
        <v>0.1</v>
      </c>
      <c r="U331">
        <v>0.81</v>
      </c>
    </row>
    <row r="332" spans="1:21" x14ac:dyDescent="0.3">
      <c r="A332">
        <v>331</v>
      </c>
      <c r="B332" t="s">
        <v>351</v>
      </c>
      <c r="C332" s="2">
        <v>45900</v>
      </c>
      <c r="D332" s="2">
        <v>45903</v>
      </c>
      <c r="E332" t="s">
        <v>1522</v>
      </c>
      <c r="F332" t="s">
        <v>1689</v>
      </c>
      <c r="G332" t="s">
        <v>2148</v>
      </c>
      <c r="H332" t="s">
        <v>2314</v>
      </c>
      <c r="I332" t="s">
        <v>2317</v>
      </c>
      <c r="J332" t="s">
        <v>2322</v>
      </c>
      <c r="K332" t="s">
        <v>2322</v>
      </c>
      <c r="L332">
        <v>124544</v>
      </c>
      <c r="M332" t="s">
        <v>2331</v>
      </c>
      <c r="N332" t="s">
        <v>2602</v>
      </c>
      <c r="O332" t="s">
        <v>3054</v>
      </c>
      <c r="P332" t="s">
        <v>3063</v>
      </c>
      <c r="Q332" t="s">
        <v>3349</v>
      </c>
      <c r="R332">
        <v>119.1</v>
      </c>
      <c r="S332">
        <v>6</v>
      </c>
      <c r="T332">
        <v>0.15</v>
      </c>
      <c r="U332">
        <v>21.56</v>
      </c>
    </row>
    <row r="333" spans="1:21" x14ac:dyDescent="0.3">
      <c r="A333">
        <v>332</v>
      </c>
      <c r="B333" t="s">
        <v>352</v>
      </c>
      <c r="C333" s="2">
        <v>45575</v>
      </c>
      <c r="D333" s="2">
        <v>45580</v>
      </c>
      <c r="E333" t="s">
        <v>1521</v>
      </c>
      <c r="F333" t="s">
        <v>1673</v>
      </c>
      <c r="G333" t="s">
        <v>2149</v>
      </c>
      <c r="H333" t="s">
        <v>2314</v>
      </c>
      <c r="I333" t="s">
        <v>2317</v>
      </c>
      <c r="J333" t="s">
        <v>2323</v>
      </c>
      <c r="K333" t="s">
        <v>2323</v>
      </c>
      <c r="L333">
        <v>957312</v>
      </c>
      <c r="M333" t="s">
        <v>2328</v>
      </c>
      <c r="N333" t="s">
        <v>2603</v>
      </c>
      <c r="O333" t="s">
        <v>3053</v>
      </c>
      <c r="P333" t="s">
        <v>3062</v>
      </c>
      <c r="Q333" t="s">
        <v>3217</v>
      </c>
      <c r="R333">
        <v>239.5</v>
      </c>
      <c r="S333">
        <v>4</v>
      </c>
      <c r="T333">
        <v>0.15</v>
      </c>
      <c r="U333">
        <v>-5.36</v>
      </c>
    </row>
    <row r="334" spans="1:21" x14ac:dyDescent="0.3">
      <c r="A334">
        <v>333</v>
      </c>
      <c r="B334" t="s">
        <v>353</v>
      </c>
      <c r="C334" s="2">
        <v>45772</v>
      </c>
      <c r="D334" s="2">
        <v>45774</v>
      </c>
      <c r="E334" t="s">
        <v>1521</v>
      </c>
      <c r="F334" t="s">
        <v>1751</v>
      </c>
      <c r="G334" t="s">
        <v>2073</v>
      </c>
      <c r="H334" t="s">
        <v>2316</v>
      </c>
      <c r="I334" t="s">
        <v>2317</v>
      </c>
      <c r="J334" t="s">
        <v>2320</v>
      </c>
      <c r="K334" t="s">
        <v>2320</v>
      </c>
      <c r="L334">
        <v>112755</v>
      </c>
      <c r="M334" t="s">
        <v>2330</v>
      </c>
      <c r="N334" t="s">
        <v>2604</v>
      </c>
      <c r="O334" t="s">
        <v>3055</v>
      </c>
      <c r="P334" t="s">
        <v>3060</v>
      </c>
      <c r="Q334" t="s">
        <v>3350</v>
      </c>
      <c r="R334">
        <v>432.72</v>
      </c>
      <c r="S334">
        <v>6</v>
      </c>
      <c r="T334">
        <v>0.15</v>
      </c>
      <c r="U334">
        <v>64.55</v>
      </c>
    </row>
    <row r="335" spans="1:21" x14ac:dyDescent="0.3">
      <c r="A335">
        <v>334</v>
      </c>
      <c r="B335" t="s">
        <v>354</v>
      </c>
      <c r="C335" s="2">
        <v>45744</v>
      </c>
      <c r="D335" s="2">
        <v>45745</v>
      </c>
      <c r="E335" t="s">
        <v>1523</v>
      </c>
      <c r="F335" t="s">
        <v>1544</v>
      </c>
      <c r="G335" t="s">
        <v>2082</v>
      </c>
      <c r="H335" t="s">
        <v>2315</v>
      </c>
      <c r="I335" t="s">
        <v>2317</v>
      </c>
      <c r="J335" t="s">
        <v>2326</v>
      </c>
      <c r="K335" t="s">
        <v>2326</v>
      </c>
      <c r="L335">
        <v>997883</v>
      </c>
      <c r="M335" t="s">
        <v>2331</v>
      </c>
      <c r="N335" t="s">
        <v>2535</v>
      </c>
      <c r="O335" t="s">
        <v>3054</v>
      </c>
      <c r="P335" t="s">
        <v>3064</v>
      </c>
      <c r="Q335" t="s">
        <v>3351</v>
      </c>
      <c r="R335">
        <v>205.02</v>
      </c>
      <c r="S335">
        <v>2</v>
      </c>
      <c r="T335">
        <v>0.2</v>
      </c>
      <c r="U335">
        <v>37.82</v>
      </c>
    </row>
    <row r="336" spans="1:21" x14ac:dyDescent="0.3">
      <c r="A336">
        <v>335</v>
      </c>
      <c r="B336" t="s">
        <v>355</v>
      </c>
      <c r="C336" s="2">
        <v>45950</v>
      </c>
      <c r="D336" s="2">
        <v>45953</v>
      </c>
      <c r="E336" t="s">
        <v>1523</v>
      </c>
      <c r="F336" t="s">
        <v>1701</v>
      </c>
      <c r="G336" t="s">
        <v>1934</v>
      </c>
      <c r="H336" t="s">
        <v>2315</v>
      </c>
      <c r="I336" t="s">
        <v>2317</v>
      </c>
      <c r="J336" t="s">
        <v>2322</v>
      </c>
      <c r="K336" t="s">
        <v>2322</v>
      </c>
      <c r="L336">
        <v>440459</v>
      </c>
      <c r="M336" t="s">
        <v>2331</v>
      </c>
      <c r="N336" t="s">
        <v>2526</v>
      </c>
      <c r="O336" t="s">
        <v>3054</v>
      </c>
      <c r="P336" t="s">
        <v>3057</v>
      </c>
      <c r="Q336" t="s">
        <v>3352</v>
      </c>
      <c r="R336">
        <v>195.98</v>
      </c>
      <c r="S336">
        <v>3</v>
      </c>
      <c r="T336">
        <v>0</v>
      </c>
      <c r="U336">
        <v>18.489999999999998</v>
      </c>
    </row>
    <row r="337" spans="1:21" x14ac:dyDescent="0.3">
      <c r="A337">
        <v>336</v>
      </c>
      <c r="B337" t="s">
        <v>356</v>
      </c>
      <c r="C337" s="2">
        <v>45807</v>
      </c>
      <c r="D337" s="2">
        <v>45809</v>
      </c>
      <c r="E337" t="s">
        <v>1524</v>
      </c>
      <c r="F337" t="s">
        <v>1752</v>
      </c>
      <c r="G337" t="s">
        <v>2112</v>
      </c>
      <c r="H337" t="s">
        <v>2315</v>
      </c>
      <c r="I337" t="s">
        <v>2317</v>
      </c>
      <c r="J337" t="s">
        <v>2326</v>
      </c>
      <c r="K337" t="s">
        <v>2326</v>
      </c>
      <c r="L337">
        <v>278168</v>
      </c>
      <c r="M337" t="s">
        <v>2331</v>
      </c>
      <c r="N337" t="s">
        <v>2605</v>
      </c>
      <c r="O337" t="s">
        <v>3054</v>
      </c>
      <c r="P337" t="s">
        <v>3057</v>
      </c>
      <c r="Q337" t="s">
        <v>3353</v>
      </c>
      <c r="R337">
        <v>196.88</v>
      </c>
      <c r="S337">
        <v>4</v>
      </c>
      <c r="T337">
        <v>0.2</v>
      </c>
      <c r="U337">
        <v>2.6</v>
      </c>
    </row>
    <row r="338" spans="1:21" x14ac:dyDescent="0.3">
      <c r="A338">
        <v>337</v>
      </c>
      <c r="B338" t="s">
        <v>357</v>
      </c>
      <c r="C338" s="2">
        <v>45838</v>
      </c>
      <c r="D338" s="2">
        <v>45840</v>
      </c>
      <c r="E338" t="s">
        <v>1524</v>
      </c>
      <c r="F338" t="s">
        <v>1681</v>
      </c>
      <c r="G338" t="s">
        <v>2150</v>
      </c>
      <c r="H338" t="s">
        <v>2316</v>
      </c>
      <c r="I338" t="s">
        <v>2317</v>
      </c>
      <c r="J338" t="s">
        <v>2326</v>
      </c>
      <c r="K338" t="s">
        <v>2326</v>
      </c>
      <c r="L338">
        <v>934212</v>
      </c>
      <c r="M338" t="s">
        <v>2331</v>
      </c>
      <c r="N338" t="s">
        <v>2606</v>
      </c>
      <c r="O338" t="s">
        <v>3055</v>
      </c>
      <c r="P338" t="s">
        <v>3059</v>
      </c>
      <c r="Q338" t="s">
        <v>3076</v>
      </c>
      <c r="R338">
        <v>230.72</v>
      </c>
      <c r="S338">
        <v>8</v>
      </c>
      <c r="T338">
        <v>0.15</v>
      </c>
      <c r="U338">
        <v>88.49</v>
      </c>
    </row>
    <row r="339" spans="1:21" x14ac:dyDescent="0.3">
      <c r="A339">
        <v>338</v>
      </c>
      <c r="B339" t="s">
        <v>358</v>
      </c>
      <c r="C339" s="2">
        <v>45483</v>
      </c>
      <c r="D339" s="2">
        <v>45486</v>
      </c>
      <c r="E339" t="s">
        <v>1521</v>
      </c>
      <c r="F339" t="s">
        <v>1722</v>
      </c>
      <c r="G339" t="s">
        <v>2151</v>
      </c>
      <c r="H339" t="s">
        <v>2314</v>
      </c>
      <c r="I339" t="s">
        <v>2317</v>
      </c>
      <c r="J339" t="s">
        <v>2322</v>
      </c>
      <c r="K339" t="s">
        <v>2322</v>
      </c>
      <c r="L339">
        <v>444950</v>
      </c>
      <c r="M339" t="s">
        <v>2331</v>
      </c>
      <c r="N339" t="s">
        <v>2580</v>
      </c>
      <c r="O339" t="s">
        <v>3053</v>
      </c>
      <c r="P339" t="s">
        <v>3066</v>
      </c>
      <c r="Q339" t="s">
        <v>3354</v>
      </c>
      <c r="R339">
        <v>199.7</v>
      </c>
      <c r="S339">
        <v>6</v>
      </c>
      <c r="T339">
        <v>0.05</v>
      </c>
      <c r="U339">
        <v>29.19</v>
      </c>
    </row>
    <row r="340" spans="1:21" x14ac:dyDescent="0.3">
      <c r="A340">
        <v>339</v>
      </c>
      <c r="B340" t="s">
        <v>359</v>
      </c>
      <c r="C340" s="2">
        <v>45340</v>
      </c>
      <c r="D340" s="2">
        <v>45342</v>
      </c>
      <c r="E340" t="s">
        <v>1523</v>
      </c>
      <c r="F340" t="s">
        <v>1707</v>
      </c>
      <c r="G340" t="s">
        <v>1984</v>
      </c>
      <c r="H340" t="s">
        <v>2316</v>
      </c>
      <c r="I340" t="s">
        <v>2317</v>
      </c>
      <c r="J340" t="s">
        <v>2324</v>
      </c>
      <c r="K340" t="s">
        <v>2324</v>
      </c>
      <c r="L340">
        <v>458243</v>
      </c>
      <c r="M340" t="s">
        <v>2330</v>
      </c>
      <c r="N340" t="s">
        <v>2607</v>
      </c>
      <c r="O340" t="s">
        <v>3055</v>
      </c>
      <c r="P340" t="s">
        <v>3061</v>
      </c>
      <c r="Q340" t="s">
        <v>3355</v>
      </c>
      <c r="R340">
        <v>305.13</v>
      </c>
      <c r="S340">
        <v>4</v>
      </c>
      <c r="T340">
        <v>0.05</v>
      </c>
      <c r="U340">
        <v>76.02</v>
      </c>
    </row>
    <row r="341" spans="1:21" x14ac:dyDescent="0.3">
      <c r="A341">
        <v>340</v>
      </c>
      <c r="B341" t="s">
        <v>360</v>
      </c>
      <c r="C341" s="2">
        <v>45803</v>
      </c>
      <c r="D341" s="2">
        <v>45806</v>
      </c>
      <c r="E341" t="s">
        <v>1521</v>
      </c>
      <c r="F341" t="s">
        <v>1643</v>
      </c>
      <c r="G341" t="s">
        <v>2152</v>
      </c>
      <c r="H341" t="s">
        <v>2316</v>
      </c>
      <c r="I341" t="s">
        <v>2317</v>
      </c>
      <c r="J341" t="s">
        <v>2325</v>
      </c>
      <c r="K341" t="s">
        <v>2325</v>
      </c>
      <c r="L341">
        <v>933608</v>
      </c>
      <c r="M341" t="s">
        <v>2332</v>
      </c>
      <c r="N341" t="s">
        <v>2608</v>
      </c>
      <c r="O341" t="s">
        <v>3055</v>
      </c>
      <c r="P341" t="s">
        <v>3060</v>
      </c>
      <c r="Q341" t="s">
        <v>3356</v>
      </c>
      <c r="R341">
        <v>466.59</v>
      </c>
      <c r="S341">
        <v>9</v>
      </c>
      <c r="T341">
        <v>0.15</v>
      </c>
      <c r="U341">
        <v>37.299999999999997</v>
      </c>
    </row>
    <row r="342" spans="1:21" x14ac:dyDescent="0.3">
      <c r="A342">
        <v>341</v>
      </c>
      <c r="B342" t="s">
        <v>361</v>
      </c>
      <c r="C342" s="2">
        <v>45308</v>
      </c>
      <c r="D342" s="2">
        <v>45309</v>
      </c>
      <c r="E342" t="s">
        <v>1522</v>
      </c>
      <c r="F342" t="s">
        <v>1544</v>
      </c>
      <c r="G342" t="s">
        <v>2093</v>
      </c>
      <c r="H342" t="s">
        <v>2316</v>
      </c>
      <c r="I342" t="s">
        <v>2317</v>
      </c>
      <c r="J342" t="s">
        <v>2323</v>
      </c>
      <c r="K342" t="s">
        <v>2323</v>
      </c>
      <c r="L342">
        <v>672290</v>
      </c>
      <c r="M342" t="s">
        <v>2328</v>
      </c>
      <c r="N342" t="s">
        <v>2609</v>
      </c>
      <c r="O342" t="s">
        <v>3054</v>
      </c>
      <c r="P342" t="s">
        <v>3057</v>
      </c>
      <c r="Q342" t="s">
        <v>3357</v>
      </c>
      <c r="R342">
        <v>71.989999999999995</v>
      </c>
      <c r="S342">
        <v>8</v>
      </c>
      <c r="T342">
        <v>0.15</v>
      </c>
      <c r="U342">
        <v>6.39</v>
      </c>
    </row>
    <row r="343" spans="1:21" x14ac:dyDescent="0.3">
      <c r="A343">
        <v>342</v>
      </c>
      <c r="B343" t="s">
        <v>362</v>
      </c>
      <c r="C343" s="2">
        <v>45463</v>
      </c>
      <c r="D343" s="2">
        <v>45465</v>
      </c>
      <c r="E343" t="s">
        <v>1521</v>
      </c>
      <c r="F343" t="s">
        <v>1753</v>
      </c>
      <c r="G343" t="s">
        <v>2153</v>
      </c>
      <c r="H343" t="s">
        <v>2316</v>
      </c>
      <c r="I343" t="s">
        <v>2317</v>
      </c>
      <c r="J343" t="s">
        <v>2327</v>
      </c>
      <c r="K343" t="s">
        <v>2327</v>
      </c>
      <c r="L343">
        <v>899717</v>
      </c>
      <c r="M343" t="s">
        <v>2330</v>
      </c>
      <c r="N343" t="s">
        <v>2446</v>
      </c>
      <c r="O343" t="s">
        <v>3054</v>
      </c>
      <c r="P343" t="s">
        <v>3064</v>
      </c>
      <c r="Q343" t="s">
        <v>3358</v>
      </c>
      <c r="R343">
        <v>183.86</v>
      </c>
      <c r="S343">
        <v>9</v>
      </c>
      <c r="T343">
        <v>0.3</v>
      </c>
      <c r="U343">
        <v>-3.85</v>
      </c>
    </row>
    <row r="344" spans="1:21" x14ac:dyDescent="0.3">
      <c r="A344">
        <v>343</v>
      </c>
      <c r="B344" t="s">
        <v>363</v>
      </c>
      <c r="C344" s="2">
        <v>45511</v>
      </c>
      <c r="D344" s="2">
        <v>45513</v>
      </c>
      <c r="E344" t="s">
        <v>1521</v>
      </c>
      <c r="F344" t="s">
        <v>1714</v>
      </c>
      <c r="G344" t="s">
        <v>2039</v>
      </c>
      <c r="H344" t="s">
        <v>2314</v>
      </c>
      <c r="I344" t="s">
        <v>2317</v>
      </c>
      <c r="J344" t="s">
        <v>2327</v>
      </c>
      <c r="K344" t="s">
        <v>2327</v>
      </c>
      <c r="L344">
        <v>494813</v>
      </c>
      <c r="M344" t="s">
        <v>2330</v>
      </c>
      <c r="N344" t="s">
        <v>2367</v>
      </c>
      <c r="O344" t="s">
        <v>3053</v>
      </c>
      <c r="P344" t="s">
        <v>3062</v>
      </c>
      <c r="Q344" t="s">
        <v>3359</v>
      </c>
      <c r="R344">
        <v>278.32</v>
      </c>
      <c r="S344">
        <v>1</v>
      </c>
      <c r="T344">
        <v>0.3</v>
      </c>
      <c r="U344">
        <v>-7.31</v>
      </c>
    </row>
    <row r="345" spans="1:21" x14ac:dyDescent="0.3">
      <c r="A345">
        <v>344</v>
      </c>
      <c r="B345" t="s">
        <v>364</v>
      </c>
      <c r="C345" s="2">
        <v>45449</v>
      </c>
      <c r="D345" s="2">
        <v>45452</v>
      </c>
      <c r="E345" t="s">
        <v>1522</v>
      </c>
      <c r="F345" t="s">
        <v>1540</v>
      </c>
      <c r="G345" t="s">
        <v>2154</v>
      </c>
      <c r="H345" t="s">
        <v>2314</v>
      </c>
      <c r="I345" t="s">
        <v>2317</v>
      </c>
      <c r="J345" t="s">
        <v>2323</v>
      </c>
      <c r="K345" t="s">
        <v>2323</v>
      </c>
      <c r="L345">
        <v>735861</v>
      </c>
      <c r="M345" t="s">
        <v>2328</v>
      </c>
      <c r="N345" t="s">
        <v>2563</v>
      </c>
      <c r="O345" t="s">
        <v>3054</v>
      </c>
      <c r="P345" t="s">
        <v>3063</v>
      </c>
      <c r="Q345" t="s">
        <v>3360</v>
      </c>
      <c r="R345">
        <v>27.84</v>
      </c>
      <c r="S345">
        <v>5</v>
      </c>
      <c r="T345">
        <v>0.05</v>
      </c>
      <c r="U345">
        <v>-5</v>
      </c>
    </row>
    <row r="346" spans="1:21" x14ac:dyDescent="0.3">
      <c r="A346">
        <v>345</v>
      </c>
      <c r="B346" t="s">
        <v>365</v>
      </c>
      <c r="C346" s="2">
        <v>45768</v>
      </c>
      <c r="D346" s="2">
        <v>45770</v>
      </c>
      <c r="E346" t="s">
        <v>1523</v>
      </c>
      <c r="F346" t="s">
        <v>1641</v>
      </c>
      <c r="G346" t="s">
        <v>2155</v>
      </c>
      <c r="H346" t="s">
        <v>2314</v>
      </c>
      <c r="I346" t="s">
        <v>2317</v>
      </c>
      <c r="J346" t="s">
        <v>2324</v>
      </c>
      <c r="K346" t="s">
        <v>2324</v>
      </c>
      <c r="L346">
        <v>938569</v>
      </c>
      <c r="M346" t="s">
        <v>2330</v>
      </c>
      <c r="N346" t="s">
        <v>2532</v>
      </c>
      <c r="O346" t="s">
        <v>3053</v>
      </c>
      <c r="P346" t="s">
        <v>3062</v>
      </c>
      <c r="Q346" t="s">
        <v>3361</v>
      </c>
      <c r="R346">
        <v>60.43</v>
      </c>
      <c r="S346">
        <v>2</v>
      </c>
      <c r="T346">
        <v>0.3</v>
      </c>
      <c r="U346">
        <v>-50.91</v>
      </c>
    </row>
    <row r="347" spans="1:21" x14ac:dyDescent="0.3">
      <c r="A347">
        <v>346</v>
      </c>
      <c r="B347" t="s">
        <v>366</v>
      </c>
      <c r="C347" s="2">
        <v>45337</v>
      </c>
      <c r="D347" s="2">
        <v>45340</v>
      </c>
      <c r="E347" t="s">
        <v>1521</v>
      </c>
      <c r="F347" t="s">
        <v>1577</v>
      </c>
      <c r="G347" t="s">
        <v>1996</v>
      </c>
      <c r="H347" t="s">
        <v>2316</v>
      </c>
      <c r="I347" t="s">
        <v>2317</v>
      </c>
      <c r="J347" t="s">
        <v>2327</v>
      </c>
      <c r="K347" t="s">
        <v>2327</v>
      </c>
      <c r="L347">
        <v>753668</v>
      </c>
      <c r="M347" t="s">
        <v>2330</v>
      </c>
      <c r="N347" t="s">
        <v>2610</v>
      </c>
      <c r="O347" t="s">
        <v>3053</v>
      </c>
      <c r="P347" t="s">
        <v>3056</v>
      </c>
      <c r="Q347" t="s">
        <v>3181</v>
      </c>
      <c r="R347">
        <v>151.47999999999999</v>
      </c>
      <c r="S347">
        <v>1</v>
      </c>
      <c r="T347">
        <v>0.2</v>
      </c>
      <c r="U347">
        <v>-7.03</v>
      </c>
    </row>
    <row r="348" spans="1:21" x14ac:dyDescent="0.3">
      <c r="A348">
        <v>347</v>
      </c>
      <c r="B348" t="s">
        <v>367</v>
      </c>
      <c r="C348" s="2">
        <v>45664</v>
      </c>
      <c r="D348" s="2">
        <v>45668</v>
      </c>
      <c r="E348" t="s">
        <v>1522</v>
      </c>
      <c r="F348" t="s">
        <v>1754</v>
      </c>
      <c r="G348" t="s">
        <v>2156</v>
      </c>
      <c r="H348" t="s">
        <v>2316</v>
      </c>
      <c r="I348" t="s">
        <v>2317</v>
      </c>
      <c r="J348" t="s">
        <v>2326</v>
      </c>
      <c r="K348" t="s">
        <v>2326</v>
      </c>
      <c r="L348">
        <v>287840</v>
      </c>
      <c r="M348" t="s">
        <v>2331</v>
      </c>
      <c r="N348" t="s">
        <v>2611</v>
      </c>
      <c r="O348" t="s">
        <v>3053</v>
      </c>
      <c r="P348" t="s">
        <v>3056</v>
      </c>
      <c r="Q348" t="s">
        <v>3138</v>
      </c>
      <c r="R348">
        <v>69.67</v>
      </c>
      <c r="S348">
        <v>9</v>
      </c>
      <c r="T348">
        <v>0.4</v>
      </c>
      <c r="U348">
        <v>1.5</v>
      </c>
    </row>
    <row r="349" spans="1:21" x14ac:dyDescent="0.3">
      <c r="A349">
        <v>348</v>
      </c>
      <c r="B349" t="s">
        <v>368</v>
      </c>
      <c r="C349" s="2">
        <v>45809</v>
      </c>
      <c r="D349" s="2">
        <v>45812</v>
      </c>
      <c r="E349" t="s">
        <v>1523</v>
      </c>
      <c r="F349" t="s">
        <v>1755</v>
      </c>
      <c r="G349" t="s">
        <v>2017</v>
      </c>
      <c r="H349" t="s">
        <v>2316</v>
      </c>
      <c r="I349" t="s">
        <v>2317</v>
      </c>
      <c r="J349" t="s">
        <v>2321</v>
      </c>
      <c r="K349" t="s">
        <v>2321</v>
      </c>
      <c r="L349">
        <v>341424</v>
      </c>
      <c r="M349" t="s">
        <v>2329</v>
      </c>
      <c r="N349" t="s">
        <v>2612</v>
      </c>
      <c r="O349" t="s">
        <v>3054</v>
      </c>
      <c r="P349" t="s">
        <v>3063</v>
      </c>
      <c r="Q349" t="s">
        <v>3362</v>
      </c>
      <c r="R349">
        <v>77.680000000000007</v>
      </c>
      <c r="S349">
        <v>3</v>
      </c>
      <c r="T349">
        <v>0.1</v>
      </c>
      <c r="U349">
        <v>-21.12</v>
      </c>
    </row>
    <row r="350" spans="1:21" x14ac:dyDescent="0.3">
      <c r="A350">
        <v>349</v>
      </c>
      <c r="B350" t="s">
        <v>369</v>
      </c>
      <c r="C350" s="2">
        <v>45390</v>
      </c>
      <c r="D350" s="2">
        <v>45393</v>
      </c>
      <c r="E350" t="s">
        <v>1522</v>
      </c>
      <c r="F350" t="s">
        <v>1585</v>
      </c>
      <c r="G350" t="s">
        <v>2065</v>
      </c>
      <c r="H350" t="s">
        <v>2314</v>
      </c>
      <c r="I350" t="s">
        <v>2317</v>
      </c>
      <c r="J350" t="s">
        <v>2320</v>
      </c>
      <c r="K350" t="s">
        <v>2320</v>
      </c>
      <c r="L350">
        <v>890944</v>
      </c>
      <c r="M350" t="s">
        <v>2330</v>
      </c>
      <c r="N350" t="s">
        <v>2613</v>
      </c>
      <c r="O350" t="s">
        <v>3055</v>
      </c>
      <c r="P350" t="s">
        <v>3067</v>
      </c>
      <c r="Q350" t="s">
        <v>3363</v>
      </c>
      <c r="R350">
        <v>616.05999999999995</v>
      </c>
      <c r="S350">
        <v>4</v>
      </c>
      <c r="T350">
        <v>0.15</v>
      </c>
      <c r="U350">
        <v>23.01</v>
      </c>
    </row>
    <row r="351" spans="1:21" x14ac:dyDescent="0.3">
      <c r="A351">
        <v>350</v>
      </c>
      <c r="B351" t="s">
        <v>370</v>
      </c>
      <c r="C351" s="2">
        <v>45328</v>
      </c>
      <c r="D351" s="2">
        <v>45333</v>
      </c>
      <c r="E351" t="s">
        <v>1521</v>
      </c>
      <c r="F351" t="s">
        <v>1711</v>
      </c>
      <c r="G351" t="s">
        <v>2157</v>
      </c>
      <c r="H351" t="s">
        <v>2316</v>
      </c>
      <c r="I351" t="s">
        <v>2317</v>
      </c>
      <c r="J351" t="s">
        <v>2319</v>
      </c>
      <c r="K351" t="s">
        <v>2319</v>
      </c>
      <c r="L351">
        <v>457851</v>
      </c>
      <c r="M351" t="s">
        <v>2329</v>
      </c>
      <c r="N351" t="s">
        <v>2334</v>
      </c>
      <c r="O351" t="s">
        <v>3054</v>
      </c>
      <c r="P351" t="s">
        <v>3058</v>
      </c>
      <c r="Q351" t="s">
        <v>3364</v>
      </c>
      <c r="R351">
        <v>85.77</v>
      </c>
      <c r="S351">
        <v>4</v>
      </c>
      <c r="T351">
        <v>0.15</v>
      </c>
      <c r="U351">
        <v>0.39</v>
      </c>
    </row>
    <row r="352" spans="1:21" x14ac:dyDescent="0.3">
      <c r="A352">
        <v>351</v>
      </c>
      <c r="B352" t="s">
        <v>371</v>
      </c>
      <c r="C352" s="2">
        <v>45571</v>
      </c>
      <c r="D352" s="2">
        <v>45573</v>
      </c>
      <c r="E352" t="s">
        <v>1521</v>
      </c>
      <c r="F352" t="s">
        <v>1631</v>
      </c>
      <c r="G352" t="s">
        <v>2158</v>
      </c>
      <c r="H352" t="s">
        <v>2316</v>
      </c>
      <c r="I352" t="s">
        <v>2317</v>
      </c>
      <c r="J352" t="s">
        <v>2327</v>
      </c>
      <c r="K352" t="s">
        <v>2327</v>
      </c>
      <c r="L352">
        <v>755354</v>
      </c>
      <c r="M352" t="s">
        <v>2330</v>
      </c>
      <c r="N352" t="s">
        <v>2614</v>
      </c>
      <c r="O352" t="s">
        <v>3054</v>
      </c>
      <c r="P352" t="s">
        <v>3064</v>
      </c>
      <c r="Q352" t="s">
        <v>3365</v>
      </c>
      <c r="R352">
        <v>55.06</v>
      </c>
      <c r="S352">
        <v>3</v>
      </c>
      <c r="T352">
        <v>0.2</v>
      </c>
      <c r="U352">
        <v>-11.56</v>
      </c>
    </row>
    <row r="353" spans="1:21" x14ac:dyDescent="0.3">
      <c r="A353">
        <v>352</v>
      </c>
      <c r="B353" t="s">
        <v>372</v>
      </c>
      <c r="C353" s="2">
        <v>45640</v>
      </c>
      <c r="D353" s="2">
        <v>45645</v>
      </c>
      <c r="E353" t="s">
        <v>1523</v>
      </c>
      <c r="F353" t="s">
        <v>1756</v>
      </c>
      <c r="G353" t="s">
        <v>2159</v>
      </c>
      <c r="H353" t="s">
        <v>2314</v>
      </c>
      <c r="I353" t="s">
        <v>2317</v>
      </c>
      <c r="J353" t="s">
        <v>2323</v>
      </c>
      <c r="K353" t="s">
        <v>2323</v>
      </c>
      <c r="L353">
        <v>202416</v>
      </c>
      <c r="M353" t="s">
        <v>2328</v>
      </c>
      <c r="N353" t="s">
        <v>2409</v>
      </c>
      <c r="O353" t="s">
        <v>3055</v>
      </c>
      <c r="P353" t="s">
        <v>3060</v>
      </c>
      <c r="Q353" t="s">
        <v>3366</v>
      </c>
      <c r="R353">
        <v>607.82000000000005</v>
      </c>
      <c r="S353">
        <v>5</v>
      </c>
      <c r="T353">
        <v>0.15</v>
      </c>
      <c r="U353">
        <v>15.24</v>
      </c>
    </row>
    <row r="354" spans="1:21" x14ac:dyDescent="0.3">
      <c r="A354">
        <v>353</v>
      </c>
      <c r="B354" t="s">
        <v>373</v>
      </c>
      <c r="C354" s="2">
        <v>45788</v>
      </c>
      <c r="D354" s="2">
        <v>45793</v>
      </c>
      <c r="E354" t="s">
        <v>1522</v>
      </c>
      <c r="F354" t="s">
        <v>1757</v>
      </c>
      <c r="G354" t="s">
        <v>2160</v>
      </c>
      <c r="H354" t="s">
        <v>2314</v>
      </c>
      <c r="I354" t="s">
        <v>2317</v>
      </c>
      <c r="J354" t="s">
        <v>2321</v>
      </c>
      <c r="K354" t="s">
        <v>2321</v>
      </c>
      <c r="L354">
        <v>964899</v>
      </c>
      <c r="M354" t="s">
        <v>2329</v>
      </c>
      <c r="N354" t="s">
        <v>2615</v>
      </c>
      <c r="O354" t="s">
        <v>3053</v>
      </c>
      <c r="P354" t="s">
        <v>3056</v>
      </c>
      <c r="Q354" t="s">
        <v>3367</v>
      </c>
      <c r="R354">
        <v>76.48</v>
      </c>
      <c r="S354">
        <v>3</v>
      </c>
      <c r="T354">
        <v>0.2</v>
      </c>
      <c r="U354">
        <v>-62.66</v>
      </c>
    </row>
    <row r="355" spans="1:21" x14ac:dyDescent="0.3">
      <c r="A355">
        <v>354</v>
      </c>
      <c r="B355" t="s">
        <v>374</v>
      </c>
      <c r="C355" s="2">
        <v>45593</v>
      </c>
      <c r="D355" s="2">
        <v>45596</v>
      </c>
      <c r="E355" t="s">
        <v>1522</v>
      </c>
      <c r="F355" t="s">
        <v>1758</v>
      </c>
      <c r="G355" t="s">
        <v>2161</v>
      </c>
      <c r="H355" t="s">
        <v>2315</v>
      </c>
      <c r="I355" t="s">
        <v>2317</v>
      </c>
      <c r="J355" t="s">
        <v>2322</v>
      </c>
      <c r="K355" t="s">
        <v>2322</v>
      </c>
      <c r="L355">
        <v>507124</v>
      </c>
      <c r="M355" t="s">
        <v>2331</v>
      </c>
      <c r="N355" t="s">
        <v>2616</v>
      </c>
      <c r="O355" t="s">
        <v>3054</v>
      </c>
      <c r="P355" t="s">
        <v>3057</v>
      </c>
      <c r="Q355" t="s">
        <v>3368</v>
      </c>
      <c r="R355">
        <v>102.34</v>
      </c>
      <c r="S355">
        <v>9</v>
      </c>
      <c r="T355">
        <v>0.15</v>
      </c>
      <c r="U355">
        <v>27.36</v>
      </c>
    </row>
    <row r="356" spans="1:21" x14ac:dyDescent="0.3">
      <c r="A356">
        <v>355</v>
      </c>
      <c r="B356" t="s">
        <v>375</v>
      </c>
      <c r="C356" s="2">
        <v>45472</v>
      </c>
      <c r="D356" s="2">
        <v>45474</v>
      </c>
      <c r="E356" t="s">
        <v>1522</v>
      </c>
      <c r="F356" t="s">
        <v>1759</v>
      </c>
      <c r="G356" t="s">
        <v>2109</v>
      </c>
      <c r="H356" t="s">
        <v>2316</v>
      </c>
      <c r="I356" t="s">
        <v>2317</v>
      </c>
      <c r="J356" t="s">
        <v>2325</v>
      </c>
      <c r="K356" t="s">
        <v>2325</v>
      </c>
      <c r="L356">
        <v>904114</v>
      </c>
      <c r="M356" t="s">
        <v>2332</v>
      </c>
      <c r="N356" t="s">
        <v>2617</v>
      </c>
      <c r="O356" t="s">
        <v>3053</v>
      </c>
      <c r="P356" t="s">
        <v>3062</v>
      </c>
      <c r="Q356" t="s">
        <v>3369</v>
      </c>
      <c r="R356">
        <v>64.349999999999994</v>
      </c>
      <c r="S356">
        <v>2</v>
      </c>
      <c r="T356">
        <v>0.15</v>
      </c>
      <c r="U356">
        <v>6.26</v>
      </c>
    </row>
    <row r="357" spans="1:21" x14ac:dyDescent="0.3">
      <c r="A357">
        <v>356</v>
      </c>
      <c r="B357" t="s">
        <v>376</v>
      </c>
      <c r="C357" s="2">
        <v>45898</v>
      </c>
      <c r="D357" s="2">
        <v>45900</v>
      </c>
      <c r="E357" t="s">
        <v>1523</v>
      </c>
      <c r="F357" t="s">
        <v>1760</v>
      </c>
      <c r="G357" t="s">
        <v>2162</v>
      </c>
      <c r="H357" t="s">
        <v>2314</v>
      </c>
      <c r="I357" t="s">
        <v>2317</v>
      </c>
      <c r="J357" t="s">
        <v>2323</v>
      </c>
      <c r="K357" t="s">
        <v>2323</v>
      </c>
      <c r="L357">
        <v>983583</v>
      </c>
      <c r="M357" t="s">
        <v>2328</v>
      </c>
      <c r="N357" t="s">
        <v>2584</v>
      </c>
      <c r="O357" t="s">
        <v>3054</v>
      </c>
      <c r="P357" t="s">
        <v>3058</v>
      </c>
      <c r="Q357" t="s">
        <v>3370</v>
      </c>
      <c r="R357">
        <v>263.55</v>
      </c>
      <c r="S357">
        <v>6</v>
      </c>
      <c r="T357">
        <v>0.1</v>
      </c>
      <c r="U357">
        <v>47.9</v>
      </c>
    </row>
    <row r="358" spans="1:21" x14ac:dyDescent="0.3">
      <c r="A358">
        <v>357</v>
      </c>
      <c r="B358" t="s">
        <v>377</v>
      </c>
      <c r="C358" s="2">
        <v>45390</v>
      </c>
      <c r="D358" s="2">
        <v>45391</v>
      </c>
      <c r="E358" t="s">
        <v>1524</v>
      </c>
      <c r="F358" t="s">
        <v>1761</v>
      </c>
      <c r="G358" t="s">
        <v>2163</v>
      </c>
      <c r="H358" t="s">
        <v>2315</v>
      </c>
      <c r="I358" t="s">
        <v>2317</v>
      </c>
      <c r="J358" t="s">
        <v>2326</v>
      </c>
      <c r="K358" t="s">
        <v>2326</v>
      </c>
      <c r="L358">
        <v>229789</v>
      </c>
      <c r="M358" t="s">
        <v>2331</v>
      </c>
      <c r="N358" t="s">
        <v>2618</v>
      </c>
      <c r="O358" t="s">
        <v>3054</v>
      </c>
      <c r="P358" t="s">
        <v>3064</v>
      </c>
      <c r="Q358" t="s">
        <v>3371</v>
      </c>
      <c r="R358">
        <v>98.09</v>
      </c>
      <c r="S358">
        <v>5</v>
      </c>
      <c r="T358">
        <v>0.1</v>
      </c>
      <c r="U358">
        <v>28.91</v>
      </c>
    </row>
    <row r="359" spans="1:21" x14ac:dyDescent="0.3">
      <c r="A359">
        <v>358</v>
      </c>
      <c r="B359" t="s">
        <v>378</v>
      </c>
      <c r="C359" s="2">
        <v>45991</v>
      </c>
      <c r="D359" s="2">
        <v>45993</v>
      </c>
      <c r="E359" t="s">
        <v>1522</v>
      </c>
      <c r="F359" t="s">
        <v>1668</v>
      </c>
      <c r="G359" t="s">
        <v>1962</v>
      </c>
      <c r="H359" t="s">
        <v>2315</v>
      </c>
      <c r="I359" t="s">
        <v>2317</v>
      </c>
      <c r="J359" t="s">
        <v>2325</v>
      </c>
      <c r="K359" t="s">
        <v>2325</v>
      </c>
      <c r="L359">
        <v>895818</v>
      </c>
      <c r="M359" t="s">
        <v>2332</v>
      </c>
      <c r="N359" t="s">
        <v>2619</v>
      </c>
      <c r="O359" t="s">
        <v>3053</v>
      </c>
      <c r="P359" t="s">
        <v>3066</v>
      </c>
      <c r="Q359" t="s">
        <v>3346</v>
      </c>
      <c r="R359">
        <v>85.36</v>
      </c>
      <c r="S359">
        <v>3</v>
      </c>
      <c r="T359">
        <v>0.15</v>
      </c>
      <c r="U359">
        <v>48.99</v>
      </c>
    </row>
    <row r="360" spans="1:21" x14ac:dyDescent="0.3">
      <c r="A360">
        <v>359</v>
      </c>
      <c r="B360" t="s">
        <v>379</v>
      </c>
      <c r="C360" s="2">
        <v>45407</v>
      </c>
      <c r="D360" s="2">
        <v>45409</v>
      </c>
      <c r="E360" t="s">
        <v>1522</v>
      </c>
      <c r="F360" t="s">
        <v>1762</v>
      </c>
      <c r="G360" t="s">
        <v>2164</v>
      </c>
      <c r="H360" t="s">
        <v>2316</v>
      </c>
      <c r="I360" t="s">
        <v>2317</v>
      </c>
      <c r="J360" t="s">
        <v>2320</v>
      </c>
      <c r="K360" t="s">
        <v>2320</v>
      </c>
      <c r="L360">
        <v>516363</v>
      </c>
      <c r="M360" t="s">
        <v>2330</v>
      </c>
      <c r="N360" t="s">
        <v>2620</v>
      </c>
      <c r="O360" t="s">
        <v>3053</v>
      </c>
      <c r="P360" t="s">
        <v>3066</v>
      </c>
      <c r="Q360" t="s">
        <v>3372</v>
      </c>
      <c r="R360">
        <v>92.75</v>
      </c>
      <c r="S360">
        <v>8</v>
      </c>
      <c r="T360">
        <v>0.2</v>
      </c>
      <c r="U360">
        <v>-5.98</v>
      </c>
    </row>
    <row r="361" spans="1:21" x14ac:dyDescent="0.3">
      <c r="A361">
        <v>360</v>
      </c>
      <c r="B361" t="s">
        <v>380</v>
      </c>
      <c r="C361" s="2">
        <v>45482</v>
      </c>
      <c r="D361" s="2">
        <v>45485</v>
      </c>
      <c r="E361" t="s">
        <v>1524</v>
      </c>
      <c r="F361" t="s">
        <v>1642</v>
      </c>
      <c r="G361" t="s">
        <v>2148</v>
      </c>
      <c r="H361" t="s">
        <v>2314</v>
      </c>
      <c r="I361" t="s">
        <v>2317</v>
      </c>
      <c r="J361" t="s">
        <v>2320</v>
      </c>
      <c r="K361" t="s">
        <v>2320</v>
      </c>
      <c r="L361">
        <v>157124</v>
      </c>
      <c r="M361" t="s">
        <v>2330</v>
      </c>
      <c r="N361" t="s">
        <v>2411</v>
      </c>
      <c r="O361" t="s">
        <v>3054</v>
      </c>
      <c r="P361" t="s">
        <v>3064</v>
      </c>
      <c r="Q361" t="s">
        <v>3373</v>
      </c>
      <c r="R361">
        <v>42.43</v>
      </c>
      <c r="S361">
        <v>8</v>
      </c>
      <c r="T361">
        <v>0.05</v>
      </c>
      <c r="U361">
        <v>23.91</v>
      </c>
    </row>
    <row r="362" spans="1:21" x14ac:dyDescent="0.3">
      <c r="A362">
        <v>361</v>
      </c>
      <c r="B362" t="s">
        <v>381</v>
      </c>
      <c r="C362" s="2">
        <v>45544</v>
      </c>
      <c r="D362" s="2">
        <v>45549</v>
      </c>
      <c r="E362" t="s">
        <v>1523</v>
      </c>
      <c r="F362" t="s">
        <v>1681</v>
      </c>
      <c r="G362" t="s">
        <v>2031</v>
      </c>
      <c r="H362" t="s">
        <v>2316</v>
      </c>
      <c r="I362" t="s">
        <v>2317</v>
      </c>
      <c r="J362" t="s">
        <v>2324</v>
      </c>
      <c r="K362" t="s">
        <v>2324</v>
      </c>
      <c r="L362">
        <v>794934</v>
      </c>
      <c r="M362" t="s">
        <v>2330</v>
      </c>
      <c r="N362" t="s">
        <v>2429</v>
      </c>
      <c r="O362" t="s">
        <v>3054</v>
      </c>
      <c r="P362" t="s">
        <v>3057</v>
      </c>
      <c r="Q362" t="s">
        <v>3207</v>
      </c>
      <c r="R362">
        <v>67.180000000000007</v>
      </c>
      <c r="S362">
        <v>1</v>
      </c>
      <c r="T362">
        <v>0.2</v>
      </c>
      <c r="U362">
        <v>42.21</v>
      </c>
    </row>
    <row r="363" spans="1:21" x14ac:dyDescent="0.3">
      <c r="A363">
        <v>362</v>
      </c>
      <c r="B363" t="s">
        <v>382</v>
      </c>
      <c r="C363" s="2">
        <v>45452</v>
      </c>
      <c r="D363" s="2">
        <v>45455</v>
      </c>
      <c r="E363" t="s">
        <v>1522</v>
      </c>
      <c r="F363" t="s">
        <v>1561</v>
      </c>
      <c r="G363" t="s">
        <v>1950</v>
      </c>
      <c r="H363" t="s">
        <v>2314</v>
      </c>
      <c r="I363" t="s">
        <v>2317</v>
      </c>
      <c r="J363" t="s">
        <v>2318</v>
      </c>
      <c r="K363" t="s">
        <v>2318</v>
      </c>
      <c r="L363">
        <v>808032</v>
      </c>
      <c r="M363" t="s">
        <v>2328</v>
      </c>
      <c r="N363" t="s">
        <v>2621</v>
      </c>
      <c r="O363" t="s">
        <v>3055</v>
      </c>
      <c r="P363" t="s">
        <v>3060</v>
      </c>
      <c r="Q363" t="s">
        <v>3374</v>
      </c>
      <c r="R363">
        <v>327.58</v>
      </c>
      <c r="S363">
        <v>5</v>
      </c>
      <c r="T363">
        <v>0.2</v>
      </c>
      <c r="U363">
        <v>40.549999999999997</v>
      </c>
    </row>
    <row r="364" spans="1:21" x14ac:dyDescent="0.3">
      <c r="A364">
        <v>363</v>
      </c>
      <c r="B364" t="s">
        <v>383</v>
      </c>
      <c r="C364" s="2">
        <v>45547</v>
      </c>
      <c r="D364" s="2">
        <v>45550</v>
      </c>
      <c r="E364" t="s">
        <v>1521</v>
      </c>
      <c r="F364" t="s">
        <v>1763</v>
      </c>
      <c r="G364" t="s">
        <v>2165</v>
      </c>
      <c r="H364" t="s">
        <v>2314</v>
      </c>
      <c r="I364" t="s">
        <v>2317</v>
      </c>
      <c r="J364" t="s">
        <v>2324</v>
      </c>
      <c r="K364" t="s">
        <v>2324</v>
      </c>
      <c r="L364">
        <v>766469</v>
      </c>
      <c r="M364" t="s">
        <v>2330</v>
      </c>
      <c r="N364" t="s">
        <v>2622</v>
      </c>
      <c r="O364" t="s">
        <v>3055</v>
      </c>
      <c r="P364" t="s">
        <v>3059</v>
      </c>
      <c r="Q364" t="s">
        <v>3375</v>
      </c>
      <c r="R364">
        <v>259.98</v>
      </c>
      <c r="S364">
        <v>3</v>
      </c>
      <c r="T364">
        <v>0.3</v>
      </c>
      <c r="U364">
        <v>1.46</v>
      </c>
    </row>
    <row r="365" spans="1:21" x14ac:dyDescent="0.3">
      <c r="A365">
        <v>364</v>
      </c>
      <c r="B365" t="s">
        <v>384</v>
      </c>
      <c r="C365" s="2">
        <v>45614</v>
      </c>
      <c r="D365" s="2">
        <v>45617</v>
      </c>
      <c r="E365" t="s">
        <v>1521</v>
      </c>
      <c r="F365" t="s">
        <v>1764</v>
      </c>
      <c r="G365" t="s">
        <v>2136</v>
      </c>
      <c r="H365" t="s">
        <v>2314</v>
      </c>
      <c r="I365" t="s">
        <v>2317</v>
      </c>
      <c r="J365" t="s">
        <v>2321</v>
      </c>
      <c r="K365" t="s">
        <v>2321</v>
      </c>
      <c r="L365">
        <v>628058</v>
      </c>
      <c r="M365" t="s">
        <v>2329</v>
      </c>
      <c r="N365" t="s">
        <v>2623</v>
      </c>
      <c r="O365" t="s">
        <v>3053</v>
      </c>
      <c r="P365" t="s">
        <v>3065</v>
      </c>
      <c r="Q365" t="s">
        <v>3376</v>
      </c>
      <c r="R365">
        <v>43.38</v>
      </c>
      <c r="S365">
        <v>5</v>
      </c>
      <c r="T365">
        <v>0.15</v>
      </c>
      <c r="U365">
        <v>9.02</v>
      </c>
    </row>
    <row r="366" spans="1:21" x14ac:dyDescent="0.3">
      <c r="A366">
        <v>365</v>
      </c>
      <c r="B366" t="s">
        <v>385</v>
      </c>
      <c r="C366" s="2">
        <v>45419</v>
      </c>
      <c r="D366" s="2">
        <v>45422</v>
      </c>
      <c r="E366" t="s">
        <v>1522</v>
      </c>
      <c r="F366" t="s">
        <v>1765</v>
      </c>
      <c r="G366" t="s">
        <v>1989</v>
      </c>
      <c r="H366" t="s">
        <v>2314</v>
      </c>
      <c r="I366" t="s">
        <v>2317</v>
      </c>
      <c r="J366" t="s">
        <v>2325</v>
      </c>
      <c r="K366" t="s">
        <v>2325</v>
      </c>
      <c r="L366">
        <v>550491</v>
      </c>
      <c r="M366" t="s">
        <v>2332</v>
      </c>
      <c r="N366" t="s">
        <v>2624</v>
      </c>
      <c r="O366" t="s">
        <v>3054</v>
      </c>
      <c r="P366" t="s">
        <v>3064</v>
      </c>
      <c r="Q366" t="s">
        <v>3377</v>
      </c>
      <c r="R366">
        <v>71.349999999999994</v>
      </c>
      <c r="S366">
        <v>1</v>
      </c>
      <c r="T366">
        <v>0.1</v>
      </c>
      <c r="U366">
        <v>-63.57</v>
      </c>
    </row>
    <row r="367" spans="1:21" x14ac:dyDescent="0.3">
      <c r="A367">
        <v>366</v>
      </c>
      <c r="B367" t="s">
        <v>386</v>
      </c>
      <c r="C367" s="2">
        <v>45309</v>
      </c>
      <c r="D367" s="2">
        <v>45311</v>
      </c>
      <c r="E367" t="s">
        <v>1522</v>
      </c>
      <c r="F367" t="s">
        <v>1766</v>
      </c>
      <c r="G367" t="s">
        <v>2003</v>
      </c>
      <c r="H367" t="s">
        <v>2316</v>
      </c>
      <c r="I367" t="s">
        <v>2317</v>
      </c>
      <c r="J367" t="s">
        <v>2318</v>
      </c>
      <c r="K367" t="s">
        <v>2318</v>
      </c>
      <c r="L367">
        <v>686864</v>
      </c>
      <c r="M367" t="s">
        <v>2328</v>
      </c>
      <c r="N367" t="s">
        <v>2503</v>
      </c>
      <c r="O367" t="s">
        <v>3054</v>
      </c>
      <c r="P367" t="s">
        <v>3058</v>
      </c>
      <c r="Q367" t="s">
        <v>3378</v>
      </c>
      <c r="R367">
        <v>44.74</v>
      </c>
      <c r="S367">
        <v>6</v>
      </c>
      <c r="T367">
        <v>0.1</v>
      </c>
      <c r="U367">
        <v>18.7</v>
      </c>
    </row>
    <row r="368" spans="1:21" x14ac:dyDescent="0.3">
      <c r="A368">
        <v>367</v>
      </c>
      <c r="B368" t="s">
        <v>387</v>
      </c>
      <c r="C368" s="2">
        <v>45857</v>
      </c>
      <c r="D368" s="2">
        <v>45861</v>
      </c>
      <c r="E368" t="s">
        <v>1521</v>
      </c>
      <c r="F368" t="s">
        <v>1767</v>
      </c>
      <c r="G368" t="s">
        <v>2070</v>
      </c>
      <c r="H368" t="s">
        <v>2314</v>
      </c>
      <c r="I368" t="s">
        <v>2317</v>
      </c>
      <c r="J368" t="s">
        <v>2322</v>
      </c>
      <c r="K368" t="s">
        <v>2322</v>
      </c>
      <c r="L368">
        <v>262357</v>
      </c>
      <c r="M368" t="s">
        <v>2331</v>
      </c>
      <c r="N368" t="s">
        <v>2625</v>
      </c>
      <c r="O368" t="s">
        <v>3054</v>
      </c>
      <c r="P368" t="s">
        <v>3058</v>
      </c>
      <c r="Q368" t="s">
        <v>3379</v>
      </c>
      <c r="R368">
        <v>109.57</v>
      </c>
      <c r="S368">
        <v>4</v>
      </c>
      <c r="T368">
        <v>0.1</v>
      </c>
      <c r="U368">
        <v>13.86</v>
      </c>
    </row>
    <row r="369" spans="1:21" x14ac:dyDescent="0.3">
      <c r="A369">
        <v>368</v>
      </c>
      <c r="B369" t="s">
        <v>388</v>
      </c>
      <c r="C369" s="2">
        <v>45861</v>
      </c>
      <c r="D369" s="2">
        <v>45867</v>
      </c>
      <c r="E369" t="s">
        <v>1521</v>
      </c>
      <c r="F369" t="s">
        <v>1570</v>
      </c>
      <c r="G369" t="s">
        <v>2166</v>
      </c>
      <c r="H369" t="s">
        <v>2315</v>
      </c>
      <c r="I369" t="s">
        <v>2317</v>
      </c>
      <c r="J369" t="s">
        <v>2326</v>
      </c>
      <c r="K369" t="s">
        <v>2326</v>
      </c>
      <c r="L369">
        <v>412094</v>
      </c>
      <c r="M369" t="s">
        <v>2331</v>
      </c>
      <c r="N369" t="s">
        <v>2626</v>
      </c>
      <c r="O369" t="s">
        <v>3055</v>
      </c>
      <c r="P369" t="s">
        <v>3060</v>
      </c>
      <c r="Q369" t="s">
        <v>3380</v>
      </c>
      <c r="R369">
        <v>243.39</v>
      </c>
      <c r="S369">
        <v>1</v>
      </c>
      <c r="T369">
        <v>0.15</v>
      </c>
      <c r="U369">
        <v>2.94</v>
      </c>
    </row>
    <row r="370" spans="1:21" x14ac:dyDescent="0.3">
      <c r="A370">
        <v>369</v>
      </c>
      <c r="B370" t="s">
        <v>389</v>
      </c>
      <c r="C370" s="2">
        <v>45614</v>
      </c>
      <c r="D370" s="2">
        <v>45618</v>
      </c>
      <c r="E370" t="s">
        <v>1521</v>
      </c>
      <c r="F370" t="s">
        <v>1591</v>
      </c>
      <c r="G370" t="s">
        <v>2095</v>
      </c>
      <c r="H370" t="s">
        <v>2315</v>
      </c>
      <c r="I370" t="s">
        <v>2317</v>
      </c>
      <c r="J370" t="s">
        <v>2325</v>
      </c>
      <c r="K370" t="s">
        <v>2325</v>
      </c>
      <c r="L370">
        <v>831616</v>
      </c>
      <c r="M370" t="s">
        <v>2332</v>
      </c>
      <c r="N370" t="s">
        <v>2627</v>
      </c>
      <c r="O370" t="s">
        <v>3055</v>
      </c>
      <c r="P370" t="s">
        <v>3067</v>
      </c>
      <c r="Q370" t="s">
        <v>3381</v>
      </c>
      <c r="R370">
        <v>374.21</v>
      </c>
      <c r="S370">
        <v>1</v>
      </c>
      <c r="T370">
        <v>0.15</v>
      </c>
      <c r="U370">
        <v>-28.85</v>
      </c>
    </row>
    <row r="371" spans="1:21" x14ac:dyDescent="0.3">
      <c r="A371">
        <v>370</v>
      </c>
      <c r="B371" t="s">
        <v>390</v>
      </c>
      <c r="C371" s="2">
        <v>45977</v>
      </c>
      <c r="D371" s="2">
        <v>45979</v>
      </c>
      <c r="E371" t="s">
        <v>1524</v>
      </c>
      <c r="F371" t="s">
        <v>1768</v>
      </c>
      <c r="G371" t="s">
        <v>1959</v>
      </c>
      <c r="H371" t="s">
        <v>2315</v>
      </c>
      <c r="I371" t="s">
        <v>2317</v>
      </c>
      <c r="J371" t="s">
        <v>2324</v>
      </c>
      <c r="K371" t="s">
        <v>2324</v>
      </c>
      <c r="L371">
        <v>963204</v>
      </c>
      <c r="M371" t="s">
        <v>2330</v>
      </c>
      <c r="N371" t="s">
        <v>2628</v>
      </c>
      <c r="O371" t="s">
        <v>3054</v>
      </c>
      <c r="P371" t="s">
        <v>3057</v>
      </c>
      <c r="Q371" t="s">
        <v>3382</v>
      </c>
      <c r="R371">
        <v>63.73</v>
      </c>
      <c r="S371">
        <v>2</v>
      </c>
      <c r="T371">
        <v>0.05</v>
      </c>
      <c r="U371">
        <v>4.6500000000000004</v>
      </c>
    </row>
    <row r="372" spans="1:21" x14ac:dyDescent="0.3">
      <c r="A372">
        <v>371</v>
      </c>
      <c r="B372" t="s">
        <v>391</v>
      </c>
      <c r="C372" s="2">
        <v>45917</v>
      </c>
      <c r="D372" s="2">
        <v>45919</v>
      </c>
      <c r="E372" t="s">
        <v>1521</v>
      </c>
      <c r="F372" t="s">
        <v>1626</v>
      </c>
      <c r="G372" t="s">
        <v>2167</v>
      </c>
      <c r="H372" t="s">
        <v>2316</v>
      </c>
      <c r="I372" t="s">
        <v>2317</v>
      </c>
      <c r="J372" t="s">
        <v>2319</v>
      </c>
      <c r="K372" t="s">
        <v>2319</v>
      </c>
      <c r="L372">
        <v>721029</v>
      </c>
      <c r="M372" t="s">
        <v>2329</v>
      </c>
      <c r="N372" t="s">
        <v>2629</v>
      </c>
      <c r="O372" t="s">
        <v>3055</v>
      </c>
      <c r="P372" t="s">
        <v>3060</v>
      </c>
      <c r="Q372" t="s">
        <v>3383</v>
      </c>
      <c r="R372">
        <v>381.93</v>
      </c>
      <c r="S372">
        <v>1</v>
      </c>
      <c r="T372">
        <v>0.4</v>
      </c>
      <c r="U372">
        <v>-39.119999999999997</v>
      </c>
    </row>
    <row r="373" spans="1:21" x14ac:dyDescent="0.3">
      <c r="A373">
        <v>372</v>
      </c>
      <c r="B373" t="s">
        <v>392</v>
      </c>
      <c r="C373" s="2">
        <v>45579</v>
      </c>
      <c r="D373" s="2">
        <v>45583</v>
      </c>
      <c r="E373" t="s">
        <v>1522</v>
      </c>
      <c r="F373" t="s">
        <v>1742</v>
      </c>
      <c r="G373" t="s">
        <v>2107</v>
      </c>
      <c r="H373" t="s">
        <v>2316</v>
      </c>
      <c r="I373" t="s">
        <v>2317</v>
      </c>
      <c r="J373" t="s">
        <v>2318</v>
      </c>
      <c r="K373" t="s">
        <v>2318</v>
      </c>
      <c r="L373">
        <v>507962</v>
      </c>
      <c r="M373" t="s">
        <v>2328</v>
      </c>
      <c r="N373" t="s">
        <v>2630</v>
      </c>
      <c r="O373" t="s">
        <v>3055</v>
      </c>
      <c r="P373" t="s">
        <v>3067</v>
      </c>
      <c r="Q373" t="s">
        <v>3384</v>
      </c>
      <c r="R373">
        <v>390.83</v>
      </c>
      <c r="S373">
        <v>3</v>
      </c>
      <c r="T373">
        <v>0.15</v>
      </c>
      <c r="U373">
        <v>7.24</v>
      </c>
    </row>
    <row r="374" spans="1:21" x14ac:dyDescent="0.3">
      <c r="A374">
        <v>373</v>
      </c>
      <c r="B374" t="s">
        <v>393</v>
      </c>
      <c r="C374" s="2">
        <v>45954</v>
      </c>
      <c r="D374" s="2">
        <v>45956</v>
      </c>
      <c r="E374" t="s">
        <v>1522</v>
      </c>
      <c r="F374" t="s">
        <v>1761</v>
      </c>
      <c r="G374" t="s">
        <v>1961</v>
      </c>
      <c r="H374" t="s">
        <v>2316</v>
      </c>
      <c r="I374" t="s">
        <v>2317</v>
      </c>
      <c r="J374" t="s">
        <v>2318</v>
      </c>
      <c r="K374" t="s">
        <v>2318</v>
      </c>
      <c r="L374">
        <v>464709</v>
      </c>
      <c r="M374" t="s">
        <v>2328</v>
      </c>
      <c r="N374" t="s">
        <v>2478</v>
      </c>
      <c r="O374" t="s">
        <v>3055</v>
      </c>
      <c r="P374" t="s">
        <v>3059</v>
      </c>
      <c r="Q374" t="s">
        <v>3213</v>
      </c>
      <c r="R374">
        <v>368.41</v>
      </c>
      <c r="S374">
        <v>8</v>
      </c>
      <c r="T374">
        <v>0.1</v>
      </c>
      <c r="U374">
        <v>31.58</v>
      </c>
    </row>
    <row r="375" spans="1:21" x14ac:dyDescent="0.3">
      <c r="A375">
        <v>374</v>
      </c>
      <c r="B375" t="s">
        <v>394</v>
      </c>
      <c r="C375" s="2">
        <v>45930</v>
      </c>
      <c r="D375" s="2">
        <v>45932</v>
      </c>
      <c r="E375" t="s">
        <v>1523</v>
      </c>
      <c r="F375" t="s">
        <v>1713</v>
      </c>
      <c r="G375" t="s">
        <v>2168</v>
      </c>
      <c r="H375" t="s">
        <v>2314</v>
      </c>
      <c r="I375" t="s">
        <v>2317</v>
      </c>
      <c r="J375" t="s">
        <v>2326</v>
      </c>
      <c r="K375" t="s">
        <v>2326</v>
      </c>
      <c r="L375">
        <v>800251</v>
      </c>
      <c r="M375" t="s">
        <v>2331</v>
      </c>
      <c r="N375" t="s">
        <v>2503</v>
      </c>
      <c r="O375" t="s">
        <v>3054</v>
      </c>
      <c r="P375" t="s">
        <v>3064</v>
      </c>
      <c r="Q375" t="s">
        <v>3222</v>
      </c>
      <c r="R375">
        <v>87.35</v>
      </c>
      <c r="S375">
        <v>3</v>
      </c>
      <c r="T375">
        <v>0.2</v>
      </c>
      <c r="U375">
        <v>18.59</v>
      </c>
    </row>
    <row r="376" spans="1:21" x14ac:dyDescent="0.3">
      <c r="A376">
        <v>375</v>
      </c>
      <c r="B376" t="s">
        <v>395</v>
      </c>
      <c r="C376" s="2">
        <v>45446</v>
      </c>
      <c r="D376" s="2">
        <v>45449</v>
      </c>
      <c r="E376" t="s">
        <v>1524</v>
      </c>
      <c r="F376" t="s">
        <v>1769</v>
      </c>
      <c r="G376" t="s">
        <v>2169</v>
      </c>
      <c r="H376" t="s">
        <v>2315</v>
      </c>
      <c r="I376" t="s">
        <v>2317</v>
      </c>
      <c r="J376" t="s">
        <v>2327</v>
      </c>
      <c r="K376" t="s">
        <v>2327</v>
      </c>
      <c r="L376">
        <v>802076</v>
      </c>
      <c r="M376" t="s">
        <v>2330</v>
      </c>
      <c r="N376" t="s">
        <v>2509</v>
      </c>
      <c r="O376" t="s">
        <v>3054</v>
      </c>
      <c r="P376" t="s">
        <v>3063</v>
      </c>
      <c r="Q376" t="s">
        <v>3385</v>
      </c>
      <c r="R376">
        <v>48.73</v>
      </c>
      <c r="S376">
        <v>4</v>
      </c>
      <c r="T376">
        <v>0.2</v>
      </c>
      <c r="U376">
        <v>38.07</v>
      </c>
    </row>
    <row r="377" spans="1:21" x14ac:dyDescent="0.3">
      <c r="A377">
        <v>376</v>
      </c>
      <c r="B377" t="s">
        <v>396</v>
      </c>
      <c r="C377" s="2">
        <v>45781</v>
      </c>
      <c r="D377" s="2">
        <v>45783</v>
      </c>
      <c r="E377" t="s">
        <v>1521</v>
      </c>
      <c r="F377" t="s">
        <v>1770</v>
      </c>
      <c r="G377" t="s">
        <v>2170</v>
      </c>
      <c r="H377" t="s">
        <v>2314</v>
      </c>
      <c r="I377" t="s">
        <v>2317</v>
      </c>
      <c r="J377" t="s">
        <v>2320</v>
      </c>
      <c r="K377" t="s">
        <v>2320</v>
      </c>
      <c r="L377">
        <v>824305</v>
      </c>
      <c r="M377" t="s">
        <v>2330</v>
      </c>
      <c r="N377" t="s">
        <v>2631</v>
      </c>
      <c r="O377" t="s">
        <v>3055</v>
      </c>
      <c r="P377" t="s">
        <v>3060</v>
      </c>
      <c r="Q377" t="s">
        <v>3386</v>
      </c>
      <c r="R377">
        <v>376.2</v>
      </c>
      <c r="S377">
        <v>6</v>
      </c>
      <c r="T377">
        <v>0.1</v>
      </c>
      <c r="U377">
        <v>42.96</v>
      </c>
    </row>
    <row r="378" spans="1:21" x14ac:dyDescent="0.3">
      <c r="A378">
        <v>377</v>
      </c>
      <c r="B378" t="s">
        <v>397</v>
      </c>
      <c r="C378" s="2">
        <v>45677</v>
      </c>
      <c r="D378" s="2">
        <v>45682</v>
      </c>
      <c r="E378" t="s">
        <v>1522</v>
      </c>
      <c r="F378" t="s">
        <v>1675</v>
      </c>
      <c r="G378" t="s">
        <v>2141</v>
      </c>
      <c r="H378" t="s">
        <v>2314</v>
      </c>
      <c r="I378" t="s">
        <v>2317</v>
      </c>
      <c r="J378" t="s">
        <v>2320</v>
      </c>
      <c r="K378" t="s">
        <v>2320</v>
      </c>
      <c r="L378">
        <v>823380</v>
      </c>
      <c r="M378" t="s">
        <v>2330</v>
      </c>
      <c r="N378" t="s">
        <v>2632</v>
      </c>
      <c r="O378" t="s">
        <v>3053</v>
      </c>
      <c r="P378" t="s">
        <v>3065</v>
      </c>
      <c r="Q378" t="s">
        <v>3172</v>
      </c>
      <c r="R378">
        <v>256.22000000000003</v>
      </c>
      <c r="S378">
        <v>2</v>
      </c>
      <c r="T378">
        <v>0.2</v>
      </c>
      <c r="U378">
        <v>5.74</v>
      </c>
    </row>
    <row r="379" spans="1:21" x14ac:dyDescent="0.3">
      <c r="A379">
        <v>378</v>
      </c>
      <c r="B379" t="s">
        <v>398</v>
      </c>
      <c r="C379" s="2">
        <v>45395</v>
      </c>
      <c r="D379" s="2">
        <v>45396</v>
      </c>
      <c r="E379" t="s">
        <v>1522</v>
      </c>
      <c r="F379" t="s">
        <v>1771</v>
      </c>
      <c r="G379" t="s">
        <v>2139</v>
      </c>
      <c r="H379" t="s">
        <v>2316</v>
      </c>
      <c r="I379" t="s">
        <v>2317</v>
      </c>
      <c r="J379" t="s">
        <v>2319</v>
      </c>
      <c r="K379" t="s">
        <v>2319</v>
      </c>
      <c r="L379">
        <v>258988</v>
      </c>
      <c r="M379" t="s">
        <v>2329</v>
      </c>
      <c r="N379" t="s">
        <v>2633</v>
      </c>
      <c r="O379" t="s">
        <v>3054</v>
      </c>
      <c r="P379" t="s">
        <v>3063</v>
      </c>
      <c r="Q379" t="s">
        <v>3387</v>
      </c>
      <c r="R379">
        <v>55.47</v>
      </c>
      <c r="S379">
        <v>6</v>
      </c>
      <c r="T379">
        <v>0.15</v>
      </c>
      <c r="U379">
        <v>4.58</v>
      </c>
    </row>
    <row r="380" spans="1:21" x14ac:dyDescent="0.3">
      <c r="A380">
        <v>379</v>
      </c>
      <c r="B380" t="s">
        <v>399</v>
      </c>
      <c r="C380" s="2">
        <v>45684</v>
      </c>
      <c r="D380" s="2">
        <v>45687</v>
      </c>
      <c r="E380" t="s">
        <v>1522</v>
      </c>
      <c r="F380" t="s">
        <v>1743</v>
      </c>
      <c r="G380" t="s">
        <v>1969</v>
      </c>
      <c r="H380" t="s">
        <v>2314</v>
      </c>
      <c r="I380" t="s">
        <v>2317</v>
      </c>
      <c r="J380" t="s">
        <v>2321</v>
      </c>
      <c r="K380" t="s">
        <v>2321</v>
      </c>
      <c r="L380">
        <v>441603</v>
      </c>
      <c r="M380" t="s">
        <v>2329</v>
      </c>
      <c r="N380" t="s">
        <v>2630</v>
      </c>
      <c r="O380" t="s">
        <v>3054</v>
      </c>
      <c r="P380" t="s">
        <v>3057</v>
      </c>
      <c r="Q380" t="s">
        <v>3388</v>
      </c>
      <c r="R380">
        <v>45.9</v>
      </c>
      <c r="S380">
        <v>9</v>
      </c>
      <c r="T380">
        <v>0.2</v>
      </c>
      <c r="U380">
        <v>35.33</v>
      </c>
    </row>
    <row r="381" spans="1:21" x14ac:dyDescent="0.3">
      <c r="A381">
        <v>380</v>
      </c>
      <c r="B381" t="s">
        <v>400</v>
      </c>
      <c r="C381" s="2">
        <v>45537</v>
      </c>
      <c r="D381" s="2">
        <v>45538</v>
      </c>
      <c r="E381" t="s">
        <v>1524</v>
      </c>
      <c r="F381" t="s">
        <v>1772</v>
      </c>
      <c r="G381" t="s">
        <v>2171</v>
      </c>
      <c r="H381" t="s">
        <v>2316</v>
      </c>
      <c r="I381" t="s">
        <v>2317</v>
      </c>
      <c r="J381" t="s">
        <v>2321</v>
      </c>
      <c r="K381" t="s">
        <v>2321</v>
      </c>
      <c r="L381">
        <v>557301</v>
      </c>
      <c r="M381" t="s">
        <v>2329</v>
      </c>
      <c r="N381" t="s">
        <v>2634</v>
      </c>
      <c r="O381" t="s">
        <v>3055</v>
      </c>
      <c r="P381" t="s">
        <v>3067</v>
      </c>
      <c r="Q381" t="s">
        <v>3115</v>
      </c>
      <c r="R381">
        <v>646.92999999999995</v>
      </c>
      <c r="S381">
        <v>2</v>
      </c>
      <c r="T381">
        <v>0.4</v>
      </c>
      <c r="U381">
        <v>-35.4</v>
      </c>
    </row>
    <row r="382" spans="1:21" x14ac:dyDescent="0.3">
      <c r="A382">
        <v>381</v>
      </c>
      <c r="B382" t="s">
        <v>401</v>
      </c>
      <c r="C382" s="2">
        <v>45467</v>
      </c>
      <c r="D382" s="2">
        <v>45468</v>
      </c>
      <c r="E382" t="s">
        <v>1522</v>
      </c>
      <c r="F382" t="s">
        <v>1720</v>
      </c>
      <c r="G382" t="s">
        <v>2172</v>
      </c>
      <c r="H382" t="s">
        <v>2314</v>
      </c>
      <c r="I382" t="s">
        <v>2317</v>
      </c>
      <c r="J382" t="s">
        <v>2322</v>
      </c>
      <c r="K382" t="s">
        <v>2322</v>
      </c>
      <c r="L382">
        <v>364012</v>
      </c>
      <c r="M382" t="s">
        <v>2331</v>
      </c>
      <c r="N382" t="s">
        <v>2635</v>
      </c>
      <c r="O382" t="s">
        <v>3053</v>
      </c>
      <c r="P382" t="s">
        <v>3062</v>
      </c>
      <c r="Q382" t="s">
        <v>3078</v>
      </c>
      <c r="R382">
        <v>147.41999999999999</v>
      </c>
      <c r="S382">
        <v>6</v>
      </c>
      <c r="T382">
        <v>0.15</v>
      </c>
      <c r="U382">
        <v>-21.54</v>
      </c>
    </row>
    <row r="383" spans="1:21" x14ac:dyDescent="0.3">
      <c r="A383">
        <v>382</v>
      </c>
      <c r="B383" t="s">
        <v>402</v>
      </c>
      <c r="C383" s="2">
        <v>45330</v>
      </c>
      <c r="D383" s="2">
        <v>45332</v>
      </c>
      <c r="E383" t="s">
        <v>1521</v>
      </c>
      <c r="F383" t="s">
        <v>1599</v>
      </c>
      <c r="G383" t="s">
        <v>2042</v>
      </c>
      <c r="H383" t="s">
        <v>2314</v>
      </c>
      <c r="I383" t="s">
        <v>2317</v>
      </c>
      <c r="J383" t="s">
        <v>2325</v>
      </c>
      <c r="K383" t="s">
        <v>2325</v>
      </c>
      <c r="L383">
        <v>296164</v>
      </c>
      <c r="M383" t="s">
        <v>2332</v>
      </c>
      <c r="N383" t="s">
        <v>2636</v>
      </c>
      <c r="O383" t="s">
        <v>3053</v>
      </c>
      <c r="P383" t="s">
        <v>3065</v>
      </c>
      <c r="Q383" t="s">
        <v>3147</v>
      </c>
      <c r="R383">
        <v>206.8</v>
      </c>
      <c r="S383">
        <v>1</v>
      </c>
      <c r="T383">
        <v>0.2</v>
      </c>
      <c r="U383">
        <v>-1.89</v>
      </c>
    </row>
    <row r="384" spans="1:21" x14ac:dyDescent="0.3">
      <c r="A384">
        <v>383</v>
      </c>
      <c r="B384" t="s">
        <v>403</v>
      </c>
      <c r="C384" s="2">
        <v>45768</v>
      </c>
      <c r="D384" s="2">
        <v>45772</v>
      </c>
      <c r="E384" t="s">
        <v>1522</v>
      </c>
      <c r="F384" t="s">
        <v>1773</v>
      </c>
      <c r="G384" t="s">
        <v>2173</v>
      </c>
      <c r="H384" t="s">
        <v>2316</v>
      </c>
      <c r="I384" t="s">
        <v>2317</v>
      </c>
      <c r="J384" t="s">
        <v>2323</v>
      </c>
      <c r="K384" t="s">
        <v>2323</v>
      </c>
      <c r="L384">
        <v>316351</v>
      </c>
      <c r="M384" t="s">
        <v>2328</v>
      </c>
      <c r="N384" t="s">
        <v>2349</v>
      </c>
      <c r="O384" t="s">
        <v>3054</v>
      </c>
      <c r="P384" t="s">
        <v>3064</v>
      </c>
      <c r="Q384" t="s">
        <v>3389</v>
      </c>
      <c r="R384">
        <v>75.459999999999994</v>
      </c>
      <c r="S384">
        <v>9</v>
      </c>
      <c r="T384">
        <v>0.2</v>
      </c>
      <c r="U384">
        <v>6.1</v>
      </c>
    </row>
    <row r="385" spans="1:21" x14ac:dyDescent="0.3">
      <c r="A385">
        <v>384</v>
      </c>
      <c r="B385" t="s">
        <v>404</v>
      </c>
      <c r="C385" s="2">
        <v>45973</v>
      </c>
      <c r="D385" s="2">
        <v>45979</v>
      </c>
      <c r="E385" t="s">
        <v>1522</v>
      </c>
      <c r="F385" t="s">
        <v>1774</v>
      </c>
      <c r="G385" t="s">
        <v>2148</v>
      </c>
      <c r="H385" t="s">
        <v>2314</v>
      </c>
      <c r="I385" t="s">
        <v>2317</v>
      </c>
      <c r="J385" t="s">
        <v>2327</v>
      </c>
      <c r="K385" t="s">
        <v>2327</v>
      </c>
      <c r="L385">
        <v>488550</v>
      </c>
      <c r="M385" t="s">
        <v>2330</v>
      </c>
      <c r="N385" t="s">
        <v>2434</v>
      </c>
      <c r="O385" t="s">
        <v>3053</v>
      </c>
      <c r="P385" t="s">
        <v>3062</v>
      </c>
      <c r="Q385" t="s">
        <v>3390</v>
      </c>
      <c r="R385">
        <v>1225.29</v>
      </c>
      <c r="S385">
        <v>2</v>
      </c>
      <c r="T385">
        <v>0.2</v>
      </c>
      <c r="U385">
        <v>14.95</v>
      </c>
    </row>
    <row r="386" spans="1:21" x14ac:dyDescent="0.3">
      <c r="A386">
        <v>385</v>
      </c>
      <c r="B386" t="s">
        <v>405</v>
      </c>
      <c r="C386" s="2">
        <v>45829</v>
      </c>
      <c r="D386" s="2">
        <v>45831</v>
      </c>
      <c r="E386" t="s">
        <v>1523</v>
      </c>
      <c r="F386" t="s">
        <v>1725</v>
      </c>
      <c r="G386" t="s">
        <v>2100</v>
      </c>
      <c r="H386" t="s">
        <v>2316</v>
      </c>
      <c r="I386" t="s">
        <v>2317</v>
      </c>
      <c r="J386" t="s">
        <v>2324</v>
      </c>
      <c r="K386" t="s">
        <v>2324</v>
      </c>
      <c r="L386">
        <v>803454</v>
      </c>
      <c r="M386" t="s">
        <v>2330</v>
      </c>
      <c r="N386" t="s">
        <v>2637</v>
      </c>
      <c r="O386" t="s">
        <v>3055</v>
      </c>
      <c r="P386" t="s">
        <v>3061</v>
      </c>
      <c r="Q386" t="s">
        <v>3391</v>
      </c>
      <c r="R386">
        <v>348.77</v>
      </c>
      <c r="S386">
        <v>8</v>
      </c>
      <c r="T386">
        <v>0.1</v>
      </c>
      <c r="U386">
        <v>79.5</v>
      </c>
    </row>
    <row r="387" spans="1:21" x14ac:dyDescent="0.3">
      <c r="A387">
        <v>386</v>
      </c>
      <c r="B387" t="s">
        <v>406</v>
      </c>
      <c r="C387" s="2">
        <v>45699</v>
      </c>
      <c r="D387" s="2">
        <v>45702</v>
      </c>
      <c r="E387" t="s">
        <v>1523</v>
      </c>
      <c r="F387" t="s">
        <v>1661</v>
      </c>
      <c r="G387" t="s">
        <v>1966</v>
      </c>
      <c r="H387" t="s">
        <v>2316</v>
      </c>
      <c r="I387" t="s">
        <v>2317</v>
      </c>
      <c r="J387" t="s">
        <v>2323</v>
      </c>
      <c r="K387" t="s">
        <v>2323</v>
      </c>
      <c r="L387">
        <v>348292</v>
      </c>
      <c r="M387" t="s">
        <v>2328</v>
      </c>
      <c r="N387" t="s">
        <v>2545</v>
      </c>
      <c r="O387" t="s">
        <v>3054</v>
      </c>
      <c r="P387" t="s">
        <v>3063</v>
      </c>
      <c r="Q387" t="s">
        <v>3392</v>
      </c>
      <c r="R387">
        <v>46.51</v>
      </c>
      <c r="S387">
        <v>1</v>
      </c>
      <c r="T387">
        <v>0.2</v>
      </c>
      <c r="U387">
        <v>46.68</v>
      </c>
    </row>
    <row r="388" spans="1:21" x14ac:dyDescent="0.3">
      <c r="A388">
        <v>387</v>
      </c>
      <c r="B388" t="s">
        <v>407</v>
      </c>
      <c r="C388" s="2">
        <v>45816</v>
      </c>
      <c r="D388" s="2">
        <v>45820</v>
      </c>
      <c r="E388" t="s">
        <v>1522</v>
      </c>
      <c r="F388" t="s">
        <v>1661</v>
      </c>
      <c r="G388" t="s">
        <v>1954</v>
      </c>
      <c r="H388" t="s">
        <v>2314</v>
      </c>
      <c r="I388" t="s">
        <v>2317</v>
      </c>
      <c r="J388" t="s">
        <v>2323</v>
      </c>
      <c r="K388" t="s">
        <v>2323</v>
      </c>
      <c r="L388">
        <v>142299</v>
      </c>
      <c r="M388" t="s">
        <v>2328</v>
      </c>
      <c r="N388" t="s">
        <v>2638</v>
      </c>
      <c r="O388" t="s">
        <v>3054</v>
      </c>
      <c r="P388" t="s">
        <v>3058</v>
      </c>
      <c r="Q388" t="s">
        <v>3393</v>
      </c>
      <c r="R388">
        <v>218.91</v>
      </c>
      <c r="S388">
        <v>8</v>
      </c>
      <c r="T388">
        <v>0.15</v>
      </c>
      <c r="U388">
        <v>29.35</v>
      </c>
    </row>
    <row r="389" spans="1:21" x14ac:dyDescent="0.3">
      <c r="A389">
        <v>388</v>
      </c>
      <c r="B389" t="s">
        <v>408</v>
      </c>
      <c r="C389" s="2">
        <v>45797</v>
      </c>
      <c r="D389" s="2">
        <v>45800</v>
      </c>
      <c r="E389" t="s">
        <v>1524</v>
      </c>
      <c r="F389" t="s">
        <v>1775</v>
      </c>
      <c r="G389" t="s">
        <v>2174</v>
      </c>
      <c r="H389" t="s">
        <v>2314</v>
      </c>
      <c r="I389" t="s">
        <v>2317</v>
      </c>
      <c r="J389" t="s">
        <v>2318</v>
      </c>
      <c r="K389" t="s">
        <v>2318</v>
      </c>
      <c r="L389">
        <v>801696</v>
      </c>
      <c r="M389" t="s">
        <v>2328</v>
      </c>
      <c r="N389" t="s">
        <v>2639</v>
      </c>
      <c r="O389" t="s">
        <v>3055</v>
      </c>
      <c r="P389" t="s">
        <v>3059</v>
      </c>
      <c r="Q389" t="s">
        <v>3345</v>
      </c>
      <c r="R389">
        <v>466.09</v>
      </c>
      <c r="S389">
        <v>5</v>
      </c>
      <c r="T389">
        <v>0.05</v>
      </c>
      <c r="U389">
        <v>41.7</v>
      </c>
    </row>
    <row r="390" spans="1:21" x14ac:dyDescent="0.3">
      <c r="A390">
        <v>389</v>
      </c>
      <c r="B390" t="s">
        <v>409</v>
      </c>
      <c r="C390" s="2">
        <v>45327</v>
      </c>
      <c r="D390" s="2">
        <v>45330</v>
      </c>
      <c r="E390" t="s">
        <v>1523</v>
      </c>
      <c r="F390" t="s">
        <v>1715</v>
      </c>
      <c r="G390" t="s">
        <v>2175</v>
      </c>
      <c r="H390" t="s">
        <v>2315</v>
      </c>
      <c r="I390" t="s">
        <v>2317</v>
      </c>
      <c r="J390" t="s">
        <v>2319</v>
      </c>
      <c r="K390" t="s">
        <v>2319</v>
      </c>
      <c r="L390">
        <v>172577</v>
      </c>
      <c r="M390" t="s">
        <v>2329</v>
      </c>
      <c r="N390" t="s">
        <v>2615</v>
      </c>
      <c r="O390" t="s">
        <v>3054</v>
      </c>
      <c r="P390" t="s">
        <v>3064</v>
      </c>
      <c r="Q390" t="s">
        <v>3394</v>
      </c>
      <c r="R390">
        <v>126.37</v>
      </c>
      <c r="S390">
        <v>2</v>
      </c>
      <c r="T390">
        <v>0.15</v>
      </c>
      <c r="U390">
        <v>9.26</v>
      </c>
    </row>
    <row r="391" spans="1:21" x14ac:dyDescent="0.3">
      <c r="A391">
        <v>390</v>
      </c>
      <c r="B391" t="s">
        <v>410</v>
      </c>
      <c r="C391" s="2">
        <v>45976</v>
      </c>
      <c r="D391" s="2">
        <v>45978</v>
      </c>
      <c r="E391" t="s">
        <v>1521</v>
      </c>
      <c r="F391" t="s">
        <v>1742</v>
      </c>
      <c r="G391" t="s">
        <v>2176</v>
      </c>
      <c r="H391" t="s">
        <v>2314</v>
      </c>
      <c r="I391" t="s">
        <v>2317</v>
      </c>
      <c r="J391" t="s">
        <v>2320</v>
      </c>
      <c r="K391" t="s">
        <v>2320</v>
      </c>
      <c r="L391">
        <v>151999</v>
      </c>
      <c r="M391" t="s">
        <v>2330</v>
      </c>
      <c r="N391" t="s">
        <v>2508</v>
      </c>
      <c r="O391" t="s">
        <v>3055</v>
      </c>
      <c r="P391" t="s">
        <v>3059</v>
      </c>
      <c r="Q391" t="s">
        <v>3395</v>
      </c>
      <c r="R391">
        <v>238.85</v>
      </c>
      <c r="S391">
        <v>5</v>
      </c>
      <c r="T391">
        <v>0.15</v>
      </c>
      <c r="U391">
        <v>24.28</v>
      </c>
    </row>
    <row r="392" spans="1:21" x14ac:dyDescent="0.3">
      <c r="A392">
        <v>391</v>
      </c>
      <c r="B392" t="s">
        <v>411</v>
      </c>
      <c r="C392" s="2">
        <v>45311</v>
      </c>
      <c r="D392" s="2">
        <v>45314</v>
      </c>
      <c r="E392" t="s">
        <v>1521</v>
      </c>
      <c r="F392" t="s">
        <v>1601</v>
      </c>
      <c r="G392" t="s">
        <v>2177</v>
      </c>
      <c r="H392" t="s">
        <v>2315</v>
      </c>
      <c r="I392" t="s">
        <v>2317</v>
      </c>
      <c r="J392" t="s">
        <v>2322</v>
      </c>
      <c r="K392" t="s">
        <v>2322</v>
      </c>
      <c r="L392">
        <v>962552</v>
      </c>
      <c r="M392" t="s">
        <v>2331</v>
      </c>
      <c r="N392" t="s">
        <v>2640</v>
      </c>
      <c r="O392" t="s">
        <v>3053</v>
      </c>
      <c r="P392" t="s">
        <v>3056</v>
      </c>
      <c r="Q392" t="s">
        <v>3068</v>
      </c>
      <c r="R392">
        <v>517.79999999999995</v>
      </c>
      <c r="S392">
        <v>9</v>
      </c>
      <c r="T392">
        <v>0.3</v>
      </c>
      <c r="U392">
        <v>-34.14</v>
      </c>
    </row>
    <row r="393" spans="1:21" x14ac:dyDescent="0.3">
      <c r="A393">
        <v>392</v>
      </c>
      <c r="B393" t="s">
        <v>412</v>
      </c>
      <c r="C393" s="2">
        <v>45612</v>
      </c>
      <c r="D393" s="2">
        <v>45615</v>
      </c>
      <c r="E393" t="s">
        <v>1523</v>
      </c>
      <c r="F393" t="s">
        <v>1776</v>
      </c>
      <c r="G393" t="s">
        <v>2103</v>
      </c>
      <c r="H393" t="s">
        <v>2316</v>
      </c>
      <c r="I393" t="s">
        <v>2317</v>
      </c>
      <c r="J393" t="s">
        <v>2321</v>
      </c>
      <c r="K393" t="s">
        <v>2321</v>
      </c>
      <c r="L393">
        <v>108625</v>
      </c>
      <c r="M393" t="s">
        <v>2329</v>
      </c>
      <c r="N393" t="s">
        <v>2641</v>
      </c>
      <c r="O393" t="s">
        <v>3053</v>
      </c>
      <c r="P393" t="s">
        <v>3056</v>
      </c>
      <c r="Q393" t="s">
        <v>3396</v>
      </c>
      <c r="R393">
        <v>297.11</v>
      </c>
      <c r="S393">
        <v>2</v>
      </c>
      <c r="T393">
        <v>0</v>
      </c>
      <c r="U393">
        <v>1.87</v>
      </c>
    </row>
    <row r="394" spans="1:21" x14ac:dyDescent="0.3">
      <c r="A394">
        <v>393</v>
      </c>
      <c r="B394" t="s">
        <v>413</v>
      </c>
      <c r="C394" s="2">
        <v>45803</v>
      </c>
      <c r="D394" s="2">
        <v>45807</v>
      </c>
      <c r="E394" t="s">
        <v>1522</v>
      </c>
      <c r="F394" t="s">
        <v>1547</v>
      </c>
      <c r="G394" t="s">
        <v>2178</v>
      </c>
      <c r="H394" t="s">
        <v>2316</v>
      </c>
      <c r="I394" t="s">
        <v>2317</v>
      </c>
      <c r="J394" t="s">
        <v>2319</v>
      </c>
      <c r="K394" t="s">
        <v>2319</v>
      </c>
      <c r="L394">
        <v>400706</v>
      </c>
      <c r="M394" t="s">
        <v>2329</v>
      </c>
      <c r="N394" t="s">
        <v>2642</v>
      </c>
      <c r="O394" t="s">
        <v>3054</v>
      </c>
      <c r="P394" t="s">
        <v>3058</v>
      </c>
      <c r="Q394" t="s">
        <v>3397</v>
      </c>
      <c r="R394">
        <v>97.35</v>
      </c>
      <c r="S394">
        <v>3</v>
      </c>
      <c r="T394">
        <v>0.15</v>
      </c>
      <c r="U394">
        <v>-4.1900000000000004</v>
      </c>
    </row>
    <row r="395" spans="1:21" x14ac:dyDescent="0.3">
      <c r="A395">
        <v>394</v>
      </c>
      <c r="B395" t="s">
        <v>414</v>
      </c>
      <c r="C395" s="2">
        <v>45691</v>
      </c>
      <c r="D395" s="2">
        <v>45694</v>
      </c>
      <c r="E395" t="s">
        <v>1523</v>
      </c>
      <c r="F395" t="s">
        <v>1721</v>
      </c>
      <c r="G395" t="s">
        <v>1943</v>
      </c>
      <c r="H395" t="s">
        <v>2314</v>
      </c>
      <c r="I395" t="s">
        <v>2317</v>
      </c>
      <c r="J395" t="s">
        <v>2318</v>
      </c>
      <c r="K395" t="s">
        <v>2318</v>
      </c>
      <c r="L395">
        <v>830151</v>
      </c>
      <c r="M395" t="s">
        <v>2328</v>
      </c>
      <c r="N395" t="s">
        <v>2643</v>
      </c>
      <c r="O395" t="s">
        <v>3053</v>
      </c>
      <c r="P395" t="s">
        <v>3062</v>
      </c>
      <c r="Q395" t="s">
        <v>3398</v>
      </c>
      <c r="R395">
        <v>224.11</v>
      </c>
      <c r="S395">
        <v>5</v>
      </c>
      <c r="T395">
        <v>0.15</v>
      </c>
      <c r="U395">
        <v>6.71</v>
      </c>
    </row>
    <row r="396" spans="1:21" x14ac:dyDescent="0.3">
      <c r="A396">
        <v>395</v>
      </c>
      <c r="B396" t="s">
        <v>415</v>
      </c>
      <c r="C396" s="2">
        <v>45945</v>
      </c>
      <c r="D396" s="2">
        <v>45948</v>
      </c>
      <c r="E396" t="s">
        <v>1522</v>
      </c>
      <c r="F396" t="s">
        <v>1777</v>
      </c>
      <c r="G396" t="s">
        <v>1967</v>
      </c>
      <c r="H396" t="s">
        <v>2315</v>
      </c>
      <c r="I396" t="s">
        <v>2317</v>
      </c>
      <c r="J396" t="s">
        <v>2324</v>
      </c>
      <c r="K396" t="s">
        <v>2324</v>
      </c>
      <c r="L396">
        <v>806050</v>
      </c>
      <c r="M396" t="s">
        <v>2330</v>
      </c>
      <c r="N396" t="s">
        <v>2644</v>
      </c>
      <c r="O396" t="s">
        <v>3054</v>
      </c>
      <c r="P396" t="s">
        <v>3058</v>
      </c>
      <c r="Q396" t="s">
        <v>3399</v>
      </c>
      <c r="R396">
        <v>80.05</v>
      </c>
      <c r="S396">
        <v>3</v>
      </c>
      <c r="T396">
        <v>0.2</v>
      </c>
      <c r="U396">
        <v>35.17</v>
      </c>
    </row>
    <row r="397" spans="1:21" x14ac:dyDescent="0.3">
      <c r="A397">
        <v>396</v>
      </c>
      <c r="B397" t="s">
        <v>416</v>
      </c>
      <c r="C397" s="2">
        <v>45762</v>
      </c>
      <c r="D397" s="2">
        <v>45766</v>
      </c>
      <c r="E397" t="s">
        <v>1522</v>
      </c>
      <c r="F397" t="s">
        <v>1778</v>
      </c>
      <c r="G397" t="s">
        <v>2173</v>
      </c>
      <c r="H397" t="s">
        <v>2314</v>
      </c>
      <c r="I397" t="s">
        <v>2317</v>
      </c>
      <c r="J397" t="s">
        <v>2322</v>
      </c>
      <c r="K397" t="s">
        <v>2322</v>
      </c>
      <c r="L397">
        <v>386539</v>
      </c>
      <c r="M397" t="s">
        <v>2331</v>
      </c>
      <c r="N397" t="s">
        <v>2645</v>
      </c>
      <c r="O397" t="s">
        <v>3054</v>
      </c>
      <c r="P397" t="s">
        <v>3057</v>
      </c>
      <c r="Q397" t="s">
        <v>3400</v>
      </c>
      <c r="R397">
        <v>42.18</v>
      </c>
      <c r="S397">
        <v>3</v>
      </c>
      <c r="T397">
        <v>0.1</v>
      </c>
      <c r="U397">
        <v>19.48</v>
      </c>
    </row>
    <row r="398" spans="1:21" x14ac:dyDescent="0.3">
      <c r="A398">
        <v>397</v>
      </c>
      <c r="B398" t="s">
        <v>417</v>
      </c>
      <c r="C398" s="2">
        <v>45434</v>
      </c>
      <c r="D398" s="2">
        <v>45437</v>
      </c>
      <c r="E398" t="s">
        <v>1523</v>
      </c>
      <c r="F398" t="s">
        <v>1554</v>
      </c>
      <c r="G398" t="s">
        <v>2149</v>
      </c>
      <c r="H398" t="s">
        <v>2314</v>
      </c>
      <c r="I398" t="s">
        <v>2317</v>
      </c>
      <c r="J398" t="s">
        <v>2318</v>
      </c>
      <c r="K398" t="s">
        <v>2318</v>
      </c>
      <c r="L398">
        <v>882780</v>
      </c>
      <c r="M398" t="s">
        <v>2328</v>
      </c>
      <c r="N398" t="s">
        <v>2618</v>
      </c>
      <c r="O398" t="s">
        <v>3054</v>
      </c>
      <c r="P398" t="s">
        <v>3063</v>
      </c>
      <c r="Q398" t="s">
        <v>3307</v>
      </c>
      <c r="R398">
        <v>72.17</v>
      </c>
      <c r="S398">
        <v>2</v>
      </c>
      <c r="T398">
        <v>0.1</v>
      </c>
      <c r="U398">
        <v>-13.93</v>
      </c>
    </row>
    <row r="399" spans="1:21" x14ac:dyDescent="0.3">
      <c r="A399">
        <v>398</v>
      </c>
      <c r="B399" t="s">
        <v>418</v>
      </c>
      <c r="C399" s="2">
        <v>45383</v>
      </c>
      <c r="D399" s="2">
        <v>45386</v>
      </c>
      <c r="E399" t="s">
        <v>1521</v>
      </c>
      <c r="F399" t="s">
        <v>1619</v>
      </c>
      <c r="G399" t="s">
        <v>1992</v>
      </c>
      <c r="H399" t="s">
        <v>2314</v>
      </c>
      <c r="I399" t="s">
        <v>2317</v>
      </c>
      <c r="J399" t="s">
        <v>2320</v>
      </c>
      <c r="K399" t="s">
        <v>2320</v>
      </c>
      <c r="L399">
        <v>137180</v>
      </c>
      <c r="M399" t="s">
        <v>2330</v>
      </c>
      <c r="N399" t="s">
        <v>2646</v>
      </c>
      <c r="O399" t="s">
        <v>3054</v>
      </c>
      <c r="P399" t="s">
        <v>3063</v>
      </c>
      <c r="Q399" t="s">
        <v>3401</v>
      </c>
      <c r="R399">
        <v>34.04</v>
      </c>
      <c r="S399">
        <v>2</v>
      </c>
      <c r="T399">
        <v>0.2</v>
      </c>
      <c r="U399">
        <v>-41.93</v>
      </c>
    </row>
    <row r="400" spans="1:21" x14ac:dyDescent="0.3">
      <c r="A400">
        <v>399</v>
      </c>
      <c r="B400" t="s">
        <v>419</v>
      </c>
      <c r="C400" s="2">
        <v>45645</v>
      </c>
      <c r="D400" s="2">
        <v>45647</v>
      </c>
      <c r="E400" t="s">
        <v>1522</v>
      </c>
      <c r="F400" t="s">
        <v>1681</v>
      </c>
      <c r="G400" t="s">
        <v>2171</v>
      </c>
      <c r="H400" t="s">
        <v>2315</v>
      </c>
      <c r="I400" t="s">
        <v>2317</v>
      </c>
      <c r="J400" t="s">
        <v>2320</v>
      </c>
      <c r="K400" t="s">
        <v>2320</v>
      </c>
      <c r="L400">
        <v>831455</v>
      </c>
      <c r="M400" t="s">
        <v>2330</v>
      </c>
      <c r="N400" t="s">
        <v>2647</v>
      </c>
      <c r="O400" t="s">
        <v>3054</v>
      </c>
      <c r="P400" t="s">
        <v>3057</v>
      </c>
      <c r="Q400" t="s">
        <v>3402</v>
      </c>
      <c r="R400">
        <v>33.409999999999997</v>
      </c>
      <c r="S400">
        <v>4</v>
      </c>
      <c r="T400">
        <v>0.3</v>
      </c>
      <c r="U400">
        <v>-9.39</v>
      </c>
    </row>
    <row r="401" spans="1:21" x14ac:dyDescent="0.3">
      <c r="A401">
        <v>400</v>
      </c>
      <c r="B401" t="s">
        <v>420</v>
      </c>
      <c r="C401" s="2">
        <v>46018</v>
      </c>
      <c r="D401" s="2">
        <v>46022</v>
      </c>
      <c r="E401" t="s">
        <v>1523</v>
      </c>
      <c r="F401" t="s">
        <v>1779</v>
      </c>
      <c r="G401" t="s">
        <v>2179</v>
      </c>
      <c r="H401" t="s">
        <v>2315</v>
      </c>
      <c r="I401" t="s">
        <v>2317</v>
      </c>
      <c r="J401" t="s">
        <v>2320</v>
      </c>
      <c r="K401" t="s">
        <v>2320</v>
      </c>
      <c r="L401">
        <v>594735</v>
      </c>
      <c r="M401" t="s">
        <v>2330</v>
      </c>
      <c r="N401" t="s">
        <v>2648</v>
      </c>
      <c r="O401" t="s">
        <v>3055</v>
      </c>
      <c r="P401" t="s">
        <v>3060</v>
      </c>
      <c r="Q401" t="s">
        <v>3317</v>
      </c>
      <c r="R401">
        <v>218.18</v>
      </c>
      <c r="S401">
        <v>3</v>
      </c>
      <c r="T401">
        <v>0.15</v>
      </c>
      <c r="U401">
        <v>14.37</v>
      </c>
    </row>
    <row r="402" spans="1:21" x14ac:dyDescent="0.3">
      <c r="A402">
        <v>401</v>
      </c>
      <c r="B402" t="s">
        <v>421</v>
      </c>
      <c r="C402" s="2">
        <v>45342</v>
      </c>
      <c r="D402" s="2">
        <v>45346</v>
      </c>
      <c r="E402" t="s">
        <v>1524</v>
      </c>
      <c r="F402" t="s">
        <v>1780</v>
      </c>
      <c r="G402" t="s">
        <v>2104</v>
      </c>
      <c r="H402" t="s">
        <v>2315</v>
      </c>
      <c r="I402" t="s">
        <v>2317</v>
      </c>
      <c r="J402" t="s">
        <v>2319</v>
      </c>
      <c r="K402" t="s">
        <v>2319</v>
      </c>
      <c r="L402">
        <v>919433</v>
      </c>
      <c r="M402" t="s">
        <v>2329</v>
      </c>
      <c r="N402" t="s">
        <v>2465</v>
      </c>
      <c r="O402" t="s">
        <v>3053</v>
      </c>
      <c r="P402" t="s">
        <v>3065</v>
      </c>
      <c r="Q402" t="s">
        <v>3403</v>
      </c>
      <c r="R402">
        <v>271</v>
      </c>
      <c r="S402">
        <v>4</v>
      </c>
      <c r="T402">
        <v>0.1</v>
      </c>
      <c r="U402">
        <v>-6.09</v>
      </c>
    </row>
    <row r="403" spans="1:21" x14ac:dyDescent="0.3">
      <c r="A403">
        <v>402</v>
      </c>
      <c r="B403" t="s">
        <v>422</v>
      </c>
      <c r="C403" s="2">
        <v>45956</v>
      </c>
      <c r="D403" s="2">
        <v>45958</v>
      </c>
      <c r="E403" t="s">
        <v>1522</v>
      </c>
      <c r="F403" t="s">
        <v>1719</v>
      </c>
      <c r="G403" t="s">
        <v>1970</v>
      </c>
      <c r="H403" t="s">
        <v>2315</v>
      </c>
      <c r="I403" t="s">
        <v>2317</v>
      </c>
      <c r="J403" t="s">
        <v>2319</v>
      </c>
      <c r="K403" t="s">
        <v>2319</v>
      </c>
      <c r="L403">
        <v>690555</v>
      </c>
      <c r="M403" t="s">
        <v>2329</v>
      </c>
      <c r="N403" t="s">
        <v>2649</v>
      </c>
      <c r="O403" t="s">
        <v>3054</v>
      </c>
      <c r="P403" t="s">
        <v>3057</v>
      </c>
      <c r="Q403" t="s">
        <v>3324</v>
      </c>
      <c r="R403">
        <v>65.88</v>
      </c>
      <c r="S403">
        <v>8</v>
      </c>
      <c r="T403">
        <v>0</v>
      </c>
      <c r="U403">
        <v>2.9</v>
      </c>
    </row>
    <row r="404" spans="1:21" x14ac:dyDescent="0.3">
      <c r="A404">
        <v>403</v>
      </c>
      <c r="B404" t="s">
        <v>423</v>
      </c>
      <c r="C404" s="2">
        <v>45989</v>
      </c>
      <c r="D404" s="2">
        <v>45991</v>
      </c>
      <c r="E404" t="s">
        <v>1522</v>
      </c>
      <c r="F404" t="s">
        <v>1562</v>
      </c>
      <c r="G404" t="s">
        <v>2180</v>
      </c>
      <c r="H404" t="s">
        <v>2316</v>
      </c>
      <c r="I404" t="s">
        <v>2317</v>
      </c>
      <c r="J404" t="s">
        <v>2321</v>
      </c>
      <c r="K404" t="s">
        <v>2321</v>
      </c>
      <c r="L404">
        <v>905231</v>
      </c>
      <c r="M404" t="s">
        <v>2329</v>
      </c>
      <c r="N404" t="s">
        <v>2650</v>
      </c>
      <c r="O404" t="s">
        <v>3055</v>
      </c>
      <c r="P404" t="s">
        <v>3059</v>
      </c>
      <c r="Q404" t="s">
        <v>3404</v>
      </c>
      <c r="R404">
        <v>853.49</v>
      </c>
      <c r="S404">
        <v>2</v>
      </c>
      <c r="T404">
        <v>0.2</v>
      </c>
      <c r="U404">
        <v>55.04</v>
      </c>
    </row>
    <row r="405" spans="1:21" x14ac:dyDescent="0.3">
      <c r="A405">
        <v>404</v>
      </c>
      <c r="B405" t="s">
        <v>424</v>
      </c>
      <c r="C405" s="2">
        <v>45866</v>
      </c>
      <c r="D405" s="2">
        <v>45868</v>
      </c>
      <c r="E405" t="s">
        <v>1521</v>
      </c>
      <c r="F405" t="s">
        <v>1781</v>
      </c>
      <c r="G405" t="s">
        <v>2008</v>
      </c>
      <c r="H405" t="s">
        <v>2314</v>
      </c>
      <c r="I405" t="s">
        <v>2317</v>
      </c>
      <c r="J405" t="s">
        <v>2321</v>
      </c>
      <c r="K405" t="s">
        <v>2321</v>
      </c>
      <c r="L405">
        <v>713521</v>
      </c>
      <c r="M405" t="s">
        <v>2329</v>
      </c>
      <c r="N405" t="s">
        <v>2651</v>
      </c>
      <c r="O405" t="s">
        <v>3054</v>
      </c>
      <c r="P405" t="s">
        <v>3063</v>
      </c>
      <c r="Q405" t="s">
        <v>3405</v>
      </c>
      <c r="R405">
        <v>325.66000000000003</v>
      </c>
      <c r="S405">
        <v>9</v>
      </c>
      <c r="T405">
        <v>0.3</v>
      </c>
      <c r="U405">
        <v>-41.65</v>
      </c>
    </row>
    <row r="406" spans="1:21" x14ac:dyDescent="0.3">
      <c r="A406">
        <v>405</v>
      </c>
      <c r="B406" t="s">
        <v>425</v>
      </c>
      <c r="C406" s="2">
        <v>45481</v>
      </c>
      <c r="D406" s="2">
        <v>45484</v>
      </c>
      <c r="E406" t="s">
        <v>1523</v>
      </c>
      <c r="F406" t="s">
        <v>1679</v>
      </c>
      <c r="G406" t="s">
        <v>2181</v>
      </c>
      <c r="H406" t="s">
        <v>2315</v>
      </c>
      <c r="I406" t="s">
        <v>2317</v>
      </c>
      <c r="J406" t="s">
        <v>2324</v>
      </c>
      <c r="K406" t="s">
        <v>2324</v>
      </c>
      <c r="L406">
        <v>888427</v>
      </c>
      <c r="M406" t="s">
        <v>2330</v>
      </c>
      <c r="N406" t="s">
        <v>2652</v>
      </c>
      <c r="O406" t="s">
        <v>3054</v>
      </c>
      <c r="P406" t="s">
        <v>3063</v>
      </c>
      <c r="Q406" t="s">
        <v>3406</v>
      </c>
      <c r="R406">
        <v>201.55</v>
      </c>
      <c r="S406">
        <v>1</v>
      </c>
      <c r="T406">
        <v>0.15</v>
      </c>
      <c r="U406">
        <v>20.07</v>
      </c>
    </row>
    <row r="407" spans="1:21" x14ac:dyDescent="0.3">
      <c r="A407">
        <v>406</v>
      </c>
      <c r="B407" t="s">
        <v>426</v>
      </c>
      <c r="C407" s="2">
        <v>45416</v>
      </c>
      <c r="D407" s="2">
        <v>45417</v>
      </c>
      <c r="E407" t="s">
        <v>1524</v>
      </c>
      <c r="F407" t="s">
        <v>1667</v>
      </c>
      <c r="G407" t="s">
        <v>2054</v>
      </c>
      <c r="H407" t="s">
        <v>2316</v>
      </c>
      <c r="I407" t="s">
        <v>2317</v>
      </c>
      <c r="J407" t="s">
        <v>2322</v>
      </c>
      <c r="K407" t="s">
        <v>2322</v>
      </c>
      <c r="L407">
        <v>323734</v>
      </c>
      <c r="M407" t="s">
        <v>2331</v>
      </c>
      <c r="N407" t="s">
        <v>2653</v>
      </c>
      <c r="O407" t="s">
        <v>3055</v>
      </c>
      <c r="P407" t="s">
        <v>3061</v>
      </c>
      <c r="Q407" t="s">
        <v>3407</v>
      </c>
      <c r="R407">
        <v>218.51</v>
      </c>
      <c r="S407">
        <v>1</v>
      </c>
      <c r="T407">
        <v>0.2</v>
      </c>
      <c r="U407">
        <v>-10.96</v>
      </c>
    </row>
    <row r="408" spans="1:21" x14ac:dyDescent="0.3">
      <c r="A408">
        <v>407</v>
      </c>
      <c r="B408" t="s">
        <v>427</v>
      </c>
      <c r="C408" s="2">
        <v>45441</v>
      </c>
      <c r="D408" s="2">
        <v>45442</v>
      </c>
      <c r="E408" t="s">
        <v>1523</v>
      </c>
      <c r="F408" t="s">
        <v>1606</v>
      </c>
      <c r="G408" t="s">
        <v>2037</v>
      </c>
      <c r="H408" t="s">
        <v>2314</v>
      </c>
      <c r="I408" t="s">
        <v>2317</v>
      </c>
      <c r="J408" t="s">
        <v>2326</v>
      </c>
      <c r="K408" t="s">
        <v>2326</v>
      </c>
      <c r="L408">
        <v>827468</v>
      </c>
      <c r="M408" t="s">
        <v>2331</v>
      </c>
      <c r="N408" t="s">
        <v>2618</v>
      </c>
      <c r="O408" t="s">
        <v>3054</v>
      </c>
      <c r="P408" t="s">
        <v>3058</v>
      </c>
      <c r="Q408" t="s">
        <v>3408</v>
      </c>
      <c r="R408">
        <v>155.22999999999999</v>
      </c>
      <c r="S408">
        <v>8</v>
      </c>
      <c r="T408">
        <v>0</v>
      </c>
      <c r="U408">
        <v>-31.28</v>
      </c>
    </row>
    <row r="409" spans="1:21" x14ac:dyDescent="0.3">
      <c r="A409">
        <v>408</v>
      </c>
      <c r="B409" t="s">
        <v>428</v>
      </c>
      <c r="C409" s="2">
        <v>45605</v>
      </c>
      <c r="D409" s="2">
        <v>45606</v>
      </c>
      <c r="E409" t="s">
        <v>1524</v>
      </c>
      <c r="F409" t="s">
        <v>1782</v>
      </c>
      <c r="G409" t="s">
        <v>2182</v>
      </c>
      <c r="H409" t="s">
        <v>2314</v>
      </c>
      <c r="I409" t="s">
        <v>2317</v>
      </c>
      <c r="J409" t="s">
        <v>2326</v>
      </c>
      <c r="K409" t="s">
        <v>2326</v>
      </c>
      <c r="L409">
        <v>422176</v>
      </c>
      <c r="M409" t="s">
        <v>2331</v>
      </c>
      <c r="N409" t="s">
        <v>2623</v>
      </c>
      <c r="O409" t="s">
        <v>3053</v>
      </c>
      <c r="P409" t="s">
        <v>3066</v>
      </c>
      <c r="Q409" t="s">
        <v>3409</v>
      </c>
      <c r="R409">
        <v>523.11</v>
      </c>
      <c r="S409">
        <v>6</v>
      </c>
      <c r="T409">
        <v>0.05</v>
      </c>
      <c r="U409">
        <v>66.38</v>
      </c>
    </row>
    <row r="410" spans="1:21" x14ac:dyDescent="0.3">
      <c r="A410">
        <v>409</v>
      </c>
      <c r="B410" t="s">
        <v>429</v>
      </c>
      <c r="C410" s="2">
        <v>45861</v>
      </c>
      <c r="D410" s="2">
        <v>45864</v>
      </c>
      <c r="E410" t="s">
        <v>1523</v>
      </c>
      <c r="F410" t="s">
        <v>1665</v>
      </c>
      <c r="G410" t="s">
        <v>2156</v>
      </c>
      <c r="H410" t="s">
        <v>2316</v>
      </c>
      <c r="I410" t="s">
        <v>2317</v>
      </c>
      <c r="J410" t="s">
        <v>2318</v>
      </c>
      <c r="K410" t="s">
        <v>2318</v>
      </c>
      <c r="L410">
        <v>370774</v>
      </c>
      <c r="M410" t="s">
        <v>2328</v>
      </c>
      <c r="N410" t="s">
        <v>2556</v>
      </c>
      <c r="O410" t="s">
        <v>3053</v>
      </c>
      <c r="P410" t="s">
        <v>3065</v>
      </c>
      <c r="Q410" t="s">
        <v>3410</v>
      </c>
      <c r="R410">
        <v>284.05</v>
      </c>
      <c r="S410">
        <v>8</v>
      </c>
      <c r="T410">
        <v>0.2</v>
      </c>
      <c r="U410">
        <v>-10.11</v>
      </c>
    </row>
    <row r="411" spans="1:21" x14ac:dyDescent="0.3">
      <c r="A411">
        <v>410</v>
      </c>
      <c r="B411" t="s">
        <v>430</v>
      </c>
      <c r="C411" s="2">
        <v>45633</v>
      </c>
      <c r="D411" s="2">
        <v>45635</v>
      </c>
      <c r="E411" t="s">
        <v>1523</v>
      </c>
      <c r="F411" t="s">
        <v>1670</v>
      </c>
      <c r="G411" t="s">
        <v>2090</v>
      </c>
      <c r="H411" t="s">
        <v>2315</v>
      </c>
      <c r="I411" t="s">
        <v>2317</v>
      </c>
      <c r="J411" t="s">
        <v>2320</v>
      </c>
      <c r="K411" t="s">
        <v>2320</v>
      </c>
      <c r="L411">
        <v>931659</v>
      </c>
      <c r="M411" t="s">
        <v>2330</v>
      </c>
      <c r="N411" t="s">
        <v>2654</v>
      </c>
      <c r="O411" t="s">
        <v>3055</v>
      </c>
      <c r="P411" t="s">
        <v>3060</v>
      </c>
      <c r="Q411" t="s">
        <v>3411</v>
      </c>
      <c r="R411">
        <v>1250.07</v>
      </c>
      <c r="S411">
        <v>6</v>
      </c>
      <c r="T411">
        <v>0.05</v>
      </c>
      <c r="U411">
        <v>186.59</v>
      </c>
    </row>
    <row r="412" spans="1:21" x14ac:dyDescent="0.3">
      <c r="A412">
        <v>411</v>
      </c>
      <c r="B412" t="s">
        <v>431</v>
      </c>
      <c r="C412" s="2">
        <v>45596</v>
      </c>
      <c r="D412" s="2">
        <v>45601</v>
      </c>
      <c r="E412" t="s">
        <v>1524</v>
      </c>
      <c r="F412" t="s">
        <v>1546</v>
      </c>
      <c r="G412" t="s">
        <v>1968</v>
      </c>
      <c r="H412" t="s">
        <v>2314</v>
      </c>
      <c r="I412" t="s">
        <v>2317</v>
      </c>
      <c r="J412" t="s">
        <v>2322</v>
      </c>
      <c r="K412" t="s">
        <v>2322</v>
      </c>
      <c r="L412">
        <v>804989</v>
      </c>
      <c r="M412" t="s">
        <v>2331</v>
      </c>
      <c r="N412" t="s">
        <v>2655</v>
      </c>
      <c r="O412" t="s">
        <v>3055</v>
      </c>
      <c r="P412" t="s">
        <v>3061</v>
      </c>
      <c r="Q412" t="s">
        <v>3412</v>
      </c>
      <c r="R412">
        <v>386.1</v>
      </c>
      <c r="S412">
        <v>3</v>
      </c>
      <c r="T412">
        <v>0</v>
      </c>
      <c r="U412">
        <v>45.77</v>
      </c>
    </row>
    <row r="413" spans="1:21" x14ac:dyDescent="0.3">
      <c r="A413">
        <v>412</v>
      </c>
      <c r="B413" t="s">
        <v>432</v>
      </c>
      <c r="C413" s="2">
        <v>45983</v>
      </c>
      <c r="D413" s="2">
        <v>45986</v>
      </c>
      <c r="E413" t="s">
        <v>1522</v>
      </c>
      <c r="F413" t="s">
        <v>1783</v>
      </c>
      <c r="G413" t="s">
        <v>2109</v>
      </c>
      <c r="H413" t="s">
        <v>2316</v>
      </c>
      <c r="I413" t="s">
        <v>2317</v>
      </c>
      <c r="J413" t="s">
        <v>2323</v>
      </c>
      <c r="K413" t="s">
        <v>2323</v>
      </c>
      <c r="L413">
        <v>827449</v>
      </c>
      <c r="M413" t="s">
        <v>2328</v>
      </c>
      <c r="N413" t="s">
        <v>2656</v>
      </c>
      <c r="O413" t="s">
        <v>3054</v>
      </c>
      <c r="P413" t="s">
        <v>3058</v>
      </c>
      <c r="Q413" t="s">
        <v>3413</v>
      </c>
      <c r="R413">
        <v>48.36</v>
      </c>
      <c r="S413">
        <v>4</v>
      </c>
      <c r="T413">
        <v>0.15</v>
      </c>
      <c r="U413">
        <v>-4.9400000000000004</v>
      </c>
    </row>
    <row r="414" spans="1:21" x14ac:dyDescent="0.3">
      <c r="A414">
        <v>413</v>
      </c>
      <c r="B414" t="s">
        <v>433</v>
      </c>
      <c r="C414" s="2">
        <v>45973</v>
      </c>
      <c r="D414" s="2">
        <v>45975</v>
      </c>
      <c r="E414" t="s">
        <v>1521</v>
      </c>
      <c r="F414" t="s">
        <v>1784</v>
      </c>
      <c r="G414" t="s">
        <v>2002</v>
      </c>
      <c r="H414" t="s">
        <v>2316</v>
      </c>
      <c r="I414" t="s">
        <v>2317</v>
      </c>
      <c r="J414" t="s">
        <v>2319</v>
      </c>
      <c r="K414" t="s">
        <v>2319</v>
      </c>
      <c r="L414">
        <v>608898</v>
      </c>
      <c r="M414" t="s">
        <v>2329</v>
      </c>
      <c r="N414" t="s">
        <v>2333</v>
      </c>
      <c r="O414" t="s">
        <v>3054</v>
      </c>
      <c r="P414" t="s">
        <v>3057</v>
      </c>
      <c r="Q414" t="s">
        <v>3074</v>
      </c>
      <c r="R414">
        <v>40.06</v>
      </c>
      <c r="S414">
        <v>3</v>
      </c>
      <c r="T414">
        <v>0</v>
      </c>
      <c r="U414">
        <v>-36.93</v>
      </c>
    </row>
    <row r="415" spans="1:21" x14ac:dyDescent="0.3">
      <c r="A415">
        <v>414</v>
      </c>
      <c r="B415" t="s">
        <v>434</v>
      </c>
      <c r="C415" s="2">
        <v>45345</v>
      </c>
      <c r="D415" s="2">
        <v>45347</v>
      </c>
      <c r="E415" t="s">
        <v>1523</v>
      </c>
      <c r="F415" t="s">
        <v>1547</v>
      </c>
      <c r="G415" t="s">
        <v>1968</v>
      </c>
      <c r="H415" t="s">
        <v>2316</v>
      </c>
      <c r="I415" t="s">
        <v>2317</v>
      </c>
      <c r="J415" t="s">
        <v>2325</v>
      </c>
      <c r="K415" t="s">
        <v>2325</v>
      </c>
      <c r="L415">
        <v>524861</v>
      </c>
      <c r="M415" t="s">
        <v>2332</v>
      </c>
      <c r="N415" t="s">
        <v>2657</v>
      </c>
      <c r="O415" t="s">
        <v>3054</v>
      </c>
      <c r="P415" t="s">
        <v>3063</v>
      </c>
      <c r="Q415" t="s">
        <v>3184</v>
      </c>
      <c r="R415">
        <v>21.46</v>
      </c>
      <c r="S415">
        <v>4</v>
      </c>
      <c r="T415">
        <v>0.2</v>
      </c>
      <c r="U415">
        <v>-3.41</v>
      </c>
    </row>
    <row r="416" spans="1:21" x14ac:dyDescent="0.3">
      <c r="A416">
        <v>415</v>
      </c>
      <c r="B416" t="s">
        <v>435</v>
      </c>
      <c r="C416" s="2">
        <v>45735</v>
      </c>
      <c r="D416" s="2">
        <v>45737</v>
      </c>
      <c r="E416" t="s">
        <v>1524</v>
      </c>
      <c r="F416" t="s">
        <v>1582</v>
      </c>
      <c r="G416" t="s">
        <v>1956</v>
      </c>
      <c r="H416" t="s">
        <v>2316</v>
      </c>
      <c r="I416" t="s">
        <v>2317</v>
      </c>
      <c r="J416" t="s">
        <v>2327</v>
      </c>
      <c r="K416" t="s">
        <v>2327</v>
      </c>
      <c r="L416">
        <v>327997</v>
      </c>
      <c r="M416" t="s">
        <v>2330</v>
      </c>
      <c r="N416" t="s">
        <v>2543</v>
      </c>
      <c r="O416" t="s">
        <v>3053</v>
      </c>
      <c r="P416" t="s">
        <v>3066</v>
      </c>
      <c r="Q416" t="s">
        <v>3180</v>
      </c>
      <c r="R416">
        <v>311.37</v>
      </c>
      <c r="S416">
        <v>2</v>
      </c>
      <c r="T416">
        <v>0.15</v>
      </c>
      <c r="U416">
        <v>10.3</v>
      </c>
    </row>
    <row r="417" spans="1:21" x14ac:dyDescent="0.3">
      <c r="A417">
        <v>416</v>
      </c>
      <c r="B417" t="s">
        <v>436</v>
      </c>
      <c r="C417" s="2">
        <v>45904</v>
      </c>
      <c r="D417" s="2">
        <v>45908</v>
      </c>
      <c r="E417" t="s">
        <v>1522</v>
      </c>
      <c r="F417" t="s">
        <v>1622</v>
      </c>
      <c r="G417" t="s">
        <v>2054</v>
      </c>
      <c r="H417" t="s">
        <v>2314</v>
      </c>
      <c r="I417" t="s">
        <v>2317</v>
      </c>
      <c r="J417" t="s">
        <v>2324</v>
      </c>
      <c r="K417" t="s">
        <v>2324</v>
      </c>
      <c r="L417">
        <v>789050</v>
      </c>
      <c r="M417" t="s">
        <v>2330</v>
      </c>
      <c r="N417" t="s">
        <v>2658</v>
      </c>
      <c r="O417" t="s">
        <v>3055</v>
      </c>
      <c r="P417" t="s">
        <v>3060</v>
      </c>
      <c r="Q417" t="s">
        <v>3414</v>
      </c>
      <c r="R417">
        <v>379.89</v>
      </c>
      <c r="S417">
        <v>1</v>
      </c>
      <c r="T417">
        <v>0.1</v>
      </c>
      <c r="U417">
        <v>59.34</v>
      </c>
    </row>
    <row r="418" spans="1:21" x14ac:dyDescent="0.3">
      <c r="A418">
        <v>417</v>
      </c>
      <c r="B418" t="s">
        <v>437</v>
      </c>
      <c r="C418" s="2">
        <v>45555</v>
      </c>
      <c r="D418" s="2">
        <v>45559</v>
      </c>
      <c r="E418" t="s">
        <v>1521</v>
      </c>
      <c r="F418" t="s">
        <v>1785</v>
      </c>
      <c r="G418" t="s">
        <v>2093</v>
      </c>
      <c r="H418" t="s">
        <v>2315</v>
      </c>
      <c r="I418" t="s">
        <v>2317</v>
      </c>
      <c r="J418" t="s">
        <v>2320</v>
      </c>
      <c r="K418" t="s">
        <v>2320</v>
      </c>
      <c r="L418">
        <v>216361</v>
      </c>
      <c r="M418" t="s">
        <v>2330</v>
      </c>
      <c r="N418" t="s">
        <v>2659</v>
      </c>
      <c r="O418" t="s">
        <v>3054</v>
      </c>
      <c r="P418" t="s">
        <v>3063</v>
      </c>
      <c r="Q418" t="s">
        <v>3184</v>
      </c>
      <c r="R418">
        <v>35.74</v>
      </c>
      <c r="S418">
        <v>1</v>
      </c>
      <c r="T418">
        <v>0.2</v>
      </c>
      <c r="U418">
        <v>17.7</v>
      </c>
    </row>
    <row r="419" spans="1:21" x14ac:dyDescent="0.3">
      <c r="A419">
        <v>418</v>
      </c>
      <c r="B419" t="s">
        <v>438</v>
      </c>
      <c r="C419" s="2">
        <v>45344</v>
      </c>
      <c r="D419" s="2">
        <v>45346</v>
      </c>
      <c r="E419" t="s">
        <v>1521</v>
      </c>
      <c r="F419" t="s">
        <v>1786</v>
      </c>
      <c r="G419" t="s">
        <v>2144</v>
      </c>
      <c r="H419" t="s">
        <v>2316</v>
      </c>
      <c r="I419" t="s">
        <v>2317</v>
      </c>
      <c r="J419" t="s">
        <v>2320</v>
      </c>
      <c r="K419" t="s">
        <v>2320</v>
      </c>
      <c r="L419">
        <v>917276</v>
      </c>
      <c r="M419" t="s">
        <v>2330</v>
      </c>
      <c r="N419" t="s">
        <v>2660</v>
      </c>
      <c r="O419" t="s">
        <v>3055</v>
      </c>
      <c r="P419" t="s">
        <v>3059</v>
      </c>
      <c r="Q419" t="s">
        <v>3415</v>
      </c>
      <c r="R419">
        <v>454.8</v>
      </c>
      <c r="S419">
        <v>7</v>
      </c>
      <c r="T419">
        <v>0.1</v>
      </c>
      <c r="U419">
        <v>59.18</v>
      </c>
    </row>
    <row r="420" spans="1:21" x14ac:dyDescent="0.3">
      <c r="A420">
        <v>419</v>
      </c>
      <c r="B420" t="s">
        <v>439</v>
      </c>
      <c r="C420" s="2">
        <v>45863</v>
      </c>
      <c r="D420" s="2">
        <v>45867</v>
      </c>
      <c r="E420" t="s">
        <v>1524</v>
      </c>
      <c r="F420" t="s">
        <v>1787</v>
      </c>
      <c r="G420" t="s">
        <v>2122</v>
      </c>
      <c r="H420" t="s">
        <v>2314</v>
      </c>
      <c r="I420" t="s">
        <v>2317</v>
      </c>
      <c r="J420" t="s">
        <v>2320</v>
      </c>
      <c r="K420" t="s">
        <v>2320</v>
      </c>
      <c r="L420">
        <v>624261</v>
      </c>
      <c r="M420" t="s">
        <v>2330</v>
      </c>
      <c r="N420" t="s">
        <v>2578</v>
      </c>
      <c r="O420" t="s">
        <v>3054</v>
      </c>
      <c r="P420" t="s">
        <v>3064</v>
      </c>
      <c r="Q420" t="s">
        <v>3416</v>
      </c>
      <c r="R420">
        <v>179.39</v>
      </c>
      <c r="S420">
        <v>2</v>
      </c>
      <c r="T420">
        <v>0.3</v>
      </c>
      <c r="U420">
        <v>-10.18</v>
      </c>
    </row>
    <row r="421" spans="1:21" x14ac:dyDescent="0.3">
      <c r="A421">
        <v>420</v>
      </c>
      <c r="B421" t="s">
        <v>440</v>
      </c>
      <c r="C421" s="2">
        <v>45911</v>
      </c>
      <c r="D421" s="2">
        <v>45912</v>
      </c>
      <c r="E421" t="s">
        <v>1523</v>
      </c>
      <c r="F421" t="s">
        <v>1619</v>
      </c>
      <c r="G421" t="s">
        <v>2051</v>
      </c>
      <c r="H421" t="s">
        <v>2315</v>
      </c>
      <c r="I421" t="s">
        <v>2317</v>
      </c>
      <c r="J421" t="s">
        <v>2319</v>
      </c>
      <c r="K421" t="s">
        <v>2319</v>
      </c>
      <c r="L421">
        <v>592280</v>
      </c>
      <c r="M421" t="s">
        <v>2329</v>
      </c>
      <c r="N421" t="s">
        <v>2661</v>
      </c>
      <c r="O421" t="s">
        <v>3054</v>
      </c>
      <c r="P421" t="s">
        <v>3063</v>
      </c>
      <c r="Q421" t="s">
        <v>3417</v>
      </c>
      <c r="R421">
        <v>43.82</v>
      </c>
      <c r="S421">
        <v>7</v>
      </c>
      <c r="T421">
        <v>0.2</v>
      </c>
      <c r="U421">
        <v>0.23</v>
      </c>
    </row>
    <row r="422" spans="1:21" x14ac:dyDescent="0.3">
      <c r="A422">
        <v>421</v>
      </c>
      <c r="B422" t="s">
        <v>441</v>
      </c>
      <c r="C422" s="2">
        <v>45296</v>
      </c>
      <c r="D422" s="2">
        <v>45298</v>
      </c>
      <c r="E422" t="s">
        <v>1524</v>
      </c>
      <c r="F422" t="s">
        <v>1634</v>
      </c>
      <c r="G422" t="s">
        <v>2183</v>
      </c>
      <c r="H422" t="s">
        <v>2315</v>
      </c>
      <c r="I422" t="s">
        <v>2317</v>
      </c>
      <c r="J422" t="s">
        <v>2319</v>
      </c>
      <c r="K422" t="s">
        <v>2319</v>
      </c>
      <c r="L422">
        <v>446874</v>
      </c>
      <c r="M422" t="s">
        <v>2329</v>
      </c>
      <c r="N422" t="s">
        <v>2662</v>
      </c>
      <c r="O422" t="s">
        <v>3054</v>
      </c>
      <c r="P422" t="s">
        <v>3057</v>
      </c>
      <c r="Q422" t="s">
        <v>3418</v>
      </c>
      <c r="R422">
        <v>39.049999999999997</v>
      </c>
      <c r="S422">
        <v>1</v>
      </c>
      <c r="T422">
        <v>0.2</v>
      </c>
      <c r="U422">
        <v>-9.6</v>
      </c>
    </row>
    <row r="423" spans="1:21" x14ac:dyDescent="0.3">
      <c r="A423">
        <v>422</v>
      </c>
      <c r="B423" t="s">
        <v>442</v>
      </c>
      <c r="C423" s="2">
        <v>45394</v>
      </c>
      <c r="D423" s="2">
        <v>45397</v>
      </c>
      <c r="E423" t="s">
        <v>1521</v>
      </c>
      <c r="F423" t="s">
        <v>1663</v>
      </c>
      <c r="G423" t="s">
        <v>2184</v>
      </c>
      <c r="H423" t="s">
        <v>2316</v>
      </c>
      <c r="I423" t="s">
        <v>2317</v>
      </c>
      <c r="J423" t="s">
        <v>2327</v>
      </c>
      <c r="K423" t="s">
        <v>2327</v>
      </c>
      <c r="L423">
        <v>346553</v>
      </c>
      <c r="M423" t="s">
        <v>2330</v>
      </c>
      <c r="N423" t="s">
        <v>2663</v>
      </c>
      <c r="O423" t="s">
        <v>3054</v>
      </c>
      <c r="P423" t="s">
        <v>3057</v>
      </c>
      <c r="Q423" t="s">
        <v>3419</v>
      </c>
      <c r="R423">
        <v>20.74</v>
      </c>
      <c r="S423">
        <v>2</v>
      </c>
      <c r="T423">
        <v>0.15</v>
      </c>
      <c r="U423">
        <v>-3.86</v>
      </c>
    </row>
    <row r="424" spans="1:21" x14ac:dyDescent="0.3">
      <c r="A424">
        <v>423</v>
      </c>
      <c r="B424" t="s">
        <v>443</v>
      </c>
      <c r="C424" s="2">
        <v>45487</v>
      </c>
      <c r="D424" s="2">
        <v>45490</v>
      </c>
      <c r="E424" t="s">
        <v>1522</v>
      </c>
      <c r="F424" t="s">
        <v>1788</v>
      </c>
      <c r="G424" t="s">
        <v>1971</v>
      </c>
      <c r="H424" t="s">
        <v>2314</v>
      </c>
      <c r="I424" t="s">
        <v>2317</v>
      </c>
      <c r="J424" t="s">
        <v>2323</v>
      </c>
      <c r="K424" t="s">
        <v>2323</v>
      </c>
      <c r="L424">
        <v>497243</v>
      </c>
      <c r="M424" t="s">
        <v>2328</v>
      </c>
      <c r="N424" t="s">
        <v>2664</v>
      </c>
      <c r="O424" t="s">
        <v>3055</v>
      </c>
      <c r="P424" t="s">
        <v>3061</v>
      </c>
      <c r="Q424" t="s">
        <v>3420</v>
      </c>
      <c r="R424">
        <v>525.16999999999996</v>
      </c>
      <c r="S424">
        <v>9</v>
      </c>
      <c r="T424">
        <v>0.15</v>
      </c>
      <c r="U424">
        <v>5.07</v>
      </c>
    </row>
    <row r="425" spans="1:21" x14ac:dyDescent="0.3">
      <c r="A425">
        <v>424</v>
      </c>
      <c r="B425" t="s">
        <v>444</v>
      </c>
      <c r="C425" s="2">
        <v>45641</v>
      </c>
      <c r="D425" s="2">
        <v>45642</v>
      </c>
      <c r="E425" t="s">
        <v>1523</v>
      </c>
      <c r="F425" t="s">
        <v>1789</v>
      </c>
      <c r="G425" t="s">
        <v>2136</v>
      </c>
      <c r="H425" t="s">
        <v>2315</v>
      </c>
      <c r="I425" t="s">
        <v>2317</v>
      </c>
      <c r="J425" t="s">
        <v>2322</v>
      </c>
      <c r="K425" t="s">
        <v>2322</v>
      </c>
      <c r="L425">
        <v>117669</v>
      </c>
      <c r="M425" t="s">
        <v>2331</v>
      </c>
      <c r="N425" t="s">
        <v>2665</v>
      </c>
      <c r="O425" t="s">
        <v>3054</v>
      </c>
      <c r="P425" t="s">
        <v>3057</v>
      </c>
      <c r="Q425" t="s">
        <v>3421</v>
      </c>
      <c r="R425">
        <v>103.47</v>
      </c>
      <c r="S425">
        <v>4</v>
      </c>
      <c r="T425">
        <v>0.2</v>
      </c>
      <c r="U425">
        <v>10.77</v>
      </c>
    </row>
    <row r="426" spans="1:21" x14ac:dyDescent="0.3">
      <c r="A426">
        <v>425</v>
      </c>
      <c r="B426" t="s">
        <v>445</v>
      </c>
      <c r="C426" s="2">
        <v>45338</v>
      </c>
      <c r="D426" s="2">
        <v>45344</v>
      </c>
      <c r="E426" t="s">
        <v>1521</v>
      </c>
      <c r="F426" t="s">
        <v>1790</v>
      </c>
      <c r="G426" t="s">
        <v>1926</v>
      </c>
      <c r="H426" t="s">
        <v>2314</v>
      </c>
      <c r="I426" t="s">
        <v>2317</v>
      </c>
      <c r="J426" t="s">
        <v>2320</v>
      </c>
      <c r="K426" t="s">
        <v>2320</v>
      </c>
      <c r="L426">
        <v>727523</v>
      </c>
      <c r="M426" t="s">
        <v>2330</v>
      </c>
      <c r="N426" t="s">
        <v>2666</v>
      </c>
      <c r="O426" t="s">
        <v>3053</v>
      </c>
      <c r="P426" t="s">
        <v>3066</v>
      </c>
      <c r="Q426" t="s">
        <v>3354</v>
      </c>
      <c r="R426">
        <v>838.16</v>
      </c>
      <c r="S426">
        <v>3</v>
      </c>
      <c r="T426">
        <v>0.2</v>
      </c>
      <c r="U426">
        <v>-35.96</v>
      </c>
    </row>
    <row r="427" spans="1:21" x14ac:dyDescent="0.3">
      <c r="A427">
        <v>426</v>
      </c>
      <c r="B427" t="s">
        <v>446</v>
      </c>
      <c r="C427" s="2">
        <v>45947</v>
      </c>
      <c r="D427" s="2">
        <v>45951</v>
      </c>
      <c r="E427" t="s">
        <v>1521</v>
      </c>
      <c r="F427" t="s">
        <v>1741</v>
      </c>
      <c r="G427" t="s">
        <v>2074</v>
      </c>
      <c r="H427" t="s">
        <v>2316</v>
      </c>
      <c r="I427" t="s">
        <v>2317</v>
      </c>
      <c r="J427" t="s">
        <v>2326</v>
      </c>
      <c r="K427" t="s">
        <v>2326</v>
      </c>
      <c r="L427">
        <v>367885</v>
      </c>
      <c r="M427" t="s">
        <v>2331</v>
      </c>
      <c r="N427" t="s">
        <v>2379</v>
      </c>
      <c r="O427" t="s">
        <v>3054</v>
      </c>
      <c r="P427" t="s">
        <v>3064</v>
      </c>
      <c r="Q427" t="s">
        <v>3422</v>
      </c>
      <c r="R427">
        <v>33.47</v>
      </c>
      <c r="S427">
        <v>3</v>
      </c>
      <c r="T427">
        <v>0.15</v>
      </c>
      <c r="U427">
        <v>-4.72</v>
      </c>
    </row>
    <row r="428" spans="1:21" x14ac:dyDescent="0.3">
      <c r="A428">
        <v>427</v>
      </c>
      <c r="B428" t="s">
        <v>447</v>
      </c>
      <c r="C428" s="2">
        <v>45560</v>
      </c>
      <c r="D428" s="2">
        <v>45563</v>
      </c>
      <c r="E428" t="s">
        <v>1521</v>
      </c>
      <c r="F428" t="s">
        <v>1652</v>
      </c>
      <c r="G428" t="s">
        <v>2001</v>
      </c>
      <c r="H428" t="s">
        <v>2314</v>
      </c>
      <c r="I428" t="s">
        <v>2317</v>
      </c>
      <c r="J428" t="s">
        <v>2321</v>
      </c>
      <c r="K428" t="s">
        <v>2321</v>
      </c>
      <c r="L428">
        <v>473798</v>
      </c>
      <c r="M428" t="s">
        <v>2329</v>
      </c>
      <c r="N428" t="s">
        <v>2667</v>
      </c>
      <c r="O428" t="s">
        <v>3055</v>
      </c>
      <c r="P428" t="s">
        <v>3061</v>
      </c>
      <c r="Q428" t="s">
        <v>3423</v>
      </c>
      <c r="R428">
        <v>194.63</v>
      </c>
      <c r="S428">
        <v>2</v>
      </c>
      <c r="T428">
        <v>0.05</v>
      </c>
      <c r="U428">
        <v>46.02</v>
      </c>
    </row>
    <row r="429" spans="1:21" x14ac:dyDescent="0.3">
      <c r="A429">
        <v>428</v>
      </c>
      <c r="B429" t="s">
        <v>448</v>
      </c>
      <c r="C429" s="2">
        <v>45661</v>
      </c>
      <c r="D429" s="2">
        <v>45664</v>
      </c>
      <c r="E429" t="s">
        <v>1522</v>
      </c>
      <c r="F429" t="s">
        <v>1639</v>
      </c>
      <c r="G429" t="s">
        <v>2060</v>
      </c>
      <c r="H429" t="s">
        <v>2315</v>
      </c>
      <c r="I429" t="s">
        <v>2317</v>
      </c>
      <c r="J429" t="s">
        <v>2326</v>
      </c>
      <c r="K429" t="s">
        <v>2326</v>
      </c>
      <c r="L429">
        <v>354084</v>
      </c>
      <c r="M429" t="s">
        <v>2331</v>
      </c>
      <c r="N429" t="s">
        <v>2668</v>
      </c>
      <c r="O429" t="s">
        <v>3054</v>
      </c>
      <c r="P429" t="s">
        <v>3057</v>
      </c>
      <c r="Q429" t="s">
        <v>3202</v>
      </c>
      <c r="R429">
        <v>63.08</v>
      </c>
      <c r="S429">
        <v>9</v>
      </c>
      <c r="T429">
        <v>0.2</v>
      </c>
      <c r="U429">
        <v>17.02</v>
      </c>
    </row>
    <row r="430" spans="1:21" x14ac:dyDescent="0.3">
      <c r="A430">
        <v>429</v>
      </c>
      <c r="B430" t="s">
        <v>449</v>
      </c>
      <c r="C430" s="2">
        <v>45927</v>
      </c>
      <c r="D430" s="2">
        <v>45930</v>
      </c>
      <c r="E430" t="s">
        <v>1522</v>
      </c>
      <c r="F430" t="s">
        <v>1640</v>
      </c>
      <c r="G430" t="s">
        <v>2185</v>
      </c>
      <c r="H430" t="s">
        <v>2315</v>
      </c>
      <c r="I430" t="s">
        <v>2317</v>
      </c>
      <c r="J430" t="s">
        <v>2318</v>
      </c>
      <c r="K430" t="s">
        <v>2318</v>
      </c>
      <c r="L430">
        <v>597981</v>
      </c>
      <c r="M430" t="s">
        <v>2328</v>
      </c>
      <c r="N430" t="s">
        <v>2669</v>
      </c>
      <c r="O430" t="s">
        <v>3054</v>
      </c>
      <c r="P430" t="s">
        <v>3057</v>
      </c>
      <c r="Q430" t="s">
        <v>3075</v>
      </c>
      <c r="R430">
        <v>46.72</v>
      </c>
      <c r="S430">
        <v>9</v>
      </c>
      <c r="T430">
        <v>0.3</v>
      </c>
      <c r="U430">
        <v>41.9</v>
      </c>
    </row>
    <row r="431" spans="1:21" x14ac:dyDescent="0.3">
      <c r="A431">
        <v>430</v>
      </c>
      <c r="B431" t="s">
        <v>450</v>
      </c>
      <c r="C431" s="2">
        <v>45397</v>
      </c>
      <c r="D431" s="2">
        <v>45399</v>
      </c>
      <c r="E431" t="s">
        <v>1524</v>
      </c>
      <c r="F431" t="s">
        <v>1605</v>
      </c>
      <c r="G431" t="s">
        <v>1929</v>
      </c>
      <c r="H431" t="s">
        <v>2314</v>
      </c>
      <c r="I431" t="s">
        <v>2317</v>
      </c>
      <c r="J431" t="s">
        <v>2326</v>
      </c>
      <c r="K431" t="s">
        <v>2326</v>
      </c>
      <c r="L431">
        <v>742607</v>
      </c>
      <c r="M431" t="s">
        <v>2331</v>
      </c>
      <c r="N431" t="s">
        <v>2649</v>
      </c>
      <c r="O431" t="s">
        <v>3055</v>
      </c>
      <c r="P431" t="s">
        <v>3059</v>
      </c>
      <c r="Q431" t="s">
        <v>3424</v>
      </c>
      <c r="R431">
        <v>481.72</v>
      </c>
      <c r="S431">
        <v>6</v>
      </c>
      <c r="T431">
        <v>0.1</v>
      </c>
      <c r="U431">
        <v>44.85</v>
      </c>
    </row>
    <row r="432" spans="1:21" x14ac:dyDescent="0.3">
      <c r="A432">
        <v>431</v>
      </c>
      <c r="B432" t="s">
        <v>451</v>
      </c>
      <c r="C432" s="2">
        <v>45961</v>
      </c>
      <c r="D432" s="2">
        <v>45965</v>
      </c>
      <c r="E432" t="s">
        <v>1522</v>
      </c>
      <c r="F432" t="s">
        <v>1645</v>
      </c>
      <c r="G432" t="s">
        <v>2186</v>
      </c>
      <c r="H432" t="s">
        <v>2316</v>
      </c>
      <c r="I432" t="s">
        <v>2317</v>
      </c>
      <c r="J432" t="s">
        <v>2318</v>
      </c>
      <c r="K432" t="s">
        <v>2318</v>
      </c>
      <c r="L432">
        <v>328208</v>
      </c>
      <c r="M432" t="s">
        <v>2328</v>
      </c>
      <c r="N432" t="s">
        <v>2670</v>
      </c>
      <c r="O432" t="s">
        <v>3053</v>
      </c>
      <c r="P432" t="s">
        <v>3066</v>
      </c>
      <c r="Q432" t="s">
        <v>3096</v>
      </c>
      <c r="R432">
        <v>129.58000000000001</v>
      </c>
      <c r="S432">
        <v>3</v>
      </c>
      <c r="T432">
        <v>0.1</v>
      </c>
      <c r="U432">
        <v>44.65</v>
      </c>
    </row>
    <row r="433" spans="1:21" x14ac:dyDescent="0.3">
      <c r="A433">
        <v>432</v>
      </c>
      <c r="B433" t="s">
        <v>452</v>
      </c>
      <c r="C433" s="2">
        <v>45950</v>
      </c>
      <c r="D433" s="2">
        <v>45952</v>
      </c>
      <c r="E433" t="s">
        <v>1524</v>
      </c>
      <c r="F433" t="s">
        <v>1791</v>
      </c>
      <c r="G433" t="s">
        <v>2128</v>
      </c>
      <c r="H433" t="s">
        <v>2316</v>
      </c>
      <c r="I433" t="s">
        <v>2317</v>
      </c>
      <c r="J433" t="s">
        <v>2325</v>
      </c>
      <c r="K433" t="s">
        <v>2325</v>
      </c>
      <c r="L433">
        <v>821927</v>
      </c>
      <c r="M433" t="s">
        <v>2332</v>
      </c>
      <c r="N433" t="s">
        <v>2671</v>
      </c>
      <c r="O433" t="s">
        <v>3054</v>
      </c>
      <c r="P433" t="s">
        <v>3058</v>
      </c>
      <c r="Q433" t="s">
        <v>3230</v>
      </c>
      <c r="R433">
        <v>216.69</v>
      </c>
      <c r="S433">
        <v>7</v>
      </c>
      <c r="T433">
        <v>0.05</v>
      </c>
      <c r="U433">
        <v>63.36</v>
      </c>
    </row>
    <row r="434" spans="1:21" x14ac:dyDescent="0.3">
      <c r="A434">
        <v>433</v>
      </c>
      <c r="B434" t="s">
        <v>453</v>
      </c>
      <c r="C434" s="2">
        <v>45948</v>
      </c>
      <c r="D434" s="2">
        <v>45950</v>
      </c>
      <c r="E434" t="s">
        <v>1521</v>
      </c>
      <c r="F434" t="s">
        <v>1649</v>
      </c>
      <c r="G434" t="s">
        <v>2022</v>
      </c>
      <c r="H434" t="s">
        <v>2316</v>
      </c>
      <c r="I434" t="s">
        <v>2317</v>
      </c>
      <c r="J434" t="s">
        <v>2321</v>
      </c>
      <c r="K434" t="s">
        <v>2321</v>
      </c>
      <c r="L434">
        <v>547095</v>
      </c>
      <c r="M434" t="s">
        <v>2329</v>
      </c>
      <c r="N434" t="s">
        <v>2672</v>
      </c>
      <c r="O434" t="s">
        <v>3053</v>
      </c>
      <c r="P434" t="s">
        <v>3066</v>
      </c>
      <c r="Q434" t="s">
        <v>3425</v>
      </c>
      <c r="R434">
        <v>169.41</v>
      </c>
      <c r="S434">
        <v>9</v>
      </c>
      <c r="T434">
        <v>0</v>
      </c>
      <c r="U434">
        <v>36.67</v>
      </c>
    </row>
    <row r="435" spans="1:21" x14ac:dyDescent="0.3">
      <c r="A435">
        <v>434</v>
      </c>
      <c r="B435" t="s">
        <v>454</v>
      </c>
      <c r="C435" s="2">
        <v>45411</v>
      </c>
      <c r="D435" s="2">
        <v>45414</v>
      </c>
      <c r="E435" t="s">
        <v>1523</v>
      </c>
      <c r="F435" t="s">
        <v>1564</v>
      </c>
      <c r="G435" t="s">
        <v>2042</v>
      </c>
      <c r="H435" t="s">
        <v>2316</v>
      </c>
      <c r="I435" t="s">
        <v>2317</v>
      </c>
      <c r="J435" t="s">
        <v>2326</v>
      </c>
      <c r="K435" t="s">
        <v>2326</v>
      </c>
      <c r="L435">
        <v>237116</v>
      </c>
      <c r="M435" t="s">
        <v>2331</v>
      </c>
      <c r="N435" t="s">
        <v>2673</v>
      </c>
      <c r="O435" t="s">
        <v>3055</v>
      </c>
      <c r="P435" t="s">
        <v>3060</v>
      </c>
      <c r="Q435" t="s">
        <v>3234</v>
      </c>
      <c r="R435">
        <v>120.95</v>
      </c>
      <c r="S435">
        <v>6</v>
      </c>
      <c r="T435">
        <v>0.05</v>
      </c>
      <c r="U435">
        <v>-9.98</v>
      </c>
    </row>
    <row r="436" spans="1:21" x14ac:dyDescent="0.3">
      <c r="A436">
        <v>435</v>
      </c>
      <c r="B436" t="s">
        <v>455</v>
      </c>
      <c r="C436" s="2">
        <v>45895</v>
      </c>
      <c r="D436" s="2">
        <v>45898</v>
      </c>
      <c r="E436" t="s">
        <v>1522</v>
      </c>
      <c r="F436" t="s">
        <v>1792</v>
      </c>
      <c r="G436" t="s">
        <v>1927</v>
      </c>
      <c r="H436" t="s">
        <v>2315</v>
      </c>
      <c r="I436" t="s">
        <v>2317</v>
      </c>
      <c r="J436" t="s">
        <v>2325</v>
      </c>
      <c r="K436" t="s">
        <v>2325</v>
      </c>
      <c r="L436">
        <v>888326</v>
      </c>
      <c r="M436" t="s">
        <v>2332</v>
      </c>
      <c r="N436" t="s">
        <v>2442</v>
      </c>
      <c r="O436" t="s">
        <v>3055</v>
      </c>
      <c r="P436" t="s">
        <v>3067</v>
      </c>
      <c r="Q436" t="s">
        <v>3426</v>
      </c>
      <c r="R436">
        <v>303.16000000000003</v>
      </c>
      <c r="S436">
        <v>6</v>
      </c>
      <c r="T436">
        <v>0.2</v>
      </c>
      <c r="U436">
        <v>-7.78</v>
      </c>
    </row>
    <row r="437" spans="1:21" x14ac:dyDescent="0.3">
      <c r="A437">
        <v>436</v>
      </c>
      <c r="B437" t="s">
        <v>456</v>
      </c>
      <c r="C437" s="2">
        <v>45349</v>
      </c>
      <c r="D437" s="2">
        <v>45353</v>
      </c>
      <c r="E437" t="s">
        <v>1524</v>
      </c>
      <c r="F437" t="s">
        <v>1761</v>
      </c>
      <c r="G437" t="s">
        <v>1960</v>
      </c>
      <c r="H437" t="s">
        <v>2316</v>
      </c>
      <c r="I437" t="s">
        <v>2317</v>
      </c>
      <c r="J437" t="s">
        <v>2324</v>
      </c>
      <c r="K437" t="s">
        <v>2324</v>
      </c>
      <c r="L437">
        <v>887001</v>
      </c>
      <c r="M437" t="s">
        <v>2330</v>
      </c>
      <c r="N437" t="s">
        <v>2674</v>
      </c>
      <c r="O437" t="s">
        <v>3055</v>
      </c>
      <c r="P437" t="s">
        <v>3061</v>
      </c>
      <c r="Q437" t="s">
        <v>3206</v>
      </c>
      <c r="R437">
        <v>209.62</v>
      </c>
      <c r="S437">
        <v>8</v>
      </c>
      <c r="T437">
        <v>0.05</v>
      </c>
      <c r="U437">
        <v>62.11</v>
      </c>
    </row>
    <row r="438" spans="1:21" x14ac:dyDescent="0.3">
      <c r="A438">
        <v>437</v>
      </c>
      <c r="B438" t="s">
        <v>457</v>
      </c>
      <c r="C438" s="2">
        <v>45637</v>
      </c>
      <c r="D438" s="2">
        <v>45640</v>
      </c>
      <c r="E438" t="s">
        <v>1524</v>
      </c>
      <c r="F438" t="s">
        <v>1560</v>
      </c>
      <c r="G438" t="s">
        <v>2012</v>
      </c>
      <c r="H438" t="s">
        <v>2315</v>
      </c>
      <c r="I438" t="s">
        <v>2317</v>
      </c>
      <c r="J438" t="s">
        <v>2322</v>
      </c>
      <c r="K438" t="s">
        <v>2322</v>
      </c>
      <c r="L438">
        <v>301466</v>
      </c>
      <c r="M438" t="s">
        <v>2331</v>
      </c>
      <c r="N438" t="s">
        <v>2675</v>
      </c>
      <c r="O438" t="s">
        <v>3054</v>
      </c>
      <c r="P438" t="s">
        <v>3064</v>
      </c>
      <c r="Q438" t="s">
        <v>3427</v>
      </c>
      <c r="R438">
        <v>48.46</v>
      </c>
      <c r="S438">
        <v>7</v>
      </c>
      <c r="T438">
        <v>0.05</v>
      </c>
      <c r="U438">
        <v>-23.19</v>
      </c>
    </row>
    <row r="439" spans="1:21" x14ac:dyDescent="0.3">
      <c r="A439">
        <v>438</v>
      </c>
      <c r="B439" t="s">
        <v>458</v>
      </c>
      <c r="C439" s="2">
        <v>45765</v>
      </c>
      <c r="D439" s="2">
        <v>45767</v>
      </c>
      <c r="E439" t="s">
        <v>1523</v>
      </c>
      <c r="F439" t="s">
        <v>1793</v>
      </c>
      <c r="G439" t="s">
        <v>1996</v>
      </c>
      <c r="H439" t="s">
        <v>2315</v>
      </c>
      <c r="I439" t="s">
        <v>2317</v>
      </c>
      <c r="J439" t="s">
        <v>2325</v>
      </c>
      <c r="K439" t="s">
        <v>2325</v>
      </c>
      <c r="L439">
        <v>924765</v>
      </c>
      <c r="M439" t="s">
        <v>2332</v>
      </c>
      <c r="N439" t="s">
        <v>2676</v>
      </c>
      <c r="O439" t="s">
        <v>3053</v>
      </c>
      <c r="P439" t="s">
        <v>3062</v>
      </c>
      <c r="Q439" t="s">
        <v>3428</v>
      </c>
      <c r="R439">
        <v>549.13</v>
      </c>
      <c r="S439">
        <v>8</v>
      </c>
      <c r="T439">
        <v>0.15</v>
      </c>
      <c r="U439">
        <v>9.4</v>
      </c>
    </row>
    <row r="440" spans="1:21" x14ac:dyDescent="0.3">
      <c r="A440">
        <v>439</v>
      </c>
      <c r="B440" t="s">
        <v>459</v>
      </c>
      <c r="C440" s="2">
        <v>45408</v>
      </c>
      <c r="D440" s="2">
        <v>45411</v>
      </c>
      <c r="E440" t="s">
        <v>1521</v>
      </c>
      <c r="F440" t="s">
        <v>1794</v>
      </c>
      <c r="G440" t="s">
        <v>2002</v>
      </c>
      <c r="H440" t="s">
        <v>2314</v>
      </c>
      <c r="I440" t="s">
        <v>2317</v>
      </c>
      <c r="J440" t="s">
        <v>2322</v>
      </c>
      <c r="K440" t="s">
        <v>2322</v>
      </c>
      <c r="L440">
        <v>406468</v>
      </c>
      <c r="M440" t="s">
        <v>2331</v>
      </c>
      <c r="N440" t="s">
        <v>2677</v>
      </c>
      <c r="O440" t="s">
        <v>3055</v>
      </c>
      <c r="P440" t="s">
        <v>3059</v>
      </c>
      <c r="Q440" t="s">
        <v>3429</v>
      </c>
      <c r="R440">
        <v>669.25</v>
      </c>
      <c r="S440">
        <v>3</v>
      </c>
      <c r="T440">
        <v>0</v>
      </c>
      <c r="U440">
        <v>136.63</v>
      </c>
    </row>
    <row r="441" spans="1:21" x14ac:dyDescent="0.3">
      <c r="A441">
        <v>440</v>
      </c>
      <c r="B441" t="s">
        <v>460</v>
      </c>
      <c r="C441" s="2">
        <v>45418</v>
      </c>
      <c r="D441" s="2">
        <v>45420</v>
      </c>
      <c r="E441" t="s">
        <v>1523</v>
      </c>
      <c r="F441" t="s">
        <v>1675</v>
      </c>
      <c r="G441" t="s">
        <v>2187</v>
      </c>
      <c r="H441" t="s">
        <v>2316</v>
      </c>
      <c r="I441" t="s">
        <v>2317</v>
      </c>
      <c r="J441" t="s">
        <v>2326</v>
      </c>
      <c r="K441" t="s">
        <v>2326</v>
      </c>
      <c r="L441">
        <v>745687</v>
      </c>
      <c r="M441" t="s">
        <v>2331</v>
      </c>
      <c r="N441" t="s">
        <v>2574</v>
      </c>
      <c r="O441" t="s">
        <v>3053</v>
      </c>
      <c r="P441" t="s">
        <v>3062</v>
      </c>
      <c r="Q441" t="s">
        <v>3430</v>
      </c>
      <c r="R441">
        <v>96.45</v>
      </c>
      <c r="S441">
        <v>3</v>
      </c>
      <c r="T441">
        <v>0.3</v>
      </c>
      <c r="U441">
        <v>39.36</v>
      </c>
    </row>
    <row r="442" spans="1:21" x14ac:dyDescent="0.3">
      <c r="A442">
        <v>441</v>
      </c>
      <c r="B442" t="s">
        <v>461</v>
      </c>
      <c r="C442" s="2">
        <v>45684</v>
      </c>
      <c r="D442" s="2">
        <v>45687</v>
      </c>
      <c r="E442" t="s">
        <v>1521</v>
      </c>
      <c r="F442" t="s">
        <v>1795</v>
      </c>
      <c r="G442" t="s">
        <v>1969</v>
      </c>
      <c r="H442" t="s">
        <v>2315</v>
      </c>
      <c r="I442" t="s">
        <v>2317</v>
      </c>
      <c r="J442" t="s">
        <v>2323</v>
      </c>
      <c r="K442" t="s">
        <v>2323</v>
      </c>
      <c r="L442">
        <v>975612</v>
      </c>
      <c r="M442" t="s">
        <v>2328</v>
      </c>
      <c r="N442" t="s">
        <v>2357</v>
      </c>
      <c r="O442" t="s">
        <v>3053</v>
      </c>
      <c r="P442" t="s">
        <v>3062</v>
      </c>
      <c r="Q442" t="s">
        <v>3431</v>
      </c>
      <c r="R442">
        <v>513.96</v>
      </c>
      <c r="S442">
        <v>3</v>
      </c>
      <c r="T442">
        <v>0.2</v>
      </c>
      <c r="U442">
        <v>-39.49</v>
      </c>
    </row>
    <row r="443" spans="1:21" x14ac:dyDescent="0.3">
      <c r="A443">
        <v>442</v>
      </c>
      <c r="B443" t="s">
        <v>462</v>
      </c>
      <c r="C443" s="2">
        <v>45932</v>
      </c>
      <c r="D443" s="2">
        <v>45933</v>
      </c>
      <c r="E443" t="s">
        <v>1524</v>
      </c>
      <c r="F443" t="s">
        <v>1558</v>
      </c>
      <c r="G443" t="s">
        <v>2128</v>
      </c>
      <c r="H443" t="s">
        <v>2315</v>
      </c>
      <c r="I443" t="s">
        <v>2317</v>
      </c>
      <c r="J443" t="s">
        <v>2325</v>
      </c>
      <c r="K443" t="s">
        <v>2325</v>
      </c>
      <c r="L443">
        <v>653098</v>
      </c>
      <c r="M443" t="s">
        <v>2332</v>
      </c>
      <c r="N443" t="s">
        <v>2503</v>
      </c>
      <c r="O443" t="s">
        <v>3055</v>
      </c>
      <c r="P443" t="s">
        <v>3059</v>
      </c>
      <c r="Q443" t="s">
        <v>3432</v>
      </c>
      <c r="R443">
        <v>162.31</v>
      </c>
      <c r="S443">
        <v>3</v>
      </c>
      <c r="T443">
        <v>0.1</v>
      </c>
      <c r="U443">
        <v>27.07</v>
      </c>
    </row>
    <row r="444" spans="1:21" x14ac:dyDescent="0.3">
      <c r="A444">
        <v>443</v>
      </c>
      <c r="B444" t="s">
        <v>463</v>
      </c>
      <c r="C444" s="2">
        <v>45349</v>
      </c>
      <c r="D444" s="2">
        <v>45352</v>
      </c>
      <c r="E444" t="s">
        <v>1521</v>
      </c>
      <c r="F444" t="s">
        <v>1637</v>
      </c>
      <c r="G444" t="s">
        <v>2188</v>
      </c>
      <c r="H444" t="s">
        <v>2316</v>
      </c>
      <c r="I444" t="s">
        <v>2317</v>
      </c>
      <c r="J444" t="s">
        <v>2321</v>
      </c>
      <c r="K444" t="s">
        <v>2321</v>
      </c>
      <c r="L444">
        <v>912902</v>
      </c>
      <c r="M444" t="s">
        <v>2329</v>
      </c>
      <c r="N444" t="s">
        <v>2678</v>
      </c>
      <c r="O444" t="s">
        <v>3053</v>
      </c>
      <c r="P444" t="s">
        <v>3065</v>
      </c>
      <c r="Q444" t="s">
        <v>3433</v>
      </c>
      <c r="R444">
        <v>320.52</v>
      </c>
      <c r="S444">
        <v>5</v>
      </c>
      <c r="T444">
        <v>0.15</v>
      </c>
      <c r="U444">
        <v>20.32</v>
      </c>
    </row>
    <row r="445" spans="1:21" x14ac:dyDescent="0.3">
      <c r="A445">
        <v>444</v>
      </c>
      <c r="B445" t="s">
        <v>464</v>
      </c>
      <c r="C445" s="2">
        <v>45925</v>
      </c>
      <c r="D445" s="2">
        <v>45928</v>
      </c>
      <c r="E445" t="s">
        <v>1524</v>
      </c>
      <c r="F445" t="s">
        <v>1735</v>
      </c>
      <c r="G445" t="s">
        <v>2065</v>
      </c>
      <c r="H445" t="s">
        <v>2314</v>
      </c>
      <c r="I445" t="s">
        <v>2317</v>
      </c>
      <c r="J445" t="s">
        <v>2326</v>
      </c>
      <c r="K445" t="s">
        <v>2326</v>
      </c>
      <c r="L445">
        <v>816369</v>
      </c>
      <c r="M445" t="s">
        <v>2331</v>
      </c>
      <c r="N445" t="s">
        <v>2392</v>
      </c>
      <c r="O445" t="s">
        <v>3053</v>
      </c>
      <c r="P445" t="s">
        <v>3056</v>
      </c>
      <c r="Q445" t="s">
        <v>3434</v>
      </c>
      <c r="R445">
        <v>156</v>
      </c>
      <c r="S445">
        <v>6</v>
      </c>
      <c r="T445">
        <v>0.1</v>
      </c>
      <c r="U445">
        <v>-3.72</v>
      </c>
    </row>
    <row r="446" spans="1:21" x14ac:dyDescent="0.3">
      <c r="A446">
        <v>445</v>
      </c>
      <c r="B446" t="s">
        <v>465</v>
      </c>
      <c r="C446" s="2">
        <v>45804</v>
      </c>
      <c r="D446" s="2">
        <v>45805</v>
      </c>
      <c r="E446" t="s">
        <v>1523</v>
      </c>
      <c r="F446" t="s">
        <v>1658</v>
      </c>
      <c r="G446" t="s">
        <v>1931</v>
      </c>
      <c r="H446" t="s">
        <v>2316</v>
      </c>
      <c r="I446" t="s">
        <v>2317</v>
      </c>
      <c r="J446" t="s">
        <v>2320</v>
      </c>
      <c r="K446" t="s">
        <v>2320</v>
      </c>
      <c r="L446">
        <v>390157</v>
      </c>
      <c r="M446" t="s">
        <v>2330</v>
      </c>
      <c r="N446" t="s">
        <v>2679</v>
      </c>
      <c r="O446" t="s">
        <v>3053</v>
      </c>
      <c r="P446" t="s">
        <v>3056</v>
      </c>
      <c r="Q446" t="s">
        <v>3435</v>
      </c>
      <c r="R446">
        <v>139.37</v>
      </c>
      <c r="S446">
        <v>2</v>
      </c>
      <c r="T446">
        <v>0.05</v>
      </c>
      <c r="U446">
        <v>6.56</v>
      </c>
    </row>
    <row r="447" spans="1:21" x14ac:dyDescent="0.3">
      <c r="A447">
        <v>446</v>
      </c>
      <c r="B447" t="s">
        <v>466</v>
      </c>
      <c r="C447" s="2">
        <v>45387</v>
      </c>
      <c r="D447" s="2">
        <v>45391</v>
      </c>
      <c r="E447" t="s">
        <v>1522</v>
      </c>
      <c r="F447" t="s">
        <v>1716</v>
      </c>
      <c r="G447" t="s">
        <v>2189</v>
      </c>
      <c r="H447" t="s">
        <v>2316</v>
      </c>
      <c r="I447" t="s">
        <v>2317</v>
      </c>
      <c r="J447" t="s">
        <v>2319</v>
      </c>
      <c r="K447" t="s">
        <v>2319</v>
      </c>
      <c r="L447">
        <v>333982</v>
      </c>
      <c r="M447" t="s">
        <v>2329</v>
      </c>
      <c r="N447" t="s">
        <v>2680</v>
      </c>
      <c r="O447" t="s">
        <v>3054</v>
      </c>
      <c r="P447" t="s">
        <v>3057</v>
      </c>
      <c r="Q447" t="s">
        <v>3436</v>
      </c>
      <c r="R447">
        <v>235.73</v>
      </c>
      <c r="S447">
        <v>8</v>
      </c>
      <c r="T447">
        <v>0.15</v>
      </c>
      <c r="U447">
        <v>16.96</v>
      </c>
    </row>
    <row r="448" spans="1:21" x14ac:dyDescent="0.3">
      <c r="A448">
        <v>447</v>
      </c>
      <c r="B448" t="s">
        <v>467</v>
      </c>
      <c r="C448" s="2">
        <v>45929</v>
      </c>
      <c r="D448" s="2">
        <v>45932</v>
      </c>
      <c r="E448" t="s">
        <v>1524</v>
      </c>
      <c r="F448" t="s">
        <v>1561</v>
      </c>
      <c r="G448" t="s">
        <v>2190</v>
      </c>
      <c r="H448" t="s">
        <v>2316</v>
      </c>
      <c r="I448" t="s">
        <v>2317</v>
      </c>
      <c r="J448" t="s">
        <v>2325</v>
      </c>
      <c r="K448" t="s">
        <v>2325</v>
      </c>
      <c r="L448">
        <v>837696</v>
      </c>
      <c r="M448" t="s">
        <v>2332</v>
      </c>
      <c r="N448" t="s">
        <v>2499</v>
      </c>
      <c r="O448" t="s">
        <v>3055</v>
      </c>
      <c r="P448" t="s">
        <v>3067</v>
      </c>
      <c r="Q448" t="s">
        <v>3437</v>
      </c>
      <c r="R448">
        <v>913.02</v>
      </c>
      <c r="S448">
        <v>1</v>
      </c>
      <c r="T448">
        <v>0.2</v>
      </c>
      <c r="U448">
        <v>40.82</v>
      </c>
    </row>
    <row r="449" spans="1:21" x14ac:dyDescent="0.3">
      <c r="A449">
        <v>448</v>
      </c>
      <c r="B449" t="s">
        <v>468</v>
      </c>
      <c r="C449" s="2">
        <v>45409</v>
      </c>
      <c r="D449" s="2">
        <v>45410</v>
      </c>
      <c r="E449" t="s">
        <v>1522</v>
      </c>
      <c r="F449" t="s">
        <v>1796</v>
      </c>
      <c r="G449" t="s">
        <v>1990</v>
      </c>
      <c r="H449" t="s">
        <v>2316</v>
      </c>
      <c r="I449" t="s">
        <v>2317</v>
      </c>
      <c r="J449" t="s">
        <v>2321</v>
      </c>
      <c r="K449" t="s">
        <v>2321</v>
      </c>
      <c r="L449">
        <v>307627</v>
      </c>
      <c r="M449" t="s">
        <v>2329</v>
      </c>
      <c r="N449" t="s">
        <v>2366</v>
      </c>
      <c r="O449" t="s">
        <v>3054</v>
      </c>
      <c r="P449" t="s">
        <v>3064</v>
      </c>
      <c r="Q449" t="s">
        <v>3139</v>
      </c>
      <c r="R449">
        <v>322.14</v>
      </c>
      <c r="S449">
        <v>8</v>
      </c>
      <c r="T449">
        <v>0.2</v>
      </c>
      <c r="U449">
        <v>10.81</v>
      </c>
    </row>
    <row r="450" spans="1:21" x14ac:dyDescent="0.3">
      <c r="A450">
        <v>449</v>
      </c>
      <c r="B450" t="s">
        <v>469</v>
      </c>
      <c r="C450" s="2">
        <v>45851</v>
      </c>
      <c r="D450" s="2">
        <v>45855</v>
      </c>
      <c r="E450" t="s">
        <v>1522</v>
      </c>
      <c r="F450" t="s">
        <v>1781</v>
      </c>
      <c r="G450" t="s">
        <v>1993</v>
      </c>
      <c r="H450" t="s">
        <v>2315</v>
      </c>
      <c r="I450" t="s">
        <v>2317</v>
      </c>
      <c r="J450" t="s">
        <v>2324</v>
      </c>
      <c r="K450" t="s">
        <v>2324</v>
      </c>
      <c r="L450">
        <v>948292</v>
      </c>
      <c r="M450" t="s">
        <v>2330</v>
      </c>
      <c r="N450" t="s">
        <v>2681</v>
      </c>
      <c r="O450" t="s">
        <v>3053</v>
      </c>
      <c r="P450" t="s">
        <v>3062</v>
      </c>
      <c r="Q450" t="s">
        <v>3438</v>
      </c>
      <c r="R450">
        <v>144.01</v>
      </c>
      <c r="S450">
        <v>9</v>
      </c>
      <c r="T450">
        <v>0.05</v>
      </c>
      <c r="U450">
        <v>13</v>
      </c>
    </row>
    <row r="451" spans="1:21" x14ac:dyDescent="0.3">
      <c r="A451">
        <v>450</v>
      </c>
      <c r="B451" t="s">
        <v>470</v>
      </c>
      <c r="C451" s="2">
        <v>45892</v>
      </c>
      <c r="D451" s="2">
        <v>45896</v>
      </c>
      <c r="E451" t="s">
        <v>1522</v>
      </c>
      <c r="F451" t="s">
        <v>1773</v>
      </c>
      <c r="G451" t="s">
        <v>2191</v>
      </c>
      <c r="H451" t="s">
        <v>2315</v>
      </c>
      <c r="I451" t="s">
        <v>2317</v>
      </c>
      <c r="J451" t="s">
        <v>2320</v>
      </c>
      <c r="K451" t="s">
        <v>2320</v>
      </c>
      <c r="L451">
        <v>931645</v>
      </c>
      <c r="M451" t="s">
        <v>2330</v>
      </c>
      <c r="N451" t="s">
        <v>2463</v>
      </c>
      <c r="O451" t="s">
        <v>3053</v>
      </c>
      <c r="P451" t="s">
        <v>3056</v>
      </c>
      <c r="Q451" t="s">
        <v>3209</v>
      </c>
      <c r="R451">
        <v>138.72999999999999</v>
      </c>
      <c r="S451">
        <v>6</v>
      </c>
      <c r="T451">
        <v>0.15</v>
      </c>
      <c r="U451">
        <v>1.74</v>
      </c>
    </row>
    <row r="452" spans="1:21" x14ac:dyDescent="0.3">
      <c r="A452">
        <v>451</v>
      </c>
      <c r="B452" t="s">
        <v>471</v>
      </c>
      <c r="C452" s="2">
        <v>45779</v>
      </c>
      <c r="D452" s="2">
        <v>45781</v>
      </c>
      <c r="E452" t="s">
        <v>1524</v>
      </c>
      <c r="F452" t="s">
        <v>1735</v>
      </c>
      <c r="G452" t="s">
        <v>2028</v>
      </c>
      <c r="H452" t="s">
        <v>2316</v>
      </c>
      <c r="I452" t="s">
        <v>2317</v>
      </c>
      <c r="J452" t="s">
        <v>2324</v>
      </c>
      <c r="K452" t="s">
        <v>2324</v>
      </c>
      <c r="L452">
        <v>645501</v>
      </c>
      <c r="M452" t="s">
        <v>2330</v>
      </c>
      <c r="N452" t="s">
        <v>2682</v>
      </c>
      <c r="O452" t="s">
        <v>3054</v>
      </c>
      <c r="P452" t="s">
        <v>3058</v>
      </c>
      <c r="Q452" t="s">
        <v>3439</v>
      </c>
      <c r="R452">
        <v>25.39</v>
      </c>
      <c r="S452">
        <v>8</v>
      </c>
      <c r="T452">
        <v>0.15</v>
      </c>
      <c r="U452">
        <v>46</v>
      </c>
    </row>
    <row r="453" spans="1:21" x14ac:dyDescent="0.3">
      <c r="A453">
        <v>452</v>
      </c>
      <c r="B453" t="s">
        <v>472</v>
      </c>
      <c r="C453" s="2">
        <v>45528</v>
      </c>
      <c r="D453" s="2">
        <v>45534</v>
      </c>
      <c r="E453" t="s">
        <v>1524</v>
      </c>
      <c r="F453" t="s">
        <v>1721</v>
      </c>
      <c r="G453" t="s">
        <v>2105</v>
      </c>
      <c r="H453" t="s">
        <v>2316</v>
      </c>
      <c r="I453" t="s">
        <v>2317</v>
      </c>
      <c r="J453" t="s">
        <v>2326</v>
      </c>
      <c r="K453" t="s">
        <v>2326</v>
      </c>
      <c r="L453">
        <v>455439</v>
      </c>
      <c r="M453" t="s">
        <v>2331</v>
      </c>
      <c r="N453" t="s">
        <v>2387</v>
      </c>
      <c r="O453" t="s">
        <v>3053</v>
      </c>
      <c r="P453" t="s">
        <v>3066</v>
      </c>
      <c r="Q453" t="s">
        <v>3440</v>
      </c>
      <c r="R453">
        <v>324.3</v>
      </c>
      <c r="S453">
        <v>9</v>
      </c>
      <c r="T453">
        <v>0.2</v>
      </c>
      <c r="U453">
        <v>-0.97</v>
      </c>
    </row>
    <row r="454" spans="1:21" x14ac:dyDescent="0.3">
      <c r="A454">
        <v>453</v>
      </c>
      <c r="B454" t="s">
        <v>473</v>
      </c>
      <c r="C454" s="2">
        <v>45563</v>
      </c>
      <c r="D454" s="2">
        <v>45566</v>
      </c>
      <c r="E454" t="s">
        <v>1521</v>
      </c>
      <c r="F454" t="s">
        <v>1747</v>
      </c>
      <c r="G454" t="s">
        <v>1987</v>
      </c>
      <c r="H454" t="s">
        <v>2316</v>
      </c>
      <c r="I454" t="s">
        <v>2317</v>
      </c>
      <c r="J454" t="s">
        <v>2319</v>
      </c>
      <c r="K454" t="s">
        <v>2319</v>
      </c>
      <c r="L454">
        <v>332409</v>
      </c>
      <c r="M454" t="s">
        <v>2329</v>
      </c>
      <c r="N454" t="s">
        <v>2683</v>
      </c>
      <c r="O454" t="s">
        <v>3054</v>
      </c>
      <c r="P454" t="s">
        <v>3064</v>
      </c>
      <c r="Q454" t="s">
        <v>3373</v>
      </c>
      <c r="R454">
        <v>166.36</v>
      </c>
      <c r="S454">
        <v>8</v>
      </c>
      <c r="T454">
        <v>0.4</v>
      </c>
      <c r="U454">
        <v>-10.59</v>
      </c>
    </row>
    <row r="455" spans="1:21" x14ac:dyDescent="0.3">
      <c r="A455">
        <v>454</v>
      </c>
      <c r="B455" t="s">
        <v>474</v>
      </c>
      <c r="C455" s="2">
        <v>45480</v>
      </c>
      <c r="D455" s="2">
        <v>45486</v>
      </c>
      <c r="E455" t="s">
        <v>1524</v>
      </c>
      <c r="F455" t="s">
        <v>1678</v>
      </c>
      <c r="G455" t="s">
        <v>1971</v>
      </c>
      <c r="H455" t="s">
        <v>2314</v>
      </c>
      <c r="I455" t="s">
        <v>2317</v>
      </c>
      <c r="J455" t="s">
        <v>2325</v>
      </c>
      <c r="K455" t="s">
        <v>2325</v>
      </c>
      <c r="L455">
        <v>807161</v>
      </c>
      <c r="M455" t="s">
        <v>2332</v>
      </c>
      <c r="N455" t="s">
        <v>2684</v>
      </c>
      <c r="O455" t="s">
        <v>3054</v>
      </c>
      <c r="P455" t="s">
        <v>3063</v>
      </c>
      <c r="Q455" t="s">
        <v>3323</v>
      </c>
      <c r="R455">
        <v>17.05</v>
      </c>
      <c r="S455">
        <v>6</v>
      </c>
      <c r="T455">
        <v>0.15</v>
      </c>
      <c r="U455">
        <v>6.48</v>
      </c>
    </row>
    <row r="456" spans="1:21" x14ac:dyDescent="0.3">
      <c r="A456">
        <v>455</v>
      </c>
      <c r="B456" t="s">
        <v>475</v>
      </c>
      <c r="C456" s="2">
        <v>45995</v>
      </c>
      <c r="D456" s="2">
        <v>45997</v>
      </c>
      <c r="E456" t="s">
        <v>1524</v>
      </c>
      <c r="F456" t="s">
        <v>1720</v>
      </c>
      <c r="G456" t="s">
        <v>2127</v>
      </c>
      <c r="H456" t="s">
        <v>2314</v>
      </c>
      <c r="I456" t="s">
        <v>2317</v>
      </c>
      <c r="J456" t="s">
        <v>2325</v>
      </c>
      <c r="K456" t="s">
        <v>2325</v>
      </c>
      <c r="L456">
        <v>179876</v>
      </c>
      <c r="M456" t="s">
        <v>2332</v>
      </c>
      <c r="N456" t="s">
        <v>2685</v>
      </c>
      <c r="O456" t="s">
        <v>3053</v>
      </c>
      <c r="P456" t="s">
        <v>3066</v>
      </c>
      <c r="Q456" t="s">
        <v>3441</v>
      </c>
      <c r="R456">
        <v>255.95</v>
      </c>
      <c r="S456">
        <v>9</v>
      </c>
      <c r="T456">
        <v>0.1</v>
      </c>
      <c r="U456">
        <v>-14.3</v>
      </c>
    </row>
    <row r="457" spans="1:21" x14ac:dyDescent="0.3">
      <c r="A457">
        <v>456</v>
      </c>
      <c r="B457" t="s">
        <v>476</v>
      </c>
      <c r="C457" s="2">
        <v>45738</v>
      </c>
      <c r="D457" s="2">
        <v>45741</v>
      </c>
      <c r="E457" t="s">
        <v>1524</v>
      </c>
      <c r="F457" t="s">
        <v>1797</v>
      </c>
      <c r="G457" t="s">
        <v>1930</v>
      </c>
      <c r="H457" t="s">
        <v>2314</v>
      </c>
      <c r="I457" t="s">
        <v>2317</v>
      </c>
      <c r="J457" t="s">
        <v>2323</v>
      </c>
      <c r="K457" t="s">
        <v>2323</v>
      </c>
      <c r="L457">
        <v>267229</v>
      </c>
      <c r="M457" t="s">
        <v>2328</v>
      </c>
      <c r="N457" t="s">
        <v>2607</v>
      </c>
      <c r="O457" t="s">
        <v>3054</v>
      </c>
      <c r="P457" t="s">
        <v>3063</v>
      </c>
      <c r="Q457" t="s">
        <v>3246</v>
      </c>
      <c r="R457">
        <v>13.79</v>
      </c>
      <c r="S457">
        <v>1</v>
      </c>
      <c r="T457">
        <v>0.05</v>
      </c>
      <c r="U457">
        <v>-0.26</v>
      </c>
    </row>
    <row r="458" spans="1:21" x14ac:dyDescent="0.3">
      <c r="A458">
        <v>457</v>
      </c>
      <c r="B458" t="s">
        <v>477</v>
      </c>
      <c r="C458" s="2">
        <v>45872</v>
      </c>
      <c r="D458" s="2">
        <v>45878</v>
      </c>
      <c r="E458" t="s">
        <v>1523</v>
      </c>
      <c r="F458" t="s">
        <v>1708</v>
      </c>
      <c r="G458" t="s">
        <v>1993</v>
      </c>
      <c r="H458" t="s">
        <v>2315</v>
      </c>
      <c r="I458" t="s">
        <v>2317</v>
      </c>
      <c r="J458" t="s">
        <v>2323</v>
      </c>
      <c r="K458" t="s">
        <v>2323</v>
      </c>
      <c r="L458">
        <v>859942</v>
      </c>
      <c r="M458" t="s">
        <v>2328</v>
      </c>
      <c r="N458" t="s">
        <v>2686</v>
      </c>
      <c r="O458" t="s">
        <v>3054</v>
      </c>
      <c r="P458" t="s">
        <v>3057</v>
      </c>
      <c r="Q458" t="s">
        <v>3186</v>
      </c>
      <c r="R458">
        <v>115.32</v>
      </c>
      <c r="S458">
        <v>9</v>
      </c>
      <c r="T458">
        <v>0.1</v>
      </c>
      <c r="U458">
        <v>-24.07</v>
      </c>
    </row>
    <row r="459" spans="1:21" x14ac:dyDescent="0.3">
      <c r="A459">
        <v>458</v>
      </c>
      <c r="B459" t="s">
        <v>478</v>
      </c>
      <c r="C459" s="2">
        <v>45538</v>
      </c>
      <c r="D459" s="2">
        <v>45541</v>
      </c>
      <c r="E459" t="s">
        <v>1524</v>
      </c>
      <c r="F459" t="s">
        <v>1636</v>
      </c>
      <c r="G459" t="s">
        <v>2003</v>
      </c>
      <c r="H459" t="s">
        <v>2316</v>
      </c>
      <c r="I459" t="s">
        <v>2317</v>
      </c>
      <c r="J459" t="s">
        <v>2326</v>
      </c>
      <c r="K459" t="s">
        <v>2326</v>
      </c>
      <c r="L459">
        <v>218998</v>
      </c>
      <c r="M459" t="s">
        <v>2331</v>
      </c>
      <c r="N459" t="s">
        <v>2687</v>
      </c>
      <c r="O459" t="s">
        <v>3055</v>
      </c>
      <c r="P459" t="s">
        <v>3060</v>
      </c>
      <c r="Q459" t="s">
        <v>3386</v>
      </c>
      <c r="R459">
        <v>534.61</v>
      </c>
      <c r="S459">
        <v>3</v>
      </c>
      <c r="T459">
        <v>0.05</v>
      </c>
      <c r="U459">
        <v>68.7</v>
      </c>
    </row>
    <row r="460" spans="1:21" x14ac:dyDescent="0.3">
      <c r="A460">
        <v>459</v>
      </c>
      <c r="B460" t="s">
        <v>479</v>
      </c>
      <c r="C460" s="2">
        <v>45367</v>
      </c>
      <c r="D460" s="2">
        <v>45369</v>
      </c>
      <c r="E460" t="s">
        <v>1524</v>
      </c>
      <c r="F460" t="s">
        <v>1798</v>
      </c>
      <c r="G460" t="s">
        <v>2192</v>
      </c>
      <c r="H460" t="s">
        <v>2314</v>
      </c>
      <c r="I460" t="s">
        <v>2317</v>
      </c>
      <c r="J460" t="s">
        <v>2326</v>
      </c>
      <c r="K460" t="s">
        <v>2326</v>
      </c>
      <c r="L460">
        <v>650277</v>
      </c>
      <c r="M460" t="s">
        <v>2331</v>
      </c>
      <c r="N460" t="s">
        <v>2534</v>
      </c>
      <c r="O460" t="s">
        <v>3055</v>
      </c>
      <c r="P460" t="s">
        <v>3067</v>
      </c>
      <c r="Q460" t="s">
        <v>3442</v>
      </c>
      <c r="R460">
        <v>1444.5</v>
      </c>
      <c r="S460">
        <v>1</v>
      </c>
      <c r="T460">
        <v>0.4</v>
      </c>
      <c r="U460">
        <v>-73.819999999999993</v>
      </c>
    </row>
    <row r="461" spans="1:21" x14ac:dyDescent="0.3">
      <c r="A461">
        <v>460</v>
      </c>
      <c r="B461" t="s">
        <v>480</v>
      </c>
      <c r="C461" s="2">
        <v>45445</v>
      </c>
      <c r="D461" s="2">
        <v>45448</v>
      </c>
      <c r="E461" t="s">
        <v>1521</v>
      </c>
      <c r="F461" t="s">
        <v>1728</v>
      </c>
      <c r="G461" t="s">
        <v>1969</v>
      </c>
      <c r="H461" t="s">
        <v>2315</v>
      </c>
      <c r="I461" t="s">
        <v>2317</v>
      </c>
      <c r="J461" t="s">
        <v>2319</v>
      </c>
      <c r="K461" t="s">
        <v>2319</v>
      </c>
      <c r="L461">
        <v>160204</v>
      </c>
      <c r="M461" t="s">
        <v>2329</v>
      </c>
      <c r="N461" t="s">
        <v>2688</v>
      </c>
      <c r="O461" t="s">
        <v>3055</v>
      </c>
      <c r="P461" t="s">
        <v>3067</v>
      </c>
      <c r="Q461" t="s">
        <v>3443</v>
      </c>
      <c r="R461">
        <v>414.66</v>
      </c>
      <c r="S461">
        <v>2</v>
      </c>
      <c r="T461">
        <v>0.2</v>
      </c>
      <c r="U461">
        <v>32.75</v>
      </c>
    </row>
    <row r="462" spans="1:21" x14ac:dyDescent="0.3">
      <c r="A462">
        <v>461</v>
      </c>
      <c r="B462" t="s">
        <v>481</v>
      </c>
      <c r="C462" s="2">
        <v>45947</v>
      </c>
      <c r="D462" s="2">
        <v>45950</v>
      </c>
      <c r="E462" t="s">
        <v>1521</v>
      </c>
      <c r="F462" t="s">
        <v>1799</v>
      </c>
      <c r="G462" t="s">
        <v>2193</v>
      </c>
      <c r="H462" t="s">
        <v>2316</v>
      </c>
      <c r="I462" t="s">
        <v>2317</v>
      </c>
      <c r="J462" t="s">
        <v>2323</v>
      </c>
      <c r="K462" t="s">
        <v>2323</v>
      </c>
      <c r="L462">
        <v>221831</v>
      </c>
      <c r="M462" t="s">
        <v>2328</v>
      </c>
      <c r="N462" t="s">
        <v>2689</v>
      </c>
      <c r="O462" t="s">
        <v>3054</v>
      </c>
      <c r="P462" t="s">
        <v>3063</v>
      </c>
      <c r="Q462" t="s">
        <v>3444</v>
      </c>
      <c r="R462">
        <v>147</v>
      </c>
      <c r="S462">
        <v>4</v>
      </c>
      <c r="T462">
        <v>0</v>
      </c>
      <c r="U462">
        <v>45.88</v>
      </c>
    </row>
    <row r="463" spans="1:21" x14ac:dyDescent="0.3">
      <c r="A463">
        <v>462</v>
      </c>
      <c r="B463" t="s">
        <v>482</v>
      </c>
      <c r="C463" s="2">
        <v>45726</v>
      </c>
      <c r="D463" s="2">
        <v>45729</v>
      </c>
      <c r="E463" t="s">
        <v>1524</v>
      </c>
      <c r="F463" t="s">
        <v>1800</v>
      </c>
      <c r="G463" t="s">
        <v>2049</v>
      </c>
      <c r="H463" t="s">
        <v>2316</v>
      </c>
      <c r="I463" t="s">
        <v>2317</v>
      </c>
      <c r="J463" t="s">
        <v>2321</v>
      </c>
      <c r="K463" t="s">
        <v>2321</v>
      </c>
      <c r="L463">
        <v>871706</v>
      </c>
      <c r="M463" t="s">
        <v>2329</v>
      </c>
      <c r="N463" t="s">
        <v>2690</v>
      </c>
      <c r="O463" t="s">
        <v>3054</v>
      </c>
      <c r="P463" t="s">
        <v>3064</v>
      </c>
      <c r="Q463" t="s">
        <v>3445</v>
      </c>
      <c r="R463">
        <v>35.49</v>
      </c>
      <c r="S463">
        <v>1</v>
      </c>
      <c r="T463">
        <v>0.1</v>
      </c>
      <c r="U463">
        <v>9.7100000000000009</v>
      </c>
    </row>
    <row r="464" spans="1:21" x14ac:dyDescent="0.3">
      <c r="A464">
        <v>463</v>
      </c>
      <c r="B464" t="s">
        <v>483</v>
      </c>
      <c r="C464" s="2">
        <v>45377</v>
      </c>
      <c r="D464" s="2">
        <v>45379</v>
      </c>
      <c r="E464" t="s">
        <v>1521</v>
      </c>
      <c r="F464" t="s">
        <v>1633</v>
      </c>
      <c r="G464" t="s">
        <v>2010</v>
      </c>
      <c r="H464" t="s">
        <v>2315</v>
      </c>
      <c r="I464" t="s">
        <v>2317</v>
      </c>
      <c r="J464" t="s">
        <v>2321</v>
      </c>
      <c r="K464" t="s">
        <v>2321</v>
      </c>
      <c r="L464">
        <v>340678</v>
      </c>
      <c r="M464" t="s">
        <v>2329</v>
      </c>
      <c r="N464" t="s">
        <v>2636</v>
      </c>
      <c r="O464" t="s">
        <v>3054</v>
      </c>
      <c r="P464" t="s">
        <v>3057</v>
      </c>
      <c r="Q464" t="s">
        <v>3446</v>
      </c>
      <c r="R464">
        <v>132.36000000000001</v>
      </c>
      <c r="S464">
        <v>1</v>
      </c>
      <c r="T464">
        <v>0.1</v>
      </c>
      <c r="U464">
        <v>21.02</v>
      </c>
    </row>
    <row r="465" spans="1:21" x14ac:dyDescent="0.3">
      <c r="A465">
        <v>464</v>
      </c>
      <c r="B465" t="s">
        <v>484</v>
      </c>
      <c r="C465" s="2">
        <v>45988</v>
      </c>
      <c r="D465" s="2">
        <v>45990</v>
      </c>
      <c r="E465" t="s">
        <v>1523</v>
      </c>
      <c r="F465" t="s">
        <v>1801</v>
      </c>
      <c r="G465" t="s">
        <v>2159</v>
      </c>
      <c r="H465" t="s">
        <v>2316</v>
      </c>
      <c r="I465" t="s">
        <v>2317</v>
      </c>
      <c r="J465" t="s">
        <v>2319</v>
      </c>
      <c r="K465" t="s">
        <v>2319</v>
      </c>
      <c r="L465">
        <v>686373</v>
      </c>
      <c r="M465" t="s">
        <v>2329</v>
      </c>
      <c r="N465" t="s">
        <v>2507</v>
      </c>
      <c r="O465" t="s">
        <v>3054</v>
      </c>
      <c r="P465" t="s">
        <v>3057</v>
      </c>
      <c r="Q465" t="s">
        <v>3109</v>
      </c>
      <c r="R465">
        <v>26.1</v>
      </c>
      <c r="S465">
        <v>9</v>
      </c>
      <c r="T465">
        <v>0.1</v>
      </c>
      <c r="U465">
        <v>0.24</v>
      </c>
    </row>
    <row r="466" spans="1:21" x14ac:dyDescent="0.3">
      <c r="A466">
        <v>465</v>
      </c>
      <c r="B466" t="s">
        <v>485</v>
      </c>
      <c r="C466" s="2">
        <v>45576</v>
      </c>
      <c r="D466" s="2">
        <v>45579</v>
      </c>
      <c r="E466" t="s">
        <v>1524</v>
      </c>
      <c r="F466" t="s">
        <v>1802</v>
      </c>
      <c r="G466" t="s">
        <v>2134</v>
      </c>
      <c r="H466" t="s">
        <v>2314</v>
      </c>
      <c r="I466" t="s">
        <v>2317</v>
      </c>
      <c r="J466" t="s">
        <v>2321</v>
      </c>
      <c r="K466" t="s">
        <v>2321</v>
      </c>
      <c r="L466">
        <v>799312</v>
      </c>
      <c r="M466" t="s">
        <v>2329</v>
      </c>
      <c r="N466" t="s">
        <v>2691</v>
      </c>
      <c r="O466" t="s">
        <v>3053</v>
      </c>
      <c r="P466" t="s">
        <v>3056</v>
      </c>
      <c r="Q466" t="s">
        <v>3181</v>
      </c>
      <c r="R466">
        <v>569.12</v>
      </c>
      <c r="S466">
        <v>8</v>
      </c>
      <c r="T466">
        <v>0.2</v>
      </c>
      <c r="U466">
        <v>-7.26</v>
      </c>
    </row>
    <row r="467" spans="1:21" x14ac:dyDescent="0.3">
      <c r="A467">
        <v>466</v>
      </c>
      <c r="B467" t="s">
        <v>486</v>
      </c>
      <c r="C467" s="2">
        <v>45511</v>
      </c>
      <c r="D467" s="2">
        <v>45516</v>
      </c>
      <c r="E467" t="s">
        <v>1521</v>
      </c>
      <c r="F467" t="s">
        <v>1619</v>
      </c>
      <c r="G467" t="s">
        <v>2149</v>
      </c>
      <c r="H467" t="s">
        <v>2316</v>
      </c>
      <c r="I467" t="s">
        <v>2317</v>
      </c>
      <c r="J467" t="s">
        <v>2318</v>
      </c>
      <c r="K467" t="s">
        <v>2318</v>
      </c>
      <c r="L467">
        <v>680069</v>
      </c>
      <c r="M467" t="s">
        <v>2328</v>
      </c>
      <c r="N467" t="s">
        <v>2692</v>
      </c>
      <c r="O467" t="s">
        <v>3055</v>
      </c>
      <c r="P467" t="s">
        <v>3060</v>
      </c>
      <c r="Q467" t="s">
        <v>3234</v>
      </c>
      <c r="R467">
        <v>286.32</v>
      </c>
      <c r="S467">
        <v>9</v>
      </c>
      <c r="T467">
        <v>0.1</v>
      </c>
      <c r="U467">
        <v>21.76</v>
      </c>
    </row>
    <row r="468" spans="1:21" x14ac:dyDescent="0.3">
      <c r="A468">
        <v>467</v>
      </c>
      <c r="B468" t="s">
        <v>487</v>
      </c>
      <c r="C468" s="2">
        <v>45360</v>
      </c>
      <c r="D468" s="2">
        <v>45363</v>
      </c>
      <c r="E468" t="s">
        <v>1523</v>
      </c>
      <c r="F468" t="s">
        <v>1803</v>
      </c>
      <c r="G468" t="s">
        <v>1922</v>
      </c>
      <c r="H468" t="s">
        <v>2314</v>
      </c>
      <c r="I468" t="s">
        <v>2317</v>
      </c>
      <c r="J468" t="s">
        <v>2322</v>
      </c>
      <c r="K468" t="s">
        <v>2322</v>
      </c>
      <c r="L468">
        <v>759292</v>
      </c>
      <c r="M468" t="s">
        <v>2331</v>
      </c>
      <c r="N468" t="s">
        <v>2693</v>
      </c>
      <c r="O468" t="s">
        <v>3054</v>
      </c>
      <c r="P468" t="s">
        <v>3058</v>
      </c>
      <c r="Q468" t="s">
        <v>3200</v>
      </c>
      <c r="R468">
        <v>99.36</v>
      </c>
      <c r="S468">
        <v>8</v>
      </c>
      <c r="T468">
        <v>0.2</v>
      </c>
      <c r="U468">
        <v>-55.37</v>
      </c>
    </row>
    <row r="469" spans="1:21" x14ac:dyDescent="0.3">
      <c r="A469">
        <v>468</v>
      </c>
      <c r="B469" t="s">
        <v>488</v>
      </c>
      <c r="C469" s="2">
        <v>45338</v>
      </c>
      <c r="D469" s="2">
        <v>45343</v>
      </c>
      <c r="E469" t="s">
        <v>1522</v>
      </c>
      <c r="F469" t="s">
        <v>1776</v>
      </c>
      <c r="G469" t="s">
        <v>2176</v>
      </c>
      <c r="H469" t="s">
        <v>2314</v>
      </c>
      <c r="I469" t="s">
        <v>2317</v>
      </c>
      <c r="J469" t="s">
        <v>2319</v>
      </c>
      <c r="K469" t="s">
        <v>2319</v>
      </c>
      <c r="L469">
        <v>172746</v>
      </c>
      <c r="M469" t="s">
        <v>2329</v>
      </c>
      <c r="N469" t="s">
        <v>2694</v>
      </c>
      <c r="O469" t="s">
        <v>3053</v>
      </c>
      <c r="P469" t="s">
        <v>3065</v>
      </c>
      <c r="Q469" t="s">
        <v>3447</v>
      </c>
      <c r="R469">
        <v>328.11</v>
      </c>
      <c r="S469">
        <v>4</v>
      </c>
      <c r="T469">
        <v>0.05</v>
      </c>
      <c r="U469">
        <v>39.81</v>
      </c>
    </row>
    <row r="470" spans="1:21" x14ac:dyDescent="0.3">
      <c r="A470">
        <v>469</v>
      </c>
      <c r="B470" t="s">
        <v>489</v>
      </c>
      <c r="C470" s="2">
        <v>45385</v>
      </c>
      <c r="D470" s="2">
        <v>45388</v>
      </c>
      <c r="E470" t="s">
        <v>1521</v>
      </c>
      <c r="F470" t="s">
        <v>1804</v>
      </c>
      <c r="G470" t="s">
        <v>2094</v>
      </c>
      <c r="H470" t="s">
        <v>2315</v>
      </c>
      <c r="I470" t="s">
        <v>2317</v>
      </c>
      <c r="J470" t="s">
        <v>2319</v>
      </c>
      <c r="K470" t="s">
        <v>2319</v>
      </c>
      <c r="L470">
        <v>925325</v>
      </c>
      <c r="M470" t="s">
        <v>2329</v>
      </c>
      <c r="N470" t="s">
        <v>2565</v>
      </c>
      <c r="O470" t="s">
        <v>3054</v>
      </c>
      <c r="P470" t="s">
        <v>3063</v>
      </c>
      <c r="Q470" t="s">
        <v>3184</v>
      </c>
      <c r="R470">
        <v>41.48</v>
      </c>
      <c r="S470">
        <v>5</v>
      </c>
      <c r="T470">
        <v>0.4</v>
      </c>
      <c r="U470">
        <v>-17.38</v>
      </c>
    </row>
    <row r="471" spans="1:21" x14ac:dyDescent="0.3">
      <c r="A471">
        <v>470</v>
      </c>
      <c r="B471" t="s">
        <v>490</v>
      </c>
      <c r="C471" s="2">
        <v>45744</v>
      </c>
      <c r="D471" s="2">
        <v>45746</v>
      </c>
      <c r="E471" t="s">
        <v>1524</v>
      </c>
      <c r="F471" t="s">
        <v>1683</v>
      </c>
      <c r="G471" t="s">
        <v>1988</v>
      </c>
      <c r="H471" t="s">
        <v>2314</v>
      </c>
      <c r="I471" t="s">
        <v>2317</v>
      </c>
      <c r="J471" t="s">
        <v>2327</v>
      </c>
      <c r="K471" t="s">
        <v>2327</v>
      </c>
      <c r="L471">
        <v>825552</v>
      </c>
      <c r="M471" t="s">
        <v>2330</v>
      </c>
      <c r="N471" t="s">
        <v>2695</v>
      </c>
      <c r="O471" t="s">
        <v>3055</v>
      </c>
      <c r="P471" t="s">
        <v>3059</v>
      </c>
      <c r="Q471" t="s">
        <v>3256</v>
      </c>
      <c r="R471">
        <v>254.97</v>
      </c>
      <c r="S471">
        <v>5</v>
      </c>
      <c r="T471">
        <v>0</v>
      </c>
      <c r="U471">
        <v>15.16</v>
      </c>
    </row>
    <row r="472" spans="1:21" x14ac:dyDescent="0.3">
      <c r="A472">
        <v>471</v>
      </c>
      <c r="B472" t="s">
        <v>491</v>
      </c>
      <c r="C472" s="2">
        <v>45495</v>
      </c>
      <c r="D472" s="2">
        <v>45499</v>
      </c>
      <c r="E472" t="s">
        <v>1524</v>
      </c>
      <c r="F472" t="s">
        <v>1805</v>
      </c>
      <c r="G472" t="s">
        <v>1967</v>
      </c>
      <c r="H472" t="s">
        <v>2314</v>
      </c>
      <c r="I472" t="s">
        <v>2317</v>
      </c>
      <c r="J472" t="s">
        <v>2320</v>
      </c>
      <c r="K472" t="s">
        <v>2320</v>
      </c>
      <c r="L472">
        <v>873164</v>
      </c>
      <c r="M472" t="s">
        <v>2330</v>
      </c>
      <c r="N472" t="s">
        <v>2591</v>
      </c>
      <c r="O472" t="s">
        <v>3053</v>
      </c>
      <c r="P472" t="s">
        <v>3062</v>
      </c>
      <c r="Q472" t="s">
        <v>3448</v>
      </c>
      <c r="R472">
        <v>231.69</v>
      </c>
      <c r="S472">
        <v>2</v>
      </c>
      <c r="T472">
        <v>0.2</v>
      </c>
      <c r="U472">
        <v>40.01</v>
      </c>
    </row>
    <row r="473" spans="1:21" x14ac:dyDescent="0.3">
      <c r="A473">
        <v>472</v>
      </c>
      <c r="B473" t="s">
        <v>492</v>
      </c>
      <c r="C473" s="2">
        <v>45509</v>
      </c>
      <c r="D473" s="2">
        <v>45512</v>
      </c>
      <c r="E473" t="s">
        <v>1524</v>
      </c>
      <c r="F473" t="s">
        <v>1767</v>
      </c>
      <c r="G473" t="s">
        <v>1964</v>
      </c>
      <c r="H473" t="s">
        <v>2315</v>
      </c>
      <c r="I473" t="s">
        <v>2317</v>
      </c>
      <c r="J473" t="s">
        <v>2320</v>
      </c>
      <c r="K473" t="s">
        <v>2320</v>
      </c>
      <c r="L473">
        <v>717737</v>
      </c>
      <c r="M473" t="s">
        <v>2330</v>
      </c>
      <c r="N473" t="s">
        <v>2696</v>
      </c>
      <c r="O473" t="s">
        <v>3054</v>
      </c>
      <c r="P473" t="s">
        <v>3057</v>
      </c>
      <c r="Q473" t="s">
        <v>3288</v>
      </c>
      <c r="R473">
        <v>96.61</v>
      </c>
      <c r="S473">
        <v>1</v>
      </c>
      <c r="T473">
        <v>0.2</v>
      </c>
      <c r="U473">
        <v>-47.07</v>
      </c>
    </row>
    <row r="474" spans="1:21" x14ac:dyDescent="0.3">
      <c r="A474">
        <v>473</v>
      </c>
      <c r="B474" t="s">
        <v>493</v>
      </c>
      <c r="C474" s="2">
        <v>45765</v>
      </c>
      <c r="D474" s="2">
        <v>45770</v>
      </c>
      <c r="E474" t="s">
        <v>1524</v>
      </c>
      <c r="F474" t="s">
        <v>1570</v>
      </c>
      <c r="G474" t="s">
        <v>2038</v>
      </c>
      <c r="H474" t="s">
        <v>2316</v>
      </c>
      <c r="I474" t="s">
        <v>2317</v>
      </c>
      <c r="J474" t="s">
        <v>2318</v>
      </c>
      <c r="K474" t="s">
        <v>2318</v>
      </c>
      <c r="L474">
        <v>544161</v>
      </c>
      <c r="M474" t="s">
        <v>2328</v>
      </c>
      <c r="N474" t="s">
        <v>2697</v>
      </c>
      <c r="O474" t="s">
        <v>3054</v>
      </c>
      <c r="P474" t="s">
        <v>3063</v>
      </c>
      <c r="Q474" t="s">
        <v>3449</v>
      </c>
      <c r="R474">
        <v>39.21</v>
      </c>
      <c r="S474">
        <v>6</v>
      </c>
      <c r="T474">
        <v>0.2</v>
      </c>
      <c r="U474">
        <v>23.3</v>
      </c>
    </row>
    <row r="475" spans="1:21" x14ac:dyDescent="0.3">
      <c r="A475">
        <v>474</v>
      </c>
      <c r="B475" t="s">
        <v>494</v>
      </c>
      <c r="C475" s="2">
        <v>45723</v>
      </c>
      <c r="D475" s="2">
        <v>45727</v>
      </c>
      <c r="E475" t="s">
        <v>1523</v>
      </c>
      <c r="F475" t="s">
        <v>1806</v>
      </c>
      <c r="G475" t="s">
        <v>2105</v>
      </c>
      <c r="H475" t="s">
        <v>2315</v>
      </c>
      <c r="I475" t="s">
        <v>2317</v>
      </c>
      <c r="J475" t="s">
        <v>2323</v>
      </c>
      <c r="K475" t="s">
        <v>2323</v>
      </c>
      <c r="L475">
        <v>692435</v>
      </c>
      <c r="M475" t="s">
        <v>2328</v>
      </c>
      <c r="N475" t="s">
        <v>2408</v>
      </c>
      <c r="O475" t="s">
        <v>3053</v>
      </c>
      <c r="P475" t="s">
        <v>3056</v>
      </c>
      <c r="Q475" t="s">
        <v>3116</v>
      </c>
      <c r="R475">
        <v>932.16</v>
      </c>
      <c r="S475">
        <v>8</v>
      </c>
      <c r="T475">
        <v>0.05</v>
      </c>
      <c r="U475">
        <v>81.33</v>
      </c>
    </row>
    <row r="476" spans="1:21" x14ac:dyDescent="0.3">
      <c r="A476">
        <v>475</v>
      </c>
      <c r="B476" t="s">
        <v>495</v>
      </c>
      <c r="C476" s="2">
        <v>45632</v>
      </c>
      <c r="D476" s="2">
        <v>45635</v>
      </c>
      <c r="E476" t="s">
        <v>1521</v>
      </c>
      <c r="F476" t="s">
        <v>1598</v>
      </c>
      <c r="G476" t="s">
        <v>2045</v>
      </c>
      <c r="H476" t="s">
        <v>2316</v>
      </c>
      <c r="I476" t="s">
        <v>2317</v>
      </c>
      <c r="J476" t="s">
        <v>2326</v>
      </c>
      <c r="K476" t="s">
        <v>2326</v>
      </c>
      <c r="L476">
        <v>661133</v>
      </c>
      <c r="M476" t="s">
        <v>2331</v>
      </c>
      <c r="N476" t="s">
        <v>2698</v>
      </c>
      <c r="O476" t="s">
        <v>3054</v>
      </c>
      <c r="P476" t="s">
        <v>3063</v>
      </c>
      <c r="Q476" t="s">
        <v>3450</v>
      </c>
      <c r="R476">
        <v>60.8</v>
      </c>
      <c r="S476">
        <v>9</v>
      </c>
      <c r="T476">
        <v>0.2</v>
      </c>
      <c r="U476">
        <v>21.92</v>
      </c>
    </row>
    <row r="477" spans="1:21" x14ac:dyDescent="0.3">
      <c r="A477">
        <v>476</v>
      </c>
      <c r="B477" t="s">
        <v>496</v>
      </c>
      <c r="C477" s="2">
        <v>45842</v>
      </c>
      <c r="D477" s="2">
        <v>45845</v>
      </c>
      <c r="E477" t="s">
        <v>1521</v>
      </c>
      <c r="F477" t="s">
        <v>1807</v>
      </c>
      <c r="G477" t="s">
        <v>2194</v>
      </c>
      <c r="H477" t="s">
        <v>2314</v>
      </c>
      <c r="I477" t="s">
        <v>2317</v>
      </c>
      <c r="J477" t="s">
        <v>2326</v>
      </c>
      <c r="K477" t="s">
        <v>2326</v>
      </c>
      <c r="L477">
        <v>989856</v>
      </c>
      <c r="M477" t="s">
        <v>2331</v>
      </c>
      <c r="N477" t="s">
        <v>2408</v>
      </c>
      <c r="O477" t="s">
        <v>3055</v>
      </c>
      <c r="P477" t="s">
        <v>3061</v>
      </c>
      <c r="Q477" t="s">
        <v>3125</v>
      </c>
      <c r="R477">
        <v>120.52</v>
      </c>
      <c r="S477">
        <v>8</v>
      </c>
      <c r="T477">
        <v>0.1</v>
      </c>
      <c r="U477">
        <v>-1.04</v>
      </c>
    </row>
    <row r="478" spans="1:21" x14ac:dyDescent="0.3">
      <c r="A478">
        <v>477</v>
      </c>
      <c r="B478" t="s">
        <v>497</v>
      </c>
      <c r="C478" s="2">
        <v>45903</v>
      </c>
      <c r="D478" s="2">
        <v>45906</v>
      </c>
      <c r="E478" t="s">
        <v>1523</v>
      </c>
      <c r="F478" t="s">
        <v>1699</v>
      </c>
      <c r="G478" t="s">
        <v>2115</v>
      </c>
      <c r="H478" t="s">
        <v>2315</v>
      </c>
      <c r="I478" t="s">
        <v>2317</v>
      </c>
      <c r="J478" t="s">
        <v>2324</v>
      </c>
      <c r="K478" t="s">
        <v>2324</v>
      </c>
      <c r="L478">
        <v>955817</v>
      </c>
      <c r="M478" t="s">
        <v>2330</v>
      </c>
      <c r="N478" t="s">
        <v>2699</v>
      </c>
      <c r="O478" t="s">
        <v>3054</v>
      </c>
      <c r="P478" t="s">
        <v>3057</v>
      </c>
      <c r="Q478" t="s">
        <v>3219</v>
      </c>
      <c r="R478">
        <v>79.97</v>
      </c>
      <c r="S478">
        <v>3</v>
      </c>
      <c r="T478">
        <v>0.05</v>
      </c>
      <c r="U478">
        <v>26.5</v>
      </c>
    </row>
    <row r="479" spans="1:21" x14ac:dyDescent="0.3">
      <c r="A479">
        <v>478</v>
      </c>
      <c r="B479" t="s">
        <v>498</v>
      </c>
      <c r="C479" s="2">
        <v>45580</v>
      </c>
      <c r="D479" s="2">
        <v>45583</v>
      </c>
      <c r="E479" t="s">
        <v>1521</v>
      </c>
      <c r="F479" t="s">
        <v>1598</v>
      </c>
      <c r="G479" t="s">
        <v>1969</v>
      </c>
      <c r="H479" t="s">
        <v>2314</v>
      </c>
      <c r="I479" t="s">
        <v>2317</v>
      </c>
      <c r="J479" t="s">
        <v>2318</v>
      </c>
      <c r="K479" t="s">
        <v>2318</v>
      </c>
      <c r="L479">
        <v>959222</v>
      </c>
      <c r="M479" t="s">
        <v>2328</v>
      </c>
      <c r="N479" t="s">
        <v>2597</v>
      </c>
      <c r="O479" t="s">
        <v>3054</v>
      </c>
      <c r="P479" t="s">
        <v>3058</v>
      </c>
      <c r="Q479" t="s">
        <v>3282</v>
      </c>
      <c r="R479">
        <v>59.09</v>
      </c>
      <c r="S479">
        <v>3</v>
      </c>
      <c r="T479">
        <v>0.15</v>
      </c>
      <c r="U479">
        <v>3.55</v>
      </c>
    </row>
    <row r="480" spans="1:21" x14ac:dyDescent="0.3">
      <c r="A480">
        <v>479</v>
      </c>
      <c r="B480" t="s">
        <v>499</v>
      </c>
      <c r="C480" s="2">
        <v>45545</v>
      </c>
      <c r="D480" s="2">
        <v>45547</v>
      </c>
      <c r="E480" t="s">
        <v>1521</v>
      </c>
      <c r="F480" t="s">
        <v>1645</v>
      </c>
      <c r="G480" t="s">
        <v>2195</v>
      </c>
      <c r="H480" t="s">
        <v>2316</v>
      </c>
      <c r="I480" t="s">
        <v>2317</v>
      </c>
      <c r="J480" t="s">
        <v>2319</v>
      </c>
      <c r="K480" t="s">
        <v>2319</v>
      </c>
      <c r="L480">
        <v>246075</v>
      </c>
      <c r="M480" t="s">
        <v>2329</v>
      </c>
      <c r="N480" t="s">
        <v>2637</v>
      </c>
      <c r="O480" t="s">
        <v>3054</v>
      </c>
      <c r="P480" t="s">
        <v>3064</v>
      </c>
      <c r="Q480" t="s">
        <v>3451</v>
      </c>
      <c r="R480">
        <v>30.26</v>
      </c>
      <c r="S480">
        <v>3</v>
      </c>
      <c r="T480">
        <v>0</v>
      </c>
      <c r="U480">
        <v>5.14</v>
      </c>
    </row>
    <row r="481" spans="1:21" x14ac:dyDescent="0.3">
      <c r="A481">
        <v>480</v>
      </c>
      <c r="B481" t="s">
        <v>500</v>
      </c>
      <c r="C481" s="2">
        <v>45648</v>
      </c>
      <c r="D481" s="2">
        <v>45650</v>
      </c>
      <c r="E481" t="s">
        <v>1522</v>
      </c>
      <c r="F481" t="s">
        <v>1727</v>
      </c>
      <c r="G481" t="s">
        <v>2184</v>
      </c>
      <c r="H481" t="s">
        <v>2316</v>
      </c>
      <c r="I481" t="s">
        <v>2317</v>
      </c>
      <c r="J481" t="s">
        <v>2318</v>
      </c>
      <c r="K481" t="s">
        <v>2318</v>
      </c>
      <c r="L481">
        <v>275403</v>
      </c>
      <c r="M481" t="s">
        <v>2328</v>
      </c>
      <c r="N481" t="s">
        <v>2700</v>
      </c>
      <c r="O481" t="s">
        <v>3054</v>
      </c>
      <c r="P481" t="s">
        <v>3063</v>
      </c>
      <c r="Q481" t="s">
        <v>3452</v>
      </c>
      <c r="R481">
        <v>146.25</v>
      </c>
      <c r="S481">
        <v>1</v>
      </c>
      <c r="T481">
        <v>0.1</v>
      </c>
      <c r="U481">
        <v>-25.98</v>
      </c>
    </row>
    <row r="482" spans="1:21" x14ac:dyDescent="0.3">
      <c r="A482">
        <v>481</v>
      </c>
      <c r="B482" t="s">
        <v>501</v>
      </c>
      <c r="C482" s="2">
        <v>45314</v>
      </c>
      <c r="D482" s="2">
        <v>45320</v>
      </c>
      <c r="E482" t="s">
        <v>1523</v>
      </c>
      <c r="F482" t="s">
        <v>1564</v>
      </c>
      <c r="G482" t="s">
        <v>2096</v>
      </c>
      <c r="H482" t="s">
        <v>2314</v>
      </c>
      <c r="I482" t="s">
        <v>2317</v>
      </c>
      <c r="J482" t="s">
        <v>2318</v>
      </c>
      <c r="K482" t="s">
        <v>2318</v>
      </c>
      <c r="L482">
        <v>199280</v>
      </c>
      <c r="M482" t="s">
        <v>2328</v>
      </c>
      <c r="N482" t="s">
        <v>2487</v>
      </c>
      <c r="O482" t="s">
        <v>3053</v>
      </c>
      <c r="P482" t="s">
        <v>3065</v>
      </c>
      <c r="Q482" t="s">
        <v>3453</v>
      </c>
      <c r="R482">
        <v>221.71</v>
      </c>
      <c r="S482">
        <v>2</v>
      </c>
      <c r="T482">
        <v>0.15</v>
      </c>
      <c r="U482">
        <v>-1.59</v>
      </c>
    </row>
    <row r="483" spans="1:21" x14ac:dyDescent="0.3">
      <c r="A483">
        <v>482</v>
      </c>
      <c r="B483" t="s">
        <v>502</v>
      </c>
      <c r="C483" s="2">
        <v>45813</v>
      </c>
      <c r="D483" s="2">
        <v>45817</v>
      </c>
      <c r="E483" t="s">
        <v>1524</v>
      </c>
      <c r="F483" t="s">
        <v>1808</v>
      </c>
      <c r="G483" t="s">
        <v>2196</v>
      </c>
      <c r="H483" t="s">
        <v>2314</v>
      </c>
      <c r="I483" t="s">
        <v>2317</v>
      </c>
      <c r="J483" t="s">
        <v>2318</v>
      </c>
      <c r="K483" t="s">
        <v>2318</v>
      </c>
      <c r="L483">
        <v>924743</v>
      </c>
      <c r="M483" t="s">
        <v>2328</v>
      </c>
      <c r="N483" t="s">
        <v>2701</v>
      </c>
      <c r="O483" t="s">
        <v>3055</v>
      </c>
      <c r="P483" t="s">
        <v>3059</v>
      </c>
      <c r="Q483" t="s">
        <v>3454</v>
      </c>
      <c r="R483">
        <v>209.77</v>
      </c>
      <c r="S483">
        <v>6</v>
      </c>
      <c r="T483">
        <v>0.15</v>
      </c>
      <c r="U483">
        <v>-5.54</v>
      </c>
    </row>
    <row r="484" spans="1:21" x14ac:dyDescent="0.3">
      <c r="A484">
        <v>483</v>
      </c>
      <c r="B484" t="s">
        <v>503</v>
      </c>
      <c r="C484" s="2">
        <v>45391</v>
      </c>
      <c r="D484" s="2">
        <v>45395</v>
      </c>
      <c r="E484" t="s">
        <v>1522</v>
      </c>
      <c r="F484" t="s">
        <v>1534</v>
      </c>
      <c r="G484" t="s">
        <v>2104</v>
      </c>
      <c r="H484" t="s">
        <v>2316</v>
      </c>
      <c r="I484" t="s">
        <v>2317</v>
      </c>
      <c r="J484" t="s">
        <v>2320</v>
      </c>
      <c r="K484" t="s">
        <v>2320</v>
      </c>
      <c r="L484">
        <v>842691</v>
      </c>
      <c r="M484" t="s">
        <v>2330</v>
      </c>
      <c r="N484" t="s">
        <v>2510</v>
      </c>
      <c r="O484" t="s">
        <v>3054</v>
      </c>
      <c r="P484" t="s">
        <v>3063</v>
      </c>
      <c r="Q484" t="s">
        <v>3455</v>
      </c>
      <c r="R484">
        <v>46.77</v>
      </c>
      <c r="S484">
        <v>2</v>
      </c>
      <c r="T484">
        <v>0.3</v>
      </c>
      <c r="U484">
        <v>46.86</v>
      </c>
    </row>
    <row r="485" spans="1:21" x14ac:dyDescent="0.3">
      <c r="A485">
        <v>484</v>
      </c>
      <c r="B485" t="s">
        <v>504</v>
      </c>
      <c r="C485" s="2">
        <v>45471</v>
      </c>
      <c r="D485" s="2">
        <v>45475</v>
      </c>
      <c r="E485" t="s">
        <v>1522</v>
      </c>
      <c r="F485" t="s">
        <v>1751</v>
      </c>
      <c r="G485" t="s">
        <v>2113</v>
      </c>
      <c r="H485" t="s">
        <v>2315</v>
      </c>
      <c r="I485" t="s">
        <v>2317</v>
      </c>
      <c r="J485" t="s">
        <v>2318</v>
      </c>
      <c r="K485" t="s">
        <v>2318</v>
      </c>
      <c r="L485">
        <v>824155</v>
      </c>
      <c r="M485" t="s">
        <v>2328</v>
      </c>
      <c r="N485" t="s">
        <v>2488</v>
      </c>
      <c r="O485" t="s">
        <v>3053</v>
      </c>
      <c r="P485" t="s">
        <v>3065</v>
      </c>
      <c r="Q485" t="s">
        <v>3456</v>
      </c>
      <c r="R485">
        <v>156.24</v>
      </c>
      <c r="S485">
        <v>2</v>
      </c>
      <c r="T485">
        <v>0.3</v>
      </c>
      <c r="U485">
        <v>-41.65</v>
      </c>
    </row>
    <row r="486" spans="1:21" x14ac:dyDescent="0.3">
      <c r="A486">
        <v>485</v>
      </c>
      <c r="B486" t="s">
        <v>505</v>
      </c>
      <c r="C486" s="2">
        <v>45514</v>
      </c>
      <c r="D486" s="2">
        <v>45517</v>
      </c>
      <c r="E486" t="s">
        <v>1522</v>
      </c>
      <c r="F486" t="s">
        <v>1726</v>
      </c>
      <c r="G486" t="s">
        <v>2197</v>
      </c>
      <c r="H486" t="s">
        <v>2316</v>
      </c>
      <c r="I486" t="s">
        <v>2317</v>
      </c>
      <c r="J486" t="s">
        <v>2322</v>
      </c>
      <c r="K486" t="s">
        <v>2322</v>
      </c>
      <c r="L486">
        <v>862580</v>
      </c>
      <c r="M486" t="s">
        <v>2331</v>
      </c>
      <c r="N486" t="s">
        <v>2702</v>
      </c>
      <c r="O486" t="s">
        <v>3054</v>
      </c>
      <c r="P486" t="s">
        <v>3063</v>
      </c>
      <c r="Q486" t="s">
        <v>3457</v>
      </c>
      <c r="R486">
        <v>19.170000000000002</v>
      </c>
      <c r="S486">
        <v>8</v>
      </c>
      <c r="T486">
        <v>0.4</v>
      </c>
      <c r="U486">
        <v>-22.83</v>
      </c>
    </row>
    <row r="487" spans="1:21" x14ac:dyDescent="0.3">
      <c r="A487">
        <v>486</v>
      </c>
      <c r="B487" t="s">
        <v>506</v>
      </c>
      <c r="C487" s="2">
        <v>45950</v>
      </c>
      <c r="D487" s="2">
        <v>45951</v>
      </c>
      <c r="E487" t="s">
        <v>1522</v>
      </c>
      <c r="F487" t="s">
        <v>1571</v>
      </c>
      <c r="G487" t="s">
        <v>2066</v>
      </c>
      <c r="H487" t="s">
        <v>2314</v>
      </c>
      <c r="I487" t="s">
        <v>2317</v>
      </c>
      <c r="J487" t="s">
        <v>2326</v>
      </c>
      <c r="K487" t="s">
        <v>2326</v>
      </c>
      <c r="L487">
        <v>823704</v>
      </c>
      <c r="M487" t="s">
        <v>2331</v>
      </c>
      <c r="N487" t="s">
        <v>2354</v>
      </c>
      <c r="O487" t="s">
        <v>3055</v>
      </c>
      <c r="P487" t="s">
        <v>3061</v>
      </c>
      <c r="Q487" t="s">
        <v>3332</v>
      </c>
      <c r="R487">
        <v>189.26</v>
      </c>
      <c r="S487">
        <v>7</v>
      </c>
      <c r="T487">
        <v>0.2</v>
      </c>
      <c r="U487">
        <v>-9.85</v>
      </c>
    </row>
    <row r="488" spans="1:21" x14ac:dyDescent="0.3">
      <c r="A488">
        <v>487</v>
      </c>
      <c r="B488" t="s">
        <v>507</v>
      </c>
      <c r="C488" s="2">
        <v>45733</v>
      </c>
      <c r="D488" s="2">
        <v>45736</v>
      </c>
      <c r="E488" t="s">
        <v>1524</v>
      </c>
      <c r="F488" t="s">
        <v>1805</v>
      </c>
      <c r="G488" t="s">
        <v>2176</v>
      </c>
      <c r="H488" t="s">
        <v>2314</v>
      </c>
      <c r="I488" t="s">
        <v>2317</v>
      </c>
      <c r="J488" t="s">
        <v>2324</v>
      </c>
      <c r="K488" t="s">
        <v>2324</v>
      </c>
      <c r="L488">
        <v>856120</v>
      </c>
      <c r="M488" t="s">
        <v>2330</v>
      </c>
      <c r="N488" t="s">
        <v>2703</v>
      </c>
      <c r="O488" t="s">
        <v>3054</v>
      </c>
      <c r="P488" t="s">
        <v>3064</v>
      </c>
      <c r="Q488" t="s">
        <v>3458</v>
      </c>
      <c r="R488">
        <v>118.05</v>
      </c>
      <c r="S488">
        <v>5</v>
      </c>
      <c r="T488">
        <v>0.2</v>
      </c>
      <c r="U488">
        <v>-8.09</v>
      </c>
    </row>
    <row r="489" spans="1:21" x14ac:dyDescent="0.3">
      <c r="A489">
        <v>488</v>
      </c>
      <c r="B489" t="s">
        <v>508</v>
      </c>
      <c r="C489" s="2">
        <v>45899</v>
      </c>
      <c r="D489" s="2">
        <v>45902</v>
      </c>
      <c r="E489" t="s">
        <v>1522</v>
      </c>
      <c r="F489" t="s">
        <v>1774</v>
      </c>
      <c r="G489" t="s">
        <v>2104</v>
      </c>
      <c r="H489" t="s">
        <v>2316</v>
      </c>
      <c r="I489" t="s">
        <v>2317</v>
      </c>
      <c r="J489" t="s">
        <v>2322</v>
      </c>
      <c r="K489" t="s">
        <v>2322</v>
      </c>
      <c r="L489">
        <v>281844</v>
      </c>
      <c r="M489" t="s">
        <v>2331</v>
      </c>
      <c r="N489" t="s">
        <v>2521</v>
      </c>
      <c r="O489" t="s">
        <v>3054</v>
      </c>
      <c r="P489" t="s">
        <v>3058</v>
      </c>
      <c r="Q489" t="s">
        <v>3459</v>
      </c>
      <c r="R489">
        <v>53.62</v>
      </c>
      <c r="S489">
        <v>5</v>
      </c>
      <c r="T489">
        <v>0.1</v>
      </c>
      <c r="U489">
        <v>25.79</v>
      </c>
    </row>
    <row r="490" spans="1:21" x14ac:dyDescent="0.3">
      <c r="A490">
        <v>489</v>
      </c>
      <c r="B490" t="s">
        <v>509</v>
      </c>
      <c r="C490" s="2">
        <v>45616</v>
      </c>
      <c r="D490" s="2">
        <v>45619</v>
      </c>
      <c r="E490" t="s">
        <v>1521</v>
      </c>
      <c r="F490" t="s">
        <v>1793</v>
      </c>
      <c r="G490" t="s">
        <v>2198</v>
      </c>
      <c r="H490" t="s">
        <v>2315</v>
      </c>
      <c r="I490" t="s">
        <v>2317</v>
      </c>
      <c r="J490" t="s">
        <v>2324</v>
      </c>
      <c r="K490" t="s">
        <v>2324</v>
      </c>
      <c r="L490">
        <v>829672</v>
      </c>
      <c r="M490" t="s">
        <v>2330</v>
      </c>
      <c r="N490" t="s">
        <v>2704</v>
      </c>
      <c r="O490" t="s">
        <v>3054</v>
      </c>
      <c r="P490" t="s">
        <v>3057</v>
      </c>
      <c r="Q490" t="s">
        <v>3460</v>
      </c>
      <c r="R490">
        <v>78.28</v>
      </c>
      <c r="S490">
        <v>5</v>
      </c>
      <c r="T490">
        <v>0</v>
      </c>
      <c r="U490">
        <v>44.35</v>
      </c>
    </row>
    <row r="491" spans="1:21" x14ac:dyDescent="0.3">
      <c r="A491">
        <v>490</v>
      </c>
      <c r="B491" t="s">
        <v>510</v>
      </c>
      <c r="C491" s="2">
        <v>45807</v>
      </c>
      <c r="D491" s="2">
        <v>45810</v>
      </c>
      <c r="E491" t="s">
        <v>1524</v>
      </c>
      <c r="F491" t="s">
        <v>1737</v>
      </c>
      <c r="G491" t="s">
        <v>2004</v>
      </c>
      <c r="H491" t="s">
        <v>2314</v>
      </c>
      <c r="I491" t="s">
        <v>2317</v>
      </c>
      <c r="J491" t="s">
        <v>2327</v>
      </c>
      <c r="K491" t="s">
        <v>2327</v>
      </c>
      <c r="L491">
        <v>579198</v>
      </c>
      <c r="M491" t="s">
        <v>2330</v>
      </c>
      <c r="N491" t="s">
        <v>2396</v>
      </c>
      <c r="O491" t="s">
        <v>3053</v>
      </c>
      <c r="P491" t="s">
        <v>3066</v>
      </c>
      <c r="Q491" t="s">
        <v>3461</v>
      </c>
      <c r="R491">
        <v>121.35</v>
      </c>
      <c r="S491">
        <v>4</v>
      </c>
      <c r="T491">
        <v>0.15</v>
      </c>
      <c r="U491">
        <v>-8.94</v>
      </c>
    </row>
    <row r="492" spans="1:21" x14ac:dyDescent="0.3">
      <c r="A492">
        <v>491</v>
      </c>
      <c r="B492" t="s">
        <v>511</v>
      </c>
      <c r="C492" s="2">
        <v>45307</v>
      </c>
      <c r="D492" s="2">
        <v>45310</v>
      </c>
      <c r="E492" t="s">
        <v>1523</v>
      </c>
      <c r="F492" t="s">
        <v>1539</v>
      </c>
      <c r="G492" t="s">
        <v>2176</v>
      </c>
      <c r="H492" t="s">
        <v>2315</v>
      </c>
      <c r="I492" t="s">
        <v>2317</v>
      </c>
      <c r="J492" t="s">
        <v>2324</v>
      </c>
      <c r="K492" t="s">
        <v>2324</v>
      </c>
      <c r="L492">
        <v>484467</v>
      </c>
      <c r="M492" t="s">
        <v>2330</v>
      </c>
      <c r="N492" t="s">
        <v>2702</v>
      </c>
      <c r="O492" t="s">
        <v>3054</v>
      </c>
      <c r="P492" t="s">
        <v>3063</v>
      </c>
      <c r="Q492" t="s">
        <v>3243</v>
      </c>
      <c r="R492">
        <v>80.56</v>
      </c>
      <c r="S492">
        <v>5</v>
      </c>
      <c r="T492">
        <v>0.15</v>
      </c>
      <c r="U492">
        <v>21.38</v>
      </c>
    </row>
    <row r="493" spans="1:21" x14ac:dyDescent="0.3">
      <c r="A493">
        <v>492</v>
      </c>
      <c r="B493" t="s">
        <v>512</v>
      </c>
      <c r="C493" s="2">
        <v>45627</v>
      </c>
      <c r="D493" s="2">
        <v>45630</v>
      </c>
      <c r="E493" t="s">
        <v>1523</v>
      </c>
      <c r="F493" t="s">
        <v>1636</v>
      </c>
      <c r="G493" t="s">
        <v>2117</v>
      </c>
      <c r="H493" t="s">
        <v>2315</v>
      </c>
      <c r="I493" t="s">
        <v>2317</v>
      </c>
      <c r="J493" t="s">
        <v>2326</v>
      </c>
      <c r="K493" t="s">
        <v>2326</v>
      </c>
      <c r="L493">
        <v>290477</v>
      </c>
      <c r="M493" t="s">
        <v>2331</v>
      </c>
      <c r="N493" t="s">
        <v>2558</v>
      </c>
      <c r="O493" t="s">
        <v>3053</v>
      </c>
      <c r="P493" t="s">
        <v>3065</v>
      </c>
      <c r="Q493" t="s">
        <v>3196</v>
      </c>
      <c r="R493">
        <v>55.25</v>
      </c>
      <c r="S493">
        <v>3</v>
      </c>
      <c r="T493">
        <v>0.05</v>
      </c>
      <c r="U493">
        <v>2.14</v>
      </c>
    </row>
    <row r="494" spans="1:21" x14ac:dyDescent="0.3">
      <c r="A494">
        <v>493</v>
      </c>
      <c r="B494" t="s">
        <v>513</v>
      </c>
      <c r="C494" s="2">
        <v>45549</v>
      </c>
      <c r="D494" s="2">
        <v>45553</v>
      </c>
      <c r="E494" t="s">
        <v>1521</v>
      </c>
      <c r="F494" t="s">
        <v>1651</v>
      </c>
      <c r="G494" t="s">
        <v>2099</v>
      </c>
      <c r="H494" t="s">
        <v>2316</v>
      </c>
      <c r="I494" t="s">
        <v>2317</v>
      </c>
      <c r="J494" t="s">
        <v>2326</v>
      </c>
      <c r="K494" t="s">
        <v>2326</v>
      </c>
      <c r="L494">
        <v>468427</v>
      </c>
      <c r="M494" t="s">
        <v>2331</v>
      </c>
      <c r="N494" t="s">
        <v>2705</v>
      </c>
      <c r="O494" t="s">
        <v>3055</v>
      </c>
      <c r="P494" t="s">
        <v>3067</v>
      </c>
      <c r="Q494" t="s">
        <v>3462</v>
      </c>
      <c r="R494">
        <v>297.45999999999998</v>
      </c>
      <c r="S494">
        <v>2</v>
      </c>
      <c r="T494">
        <v>0.1</v>
      </c>
      <c r="U494">
        <v>23.29</v>
      </c>
    </row>
    <row r="495" spans="1:21" x14ac:dyDescent="0.3">
      <c r="A495">
        <v>494</v>
      </c>
      <c r="B495" t="s">
        <v>514</v>
      </c>
      <c r="C495" s="2">
        <v>45788</v>
      </c>
      <c r="D495" s="2">
        <v>45794</v>
      </c>
      <c r="E495" t="s">
        <v>1524</v>
      </c>
      <c r="F495" t="s">
        <v>1809</v>
      </c>
      <c r="G495" t="s">
        <v>2026</v>
      </c>
      <c r="H495" t="s">
        <v>2315</v>
      </c>
      <c r="I495" t="s">
        <v>2317</v>
      </c>
      <c r="J495" t="s">
        <v>2318</v>
      </c>
      <c r="K495" t="s">
        <v>2318</v>
      </c>
      <c r="L495">
        <v>920047</v>
      </c>
      <c r="M495" t="s">
        <v>2328</v>
      </c>
      <c r="N495" t="s">
        <v>2706</v>
      </c>
      <c r="O495" t="s">
        <v>3054</v>
      </c>
      <c r="P495" t="s">
        <v>3058</v>
      </c>
      <c r="Q495" t="s">
        <v>3463</v>
      </c>
      <c r="R495">
        <v>121.11</v>
      </c>
      <c r="S495">
        <v>3</v>
      </c>
      <c r="T495">
        <v>0.1</v>
      </c>
      <c r="U495">
        <v>-17.829999999999998</v>
      </c>
    </row>
    <row r="496" spans="1:21" x14ac:dyDescent="0.3">
      <c r="A496">
        <v>495</v>
      </c>
      <c r="B496" t="s">
        <v>515</v>
      </c>
      <c r="C496" s="2">
        <v>45451</v>
      </c>
      <c r="D496" s="2">
        <v>45454</v>
      </c>
      <c r="E496" t="s">
        <v>1521</v>
      </c>
      <c r="F496" t="s">
        <v>1620</v>
      </c>
      <c r="G496" t="s">
        <v>2199</v>
      </c>
      <c r="H496" t="s">
        <v>2314</v>
      </c>
      <c r="I496" t="s">
        <v>2317</v>
      </c>
      <c r="J496" t="s">
        <v>2325</v>
      </c>
      <c r="K496" t="s">
        <v>2325</v>
      </c>
      <c r="L496">
        <v>667660</v>
      </c>
      <c r="M496" t="s">
        <v>2332</v>
      </c>
      <c r="N496" t="s">
        <v>2479</v>
      </c>
      <c r="O496" t="s">
        <v>3054</v>
      </c>
      <c r="P496" t="s">
        <v>3057</v>
      </c>
      <c r="Q496" t="s">
        <v>3069</v>
      </c>
      <c r="R496">
        <v>96.02</v>
      </c>
      <c r="S496">
        <v>6</v>
      </c>
      <c r="T496">
        <v>0</v>
      </c>
      <c r="U496">
        <v>46.07</v>
      </c>
    </row>
    <row r="497" spans="1:21" x14ac:dyDescent="0.3">
      <c r="A497">
        <v>496</v>
      </c>
      <c r="B497" t="s">
        <v>516</v>
      </c>
      <c r="C497" s="2">
        <v>45766</v>
      </c>
      <c r="D497" s="2">
        <v>45768</v>
      </c>
      <c r="E497" t="s">
        <v>1523</v>
      </c>
      <c r="F497" t="s">
        <v>1810</v>
      </c>
      <c r="G497" t="s">
        <v>1986</v>
      </c>
      <c r="H497" t="s">
        <v>2315</v>
      </c>
      <c r="I497" t="s">
        <v>2317</v>
      </c>
      <c r="J497" t="s">
        <v>2327</v>
      </c>
      <c r="K497" t="s">
        <v>2327</v>
      </c>
      <c r="L497">
        <v>101919</v>
      </c>
      <c r="M497" t="s">
        <v>2330</v>
      </c>
      <c r="N497" t="s">
        <v>2445</v>
      </c>
      <c r="O497" t="s">
        <v>3054</v>
      </c>
      <c r="P497" t="s">
        <v>3058</v>
      </c>
      <c r="Q497" t="s">
        <v>3464</v>
      </c>
      <c r="R497">
        <v>118.8</v>
      </c>
      <c r="S497">
        <v>5</v>
      </c>
      <c r="T497">
        <v>0.1</v>
      </c>
      <c r="U497">
        <v>30.86</v>
      </c>
    </row>
    <row r="498" spans="1:21" x14ac:dyDescent="0.3">
      <c r="A498">
        <v>497</v>
      </c>
      <c r="B498" t="s">
        <v>517</v>
      </c>
      <c r="C498" s="2">
        <v>45955</v>
      </c>
      <c r="D498" s="2">
        <v>45956</v>
      </c>
      <c r="E498" t="s">
        <v>1522</v>
      </c>
      <c r="F498" t="s">
        <v>1643</v>
      </c>
      <c r="G498" t="s">
        <v>1928</v>
      </c>
      <c r="H498" t="s">
        <v>2314</v>
      </c>
      <c r="I498" t="s">
        <v>2317</v>
      </c>
      <c r="J498" t="s">
        <v>2319</v>
      </c>
      <c r="K498" t="s">
        <v>2319</v>
      </c>
      <c r="L498">
        <v>636208</v>
      </c>
      <c r="M498" t="s">
        <v>2329</v>
      </c>
      <c r="N498" t="s">
        <v>2664</v>
      </c>
      <c r="O498" t="s">
        <v>3053</v>
      </c>
      <c r="P498" t="s">
        <v>3065</v>
      </c>
      <c r="Q498" t="s">
        <v>3465</v>
      </c>
      <c r="R498">
        <v>258.42</v>
      </c>
      <c r="S498">
        <v>3</v>
      </c>
      <c r="T498">
        <v>0.2</v>
      </c>
      <c r="U498">
        <v>0.15</v>
      </c>
    </row>
    <row r="499" spans="1:21" x14ac:dyDescent="0.3">
      <c r="A499">
        <v>498</v>
      </c>
      <c r="B499" t="s">
        <v>518</v>
      </c>
      <c r="C499" s="2">
        <v>45981</v>
      </c>
      <c r="D499" s="2">
        <v>45985</v>
      </c>
      <c r="E499" t="s">
        <v>1523</v>
      </c>
      <c r="F499" t="s">
        <v>1585</v>
      </c>
      <c r="G499" t="s">
        <v>1951</v>
      </c>
      <c r="H499" t="s">
        <v>2315</v>
      </c>
      <c r="I499" t="s">
        <v>2317</v>
      </c>
      <c r="J499" t="s">
        <v>2321</v>
      </c>
      <c r="K499" t="s">
        <v>2321</v>
      </c>
      <c r="L499">
        <v>792749</v>
      </c>
      <c r="M499" t="s">
        <v>2329</v>
      </c>
      <c r="N499" t="s">
        <v>2707</v>
      </c>
      <c r="O499" t="s">
        <v>3055</v>
      </c>
      <c r="P499" t="s">
        <v>3067</v>
      </c>
      <c r="Q499" t="s">
        <v>3281</v>
      </c>
      <c r="R499">
        <v>1212.8599999999999</v>
      </c>
      <c r="S499">
        <v>8</v>
      </c>
      <c r="T499">
        <v>0.15</v>
      </c>
      <c r="U499">
        <v>123.1</v>
      </c>
    </row>
    <row r="500" spans="1:21" x14ac:dyDescent="0.3">
      <c r="A500">
        <v>499</v>
      </c>
      <c r="B500" t="s">
        <v>519</v>
      </c>
      <c r="C500" s="2">
        <v>45966</v>
      </c>
      <c r="D500" s="2">
        <v>45970</v>
      </c>
      <c r="E500" t="s">
        <v>1523</v>
      </c>
      <c r="F500" t="s">
        <v>1579</v>
      </c>
      <c r="G500" t="s">
        <v>2043</v>
      </c>
      <c r="H500" t="s">
        <v>2316</v>
      </c>
      <c r="I500" t="s">
        <v>2317</v>
      </c>
      <c r="J500" t="s">
        <v>2324</v>
      </c>
      <c r="K500" t="s">
        <v>2324</v>
      </c>
      <c r="L500">
        <v>351366</v>
      </c>
      <c r="M500" t="s">
        <v>2330</v>
      </c>
      <c r="N500" t="s">
        <v>2454</v>
      </c>
      <c r="O500" t="s">
        <v>3055</v>
      </c>
      <c r="P500" t="s">
        <v>3067</v>
      </c>
      <c r="Q500" t="s">
        <v>3466</v>
      </c>
      <c r="R500">
        <v>1179.23</v>
      </c>
      <c r="S500">
        <v>3</v>
      </c>
      <c r="T500">
        <v>0.15</v>
      </c>
      <c r="U500">
        <v>79.709999999999994</v>
      </c>
    </row>
    <row r="501" spans="1:21" x14ac:dyDescent="0.3">
      <c r="A501">
        <v>500</v>
      </c>
      <c r="B501" t="s">
        <v>520</v>
      </c>
      <c r="C501" s="2">
        <v>45671</v>
      </c>
      <c r="D501" s="2">
        <v>45672</v>
      </c>
      <c r="E501" t="s">
        <v>1521</v>
      </c>
      <c r="F501" t="s">
        <v>1538</v>
      </c>
      <c r="G501" t="s">
        <v>1927</v>
      </c>
      <c r="H501" t="s">
        <v>2314</v>
      </c>
      <c r="I501" t="s">
        <v>2317</v>
      </c>
      <c r="J501" t="s">
        <v>2325</v>
      </c>
      <c r="K501" t="s">
        <v>2325</v>
      </c>
      <c r="L501">
        <v>770979</v>
      </c>
      <c r="M501" t="s">
        <v>2332</v>
      </c>
      <c r="N501" t="s">
        <v>2708</v>
      </c>
      <c r="O501" t="s">
        <v>3053</v>
      </c>
      <c r="P501" t="s">
        <v>3062</v>
      </c>
      <c r="Q501" t="s">
        <v>3467</v>
      </c>
      <c r="R501">
        <v>234.02</v>
      </c>
      <c r="S501">
        <v>1</v>
      </c>
      <c r="T501">
        <v>0.1</v>
      </c>
      <c r="U501">
        <v>34.08</v>
      </c>
    </row>
    <row r="502" spans="1:21" x14ac:dyDescent="0.3">
      <c r="A502">
        <v>501</v>
      </c>
      <c r="B502" t="s">
        <v>521</v>
      </c>
      <c r="C502" s="2">
        <v>45836</v>
      </c>
      <c r="D502" s="2">
        <v>45839</v>
      </c>
      <c r="E502" t="s">
        <v>1524</v>
      </c>
      <c r="F502" t="s">
        <v>1555</v>
      </c>
      <c r="G502" t="s">
        <v>1921</v>
      </c>
      <c r="H502" t="s">
        <v>2315</v>
      </c>
      <c r="I502" t="s">
        <v>2317</v>
      </c>
      <c r="J502" t="s">
        <v>2318</v>
      </c>
      <c r="K502" t="s">
        <v>2318</v>
      </c>
      <c r="L502">
        <v>508224</v>
      </c>
      <c r="M502" t="s">
        <v>2328</v>
      </c>
      <c r="N502" t="s">
        <v>2709</v>
      </c>
      <c r="O502" t="s">
        <v>3053</v>
      </c>
      <c r="P502" t="s">
        <v>3066</v>
      </c>
      <c r="Q502" t="s">
        <v>3468</v>
      </c>
      <c r="R502">
        <v>270.43</v>
      </c>
      <c r="S502">
        <v>2</v>
      </c>
      <c r="T502">
        <v>0.1</v>
      </c>
      <c r="U502">
        <v>7.47</v>
      </c>
    </row>
    <row r="503" spans="1:21" x14ac:dyDescent="0.3">
      <c r="A503">
        <v>502</v>
      </c>
      <c r="B503" t="s">
        <v>522</v>
      </c>
      <c r="C503" s="2">
        <v>45982</v>
      </c>
      <c r="D503" s="2">
        <v>45985</v>
      </c>
      <c r="E503" t="s">
        <v>1523</v>
      </c>
      <c r="F503" t="s">
        <v>1811</v>
      </c>
      <c r="G503" t="s">
        <v>2200</v>
      </c>
      <c r="H503" t="s">
        <v>2315</v>
      </c>
      <c r="I503" t="s">
        <v>2317</v>
      </c>
      <c r="J503" t="s">
        <v>2320</v>
      </c>
      <c r="K503" t="s">
        <v>2320</v>
      </c>
      <c r="L503">
        <v>609212</v>
      </c>
      <c r="M503" t="s">
        <v>2330</v>
      </c>
      <c r="N503" t="s">
        <v>2635</v>
      </c>
      <c r="O503" t="s">
        <v>3054</v>
      </c>
      <c r="P503" t="s">
        <v>3058</v>
      </c>
      <c r="Q503" t="s">
        <v>3469</v>
      </c>
      <c r="R503">
        <v>59.65</v>
      </c>
      <c r="S503">
        <v>9</v>
      </c>
      <c r="T503">
        <v>0</v>
      </c>
      <c r="U503">
        <v>-13.16</v>
      </c>
    </row>
    <row r="504" spans="1:21" x14ac:dyDescent="0.3">
      <c r="A504">
        <v>503</v>
      </c>
      <c r="B504" t="s">
        <v>523</v>
      </c>
      <c r="C504" s="2">
        <v>45718</v>
      </c>
      <c r="D504" s="2">
        <v>45720</v>
      </c>
      <c r="E504" t="s">
        <v>1524</v>
      </c>
      <c r="F504" t="s">
        <v>1730</v>
      </c>
      <c r="G504" t="s">
        <v>1927</v>
      </c>
      <c r="H504" t="s">
        <v>2316</v>
      </c>
      <c r="I504" t="s">
        <v>2317</v>
      </c>
      <c r="J504" t="s">
        <v>2319</v>
      </c>
      <c r="K504" t="s">
        <v>2319</v>
      </c>
      <c r="L504">
        <v>444543</v>
      </c>
      <c r="M504" t="s">
        <v>2329</v>
      </c>
      <c r="N504" t="s">
        <v>2551</v>
      </c>
      <c r="O504" t="s">
        <v>3053</v>
      </c>
      <c r="P504" t="s">
        <v>3065</v>
      </c>
      <c r="Q504" t="s">
        <v>3470</v>
      </c>
      <c r="R504">
        <v>292.43</v>
      </c>
      <c r="S504">
        <v>6</v>
      </c>
      <c r="T504">
        <v>0.05</v>
      </c>
      <c r="U504">
        <v>32.26</v>
      </c>
    </row>
    <row r="505" spans="1:21" x14ac:dyDescent="0.3">
      <c r="A505">
        <v>504</v>
      </c>
      <c r="B505" t="s">
        <v>524</v>
      </c>
      <c r="C505" s="2">
        <v>45904</v>
      </c>
      <c r="D505" s="2">
        <v>45906</v>
      </c>
      <c r="E505" t="s">
        <v>1522</v>
      </c>
      <c r="F505" t="s">
        <v>1709</v>
      </c>
      <c r="G505" t="s">
        <v>2013</v>
      </c>
      <c r="H505" t="s">
        <v>2315</v>
      </c>
      <c r="I505" t="s">
        <v>2317</v>
      </c>
      <c r="J505" t="s">
        <v>2323</v>
      </c>
      <c r="K505" t="s">
        <v>2323</v>
      </c>
      <c r="L505">
        <v>625957</v>
      </c>
      <c r="M505" t="s">
        <v>2328</v>
      </c>
      <c r="N505" t="s">
        <v>2519</v>
      </c>
      <c r="O505" t="s">
        <v>3054</v>
      </c>
      <c r="P505" t="s">
        <v>3058</v>
      </c>
      <c r="Q505" t="s">
        <v>3471</v>
      </c>
      <c r="R505">
        <v>85.79</v>
      </c>
      <c r="S505">
        <v>9</v>
      </c>
      <c r="T505">
        <v>0.2</v>
      </c>
      <c r="U505">
        <v>-4.7699999999999996</v>
      </c>
    </row>
    <row r="506" spans="1:21" x14ac:dyDescent="0.3">
      <c r="A506">
        <v>505</v>
      </c>
      <c r="B506" t="s">
        <v>525</v>
      </c>
      <c r="C506" s="2">
        <v>45559</v>
      </c>
      <c r="D506" s="2">
        <v>45561</v>
      </c>
      <c r="E506" t="s">
        <v>1523</v>
      </c>
      <c r="F506" t="s">
        <v>1812</v>
      </c>
      <c r="G506" t="s">
        <v>2201</v>
      </c>
      <c r="H506" t="s">
        <v>2316</v>
      </c>
      <c r="I506" t="s">
        <v>2317</v>
      </c>
      <c r="J506" t="s">
        <v>2325</v>
      </c>
      <c r="K506" t="s">
        <v>2325</v>
      </c>
      <c r="L506">
        <v>370855</v>
      </c>
      <c r="M506" t="s">
        <v>2332</v>
      </c>
      <c r="N506" t="s">
        <v>2710</v>
      </c>
      <c r="O506" t="s">
        <v>3054</v>
      </c>
      <c r="P506" t="s">
        <v>3058</v>
      </c>
      <c r="Q506" t="s">
        <v>3157</v>
      </c>
      <c r="R506">
        <v>56.32</v>
      </c>
      <c r="S506">
        <v>4</v>
      </c>
      <c r="T506">
        <v>0.05</v>
      </c>
      <c r="U506">
        <v>16.399999999999999</v>
      </c>
    </row>
    <row r="507" spans="1:21" x14ac:dyDescent="0.3">
      <c r="A507">
        <v>506</v>
      </c>
      <c r="B507" t="s">
        <v>526</v>
      </c>
      <c r="C507" s="2">
        <v>45868</v>
      </c>
      <c r="D507" s="2">
        <v>45870</v>
      </c>
      <c r="E507" t="s">
        <v>1524</v>
      </c>
      <c r="F507" t="s">
        <v>1813</v>
      </c>
      <c r="G507" t="s">
        <v>2030</v>
      </c>
      <c r="H507" t="s">
        <v>2316</v>
      </c>
      <c r="I507" t="s">
        <v>2317</v>
      </c>
      <c r="J507" t="s">
        <v>2320</v>
      </c>
      <c r="K507" t="s">
        <v>2320</v>
      </c>
      <c r="L507">
        <v>716798</v>
      </c>
      <c r="M507" t="s">
        <v>2330</v>
      </c>
      <c r="N507" t="s">
        <v>2711</v>
      </c>
      <c r="O507" t="s">
        <v>3054</v>
      </c>
      <c r="P507" t="s">
        <v>3064</v>
      </c>
      <c r="Q507" t="s">
        <v>3314</v>
      </c>
      <c r="R507">
        <v>153.61000000000001</v>
      </c>
      <c r="S507">
        <v>4</v>
      </c>
      <c r="T507">
        <v>0.3</v>
      </c>
      <c r="U507">
        <v>-5.28</v>
      </c>
    </row>
    <row r="508" spans="1:21" x14ac:dyDescent="0.3">
      <c r="A508">
        <v>507</v>
      </c>
      <c r="B508" t="s">
        <v>527</v>
      </c>
      <c r="C508" s="2">
        <v>45708</v>
      </c>
      <c r="D508" s="2">
        <v>45712</v>
      </c>
      <c r="E508" t="s">
        <v>1521</v>
      </c>
      <c r="F508" t="s">
        <v>1692</v>
      </c>
      <c r="G508" t="s">
        <v>2168</v>
      </c>
      <c r="H508" t="s">
        <v>2315</v>
      </c>
      <c r="I508" t="s">
        <v>2317</v>
      </c>
      <c r="J508" t="s">
        <v>2327</v>
      </c>
      <c r="K508" t="s">
        <v>2327</v>
      </c>
      <c r="L508">
        <v>662345</v>
      </c>
      <c r="M508" t="s">
        <v>2330</v>
      </c>
      <c r="N508" t="s">
        <v>2712</v>
      </c>
      <c r="O508" t="s">
        <v>3054</v>
      </c>
      <c r="P508" t="s">
        <v>3064</v>
      </c>
      <c r="Q508" t="s">
        <v>3226</v>
      </c>
      <c r="R508">
        <v>50.62</v>
      </c>
      <c r="S508">
        <v>4</v>
      </c>
      <c r="T508">
        <v>0.05</v>
      </c>
      <c r="U508">
        <v>-30.8</v>
      </c>
    </row>
    <row r="509" spans="1:21" x14ac:dyDescent="0.3">
      <c r="A509">
        <v>508</v>
      </c>
      <c r="B509" t="s">
        <v>528</v>
      </c>
      <c r="C509" s="2">
        <v>45459</v>
      </c>
      <c r="D509" s="2">
        <v>45462</v>
      </c>
      <c r="E509" t="s">
        <v>1524</v>
      </c>
      <c r="F509" t="s">
        <v>1709</v>
      </c>
      <c r="G509" t="s">
        <v>2202</v>
      </c>
      <c r="H509" t="s">
        <v>2316</v>
      </c>
      <c r="I509" t="s">
        <v>2317</v>
      </c>
      <c r="J509" t="s">
        <v>2318</v>
      </c>
      <c r="K509" t="s">
        <v>2318</v>
      </c>
      <c r="L509">
        <v>823056</v>
      </c>
      <c r="M509" t="s">
        <v>2328</v>
      </c>
      <c r="N509" t="s">
        <v>2548</v>
      </c>
      <c r="O509" t="s">
        <v>3054</v>
      </c>
      <c r="P509" t="s">
        <v>3063</v>
      </c>
      <c r="Q509" t="s">
        <v>3472</v>
      </c>
      <c r="R509">
        <v>167.9</v>
      </c>
      <c r="S509">
        <v>2</v>
      </c>
      <c r="T509">
        <v>0.05</v>
      </c>
      <c r="U509">
        <v>9.68</v>
      </c>
    </row>
    <row r="510" spans="1:21" x14ac:dyDescent="0.3">
      <c r="A510">
        <v>509</v>
      </c>
      <c r="B510" t="s">
        <v>529</v>
      </c>
      <c r="C510" s="2">
        <v>45334</v>
      </c>
      <c r="D510" s="2">
        <v>45335</v>
      </c>
      <c r="E510" t="s">
        <v>1523</v>
      </c>
      <c r="F510" t="s">
        <v>1717</v>
      </c>
      <c r="G510" t="s">
        <v>2203</v>
      </c>
      <c r="H510" t="s">
        <v>2315</v>
      </c>
      <c r="I510" t="s">
        <v>2317</v>
      </c>
      <c r="J510" t="s">
        <v>2319</v>
      </c>
      <c r="K510" t="s">
        <v>2319</v>
      </c>
      <c r="L510">
        <v>600812</v>
      </c>
      <c r="M510" t="s">
        <v>2329</v>
      </c>
      <c r="N510" t="s">
        <v>2694</v>
      </c>
      <c r="O510" t="s">
        <v>3053</v>
      </c>
      <c r="P510" t="s">
        <v>3056</v>
      </c>
      <c r="Q510" t="s">
        <v>3473</v>
      </c>
      <c r="R510">
        <v>256.51</v>
      </c>
      <c r="S510">
        <v>7</v>
      </c>
      <c r="T510">
        <v>0.1</v>
      </c>
      <c r="U510">
        <v>-9.3699999999999992</v>
      </c>
    </row>
    <row r="511" spans="1:21" x14ac:dyDescent="0.3">
      <c r="A511">
        <v>510</v>
      </c>
      <c r="B511" t="s">
        <v>530</v>
      </c>
      <c r="C511" s="2">
        <v>45847</v>
      </c>
      <c r="D511" s="2">
        <v>45848</v>
      </c>
      <c r="E511" t="s">
        <v>1523</v>
      </c>
      <c r="F511" t="s">
        <v>1814</v>
      </c>
      <c r="G511" t="s">
        <v>2204</v>
      </c>
      <c r="H511" t="s">
        <v>2315</v>
      </c>
      <c r="I511" t="s">
        <v>2317</v>
      </c>
      <c r="J511" t="s">
        <v>2319</v>
      </c>
      <c r="K511" t="s">
        <v>2319</v>
      </c>
      <c r="L511">
        <v>664596</v>
      </c>
      <c r="M511" t="s">
        <v>2329</v>
      </c>
      <c r="N511" t="s">
        <v>2412</v>
      </c>
      <c r="O511" t="s">
        <v>3055</v>
      </c>
      <c r="P511" t="s">
        <v>3067</v>
      </c>
      <c r="Q511" t="s">
        <v>3474</v>
      </c>
      <c r="R511">
        <v>809.88</v>
      </c>
      <c r="S511">
        <v>9</v>
      </c>
      <c r="T511">
        <v>0.15</v>
      </c>
      <c r="U511">
        <v>97.67</v>
      </c>
    </row>
    <row r="512" spans="1:21" x14ac:dyDescent="0.3">
      <c r="A512">
        <v>511</v>
      </c>
      <c r="B512" t="s">
        <v>531</v>
      </c>
      <c r="C512" s="2">
        <v>45576</v>
      </c>
      <c r="D512" s="2">
        <v>45578</v>
      </c>
      <c r="E512" t="s">
        <v>1522</v>
      </c>
      <c r="F512" t="s">
        <v>1672</v>
      </c>
      <c r="G512" t="s">
        <v>2048</v>
      </c>
      <c r="H512" t="s">
        <v>2316</v>
      </c>
      <c r="I512" t="s">
        <v>2317</v>
      </c>
      <c r="J512" t="s">
        <v>2319</v>
      </c>
      <c r="K512" t="s">
        <v>2319</v>
      </c>
      <c r="L512">
        <v>738119</v>
      </c>
      <c r="M512" t="s">
        <v>2329</v>
      </c>
      <c r="N512" t="s">
        <v>2713</v>
      </c>
      <c r="O512" t="s">
        <v>3053</v>
      </c>
      <c r="P512" t="s">
        <v>3065</v>
      </c>
      <c r="Q512" t="s">
        <v>3376</v>
      </c>
      <c r="R512">
        <v>327.52</v>
      </c>
      <c r="S512">
        <v>3</v>
      </c>
      <c r="T512">
        <v>0.15</v>
      </c>
      <c r="U512">
        <v>55.87</v>
      </c>
    </row>
    <row r="513" spans="1:21" x14ac:dyDescent="0.3">
      <c r="A513">
        <v>512</v>
      </c>
      <c r="B513" t="s">
        <v>532</v>
      </c>
      <c r="C513" s="2">
        <v>45688</v>
      </c>
      <c r="D513" s="2">
        <v>45691</v>
      </c>
      <c r="E513" t="s">
        <v>1522</v>
      </c>
      <c r="F513" t="s">
        <v>1697</v>
      </c>
      <c r="G513" t="s">
        <v>2205</v>
      </c>
      <c r="H513" t="s">
        <v>2316</v>
      </c>
      <c r="I513" t="s">
        <v>2317</v>
      </c>
      <c r="J513" t="s">
        <v>2327</v>
      </c>
      <c r="K513" t="s">
        <v>2327</v>
      </c>
      <c r="L513">
        <v>918902</v>
      </c>
      <c r="M513" t="s">
        <v>2330</v>
      </c>
      <c r="N513" t="s">
        <v>2714</v>
      </c>
      <c r="O513" t="s">
        <v>3053</v>
      </c>
      <c r="P513" t="s">
        <v>3056</v>
      </c>
      <c r="Q513" t="s">
        <v>3104</v>
      </c>
      <c r="R513">
        <v>377.77</v>
      </c>
      <c r="S513">
        <v>5</v>
      </c>
      <c r="T513">
        <v>0.15</v>
      </c>
      <c r="U513">
        <v>21.59</v>
      </c>
    </row>
    <row r="514" spans="1:21" x14ac:dyDescent="0.3">
      <c r="A514">
        <v>513</v>
      </c>
      <c r="B514" t="s">
        <v>533</v>
      </c>
      <c r="C514" s="2">
        <v>45303</v>
      </c>
      <c r="D514" s="2">
        <v>45307</v>
      </c>
      <c r="E514" t="s">
        <v>1521</v>
      </c>
      <c r="F514" t="s">
        <v>1650</v>
      </c>
      <c r="G514" t="s">
        <v>2206</v>
      </c>
      <c r="H514" t="s">
        <v>2315</v>
      </c>
      <c r="I514" t="s">
        <v>2317</v>
      </c>
      <c r="J514" t="s">
        <v>2324</v>
      </c>
      <c r="K514" t="s">
        <v>2324</v>
      </c>
      <c r="L514">
        <v>357506</v>
      </c>
      <c r="M514" t="s">
        <v>2330</v>
      </c>
      <c r="N514" t="s">
        <v>2715</v>
      </c>
      <c r="O514" t="s">
        <v>3054</v>
      </c>
      <c r="P514" t="s">
        <v>3057</v>
      </c>
      <c r="Q514" t="s">
        <v>3475</v>
      </c>
      <c r="R514">
        <v>121.5</v>
      </c>
      <c r="S514">
        <v>9</v>
      </c>
      <c r="T514">
        <v>0</v>
      </c>
      <c r="U514">
        <v>28.05</v>
      </c>
    </row>
    <row r="515" spans="1:21" x14ac:dyDescent="0.3">
      <c r="A515">
        <v>514</v>
      </c>
      <c r="B515" t="s">
        <v>534</v>
      </c>
      <c r="C515" s="2">
        <v>45898</v>
      </c>
      <c r="D515" s="2">
        <v>45901</v>
      </c>
      <c r="E515" t="s">
        <v>1522</v>
      </c>
      <c r="F515" t="s">
        <v>1641</v>
      </c>
      <c r="G515" t="s">
        <v>2150</v>
      </c>
      <c r="H515" t="s">
        <v>2315</v>
      </c>
      <c r="I515" t="s">
        <v>2317</v>
      </c>
      <c r="J515" t="s">
        <v>2323</v>
      </c>
      <c r="K515" t="s">
        <v>2323</v>
      </c>
      <c r="L515">
        <v>811741</v>
      </c>
      <c r="M515" t="s">
        <v>2328</v>
      </c>
      <c r="N515" t="s">
        <v>2716</v>
      </c>
      <c r="O515" t="s">
        <v>3053</v>
      </c>
      <c r="P515" t="s">
        <v>3062</v>
      </c>
      <c r="Q515" t="s">
        <v>3476</v>
      </c>
      <c r="R515">
        <v>213.81</v>
      </c>
      <c r="S515">
        <v>3</v>
      </c>
      <c r="T515">
        <v>0.1</v>
      </c>
      <c r="U515">
        <v>38.950000000000003</v>
      </c>
    </row>
    <row r="516" spans="1:21" x14ac:dyDescent="0.3">
      <c r="A516">
        <v>515</v>
      </c>
      <c r="B516" t="s">
        <v>535</v>
      </c>
      <c r="C516" s="2">
        <v>45593</v>
      </c>
      <c r="D516" s="2">
        <v>45596</v>
      </c>
      <c r="E516" t="s">
        <v>1522</v>
      </c>
      <c r="F516" t="s">
        <v>1775</v>
      </c>
      <c r="G516" t="s">
        <v>2049</v>
      </c>
      <c r="H516" t="s">
        <v>2316</v>
      </c>
      <c r="I516" t="s">
        <v>2317</v>
      </c>
      <c r="J516" t="s">
        <v>2327</v>
      </c>
      <c r="K516" t="s">
        <v>2327</v>
      </c>
      <c r="L516">
        <v>207157</v>
      </c>
      <c r="M516" t="s">
        <v>2330</v>
      </c>
      <c r="N516" t="s">
        <v>2542</v>
      </c>
      <c r="O516" t="s">
        <v>3054</v>
      </c>
      <c r="P516" t="s">
        <v>3064</v>
      </c>
      <c r="Q516" t="s">
        <v>3340</v>
      </c>
      <c r="R516">
        <v>44.46</v>
      </c>
      <c r="S516">
        <v>4</v>
      </c>
      <c r="T516">
        <v>0.2</v>
      </c>
      <c r="U516">
        <v>38.01</v>
      </c>
    </row>
    <row r="517" spans="1:21" x14ac:dyDescent="0.3">
      <c r="A517">
        <v>516</v>
      </c>
      <c r="B517" t="s">
        <v>536</v>
      </c>
      <c r="C517" s="2">
        <v>45544</v>
      </c>
      <c r="D517" s="2">
        <v>45547</v>
      </c>
      <c r="E517" t="s">
        <v>1521</v>
      </c>
      <c r="F517" t="s">
        <v>1731</v>
      </c>
      <c r="G517" t="s">
        <v>2206</v>
      </c>
      <c r="H517" t="s">
        <v>2315</v>
      </c>
      <c r="I517" t="s">
        <v>2317</v>
      </c>
      <c r="J517" t="s">
        <v>2321</v>
      </c>
      <c r="K517" t="s">
        <v>2321</v>
      </c>
      <c r="L517">
        <v>677569</v>
      </c>
      <c r="M517" t="s">
        <v>2329</v>
      </c>
      <c r="N517" t="s">
        <v>2717</v>
      </c>
      <c r="O517" t="s">
        <v>3054</v>
      </c>
      <c r="P517" t="s">
        <v>3057</v>
      </c>
      <c r="Q517" t="s">
        <v>3475</v>
      </c>
      <c r="R517">
        <v>24.24</v>
      </c>
      <c r="S517">
        <v>8</v>
      </c>
      <c r="T517">
        <v>0.1</v>
      </c>
      <c r="U517">
        <v>-39.9</v>
      </c>
    </row>
    <row r="518" spans="1:21" x14ac:dyDescent="0.3">
      <c r="A518">
        <v>517</v>
      </c>
      <c r="B518" t="s">
        <v>537</v>
      </c>
      <c r="C518" s="2">
        <v>45790</v>
      </c>
      <c r="D518" s="2">
        <v>45792</v>
      </c>
      <c r="E518" t="s">
        <v>1524</v>
      </c>
      <c r="F518" t="s">
        <v>1815</v>
      </c>
      <c r="G518" t="s">
        <v>2207</v>
      </c>
      <c r="H518" t="s">
        <v>2316</v>
      </c>
      <c r="I518" t="s">
        <v>2317</v>
      </c>
      <c r="J518" t="s">
        <v>2323</v>
      </c>
      <c r="K518" t="s">
        <v>2323</v>
      </c>
      <c r="L518">
        <v>295543</v>
      </c>
      <c r="M518" t="s">
        <v>2328</v>
      </c>
      <c r="N518" t="s">
        <v>2718</v>
      </c>
      <c r="O518" t="s">
        <v>3055</v>
      </c>
      <c r="P518" t="s">
        <v>3067</v>
      </c>
      <c r="Q518" t="s">
        <v>3281</v>
      </c>
      <c r="R518">
        <v>490.96</v>
      </c>
      <c r="S518">
        <v>7</v>
      </c>
      <c r="T518">
        <v>0.2</v>
      </c>
      <c r="U518">
        <v>20.36</v>
      </c>
    </row>
    <row r="519" spans="1:21" x14ac:dyDescent="0.3">
      <c r="A519">
        <v>518</v>
      </c>
      <c r="B519" t="s">
        <v>538</v>
      </c>
      <c r="C519" s="2">
        <v>45326</v>
      </c>
      <c r="D519" s="2">
        <v>45327</v>
      </c>
      <c r="E519" t="s">
        <v>1522</v>
      </c>
      <c r="F519" t="s">
        <v>1816</v>
      </c>
      <c r="G519" t="s">
        <v>2208</v>
      </c>
      <c r="H519" t="s">
        <v>2314</v>
      </c>
      <c r="I519" t="s">
        <v>2317</v>
      </c>
      <c r="J519" t="s">
        <v>2326</v>
      </c>
      <c r="K519" t="s">
        <v>2326</v>
      </c>
      <c r="L519">
        <v>626748</v>
      </c>
      <c r="M519" t="s">
        <v>2331</v>
      </c>
      <c r="N519" t="s">
        <v>2719</v>
      </c>
      <c r="O519" t="s">
        <v>3054</v>
      </c>
      <c r="P519" t="s">
        <v>3063</v>
      </c>
      <c r="Q519" t="s">
        <v>3238</v>
      </c>
      <c r="R519">
        <v>27.34</v>
      </c>
      <c r="S519">
        <v>8</v>
      </c>
      <c r="T519">
        <v>0.15</v>
      </c>
      <c r="U519">
        <v>-3.31</v>
      </c>
    </row>
    <row r="520" spans="1:21" x14ac:dyDescent="0.3">
      <c r="A520">
        <v>519</v>
      </c>
      <c r="B520" t="s">
        <v>539</v>
      </c>
      <c r="C520" s="2">
        <v>46018</v>
      </c>
      <c r="D520" s="2">
        <v>46022</v>
      </c>
      <c r="E520" t="s">
        <v>1524</v>
      </c>
      <c r="F520" t="s">
        <v>1650</v>
      </c>
      <c r="G520" t="s">
        <v>2209</v>
      </c>
      <c r="H520" t="s">
        <v>2316</v>
      </c>
      <c r="I520" t="s">
        <v>2317</v>
      </c>
      <c r="J520" t="s">
        <v>2318</v>
      </c>
      <c r="K520" t="s">
        <v>2318</v>
      </c>
      <c r="L520">
        <v>440822</v>
      </c>
      <c r="M520" t="s">
        <v>2328</v>
      </c>
      <c r="N520" t="s">
        <v>2720</v>
      </c>
      <c r="O520" t="s">
        <v>3053</v>
      </c>
      <c r="P520" t="s">
        <v>3056</v>
      </c>
      <c r="Q520" t="s">
        <v>3477</v>
      </c>
      <c r="R520">
        <v>534.74</v>
      </c>
      <c r="S520">
        <v>3</v>
      </c>
      <c r="T520">
        <v>0.2</v>
      </c>
      <c r="U520">
        <v>-18.440000000000001</v>
      </c>
    </row>
    <row r="521" spans="1:21" x14ac:dyDescent="0.3">
      <c r="A521">
        <v>520</v>
      </c>
      <c r="B521" t="s">
        <v>540</v>
      </c>
      <c r="C521" s="2">
        <v>45381</v>
      </c>
      <c r="D521" s="2">
        <v>45384</v>
      </c>
      <c r="E521" t="s">
        <v>1521</v>
      </c>
      <c r="F521" t="s">
        <v>1817</v>
      </c>
      <c r="G521" t="s">
        <v>1981</v>
      </c>
      <c r="H521" t="s">
        <v>2314</v>
      </c>
      <c r="I521" t="s">
        <v>2317</v>
      </c>
      <c r="J521" t="s">
        <v>2327</v>
      </c>
      <c r="K521" t="s">
        <v>2327</v>
      </c>
      <c r="L521">
        <v>521396</v>
      </c>
      <c r="M521" t="s">
        <v>2330</v>
      </c>
      <c r="N521" t="s">
        <v>2527</v>
      </c>
      <c r="O521" t="s">
        <v>3053</v>
      </c>
      <c r="P521" t="s">
        <v>3065</v>
      </c>
      <c r="Q521" t="s">
        <v>3478</v>
      </c>
      <c r="R521">
        <v>171.86</v>
      </c>
      <c r="S521">
        <v>2</v>
      </c>
      <c r="T521">
        <v>0.2</v>
      </c>
      <c r="U521">
        <v>39.96</v>
      </c>
    </row>
    <row r="522" spans="1:21" x14ac:dyDescent="0.3">
      <c r="A522">
        <v>521</v>
      </c>
      <c r="B522" t="s">
        <v>541</v>
      </c>
      <c r="C522" s="2">
        <v>45896</v>
      </c>
      <c r="D522" s="2">
        <v>45899</v>
      </c>
      <c r="E522" t="s">
        <v>1522</v>
      </c>
      <c r="F522" t="s">
        <v>1560</v>
      </c>
      <c r="G522" t="s">
        <v>2125</v>
      </c>
      <c r="H522" t="s">
        <v>2314</v>
      </c>
      <c r="I522" t="s">
        <v>2317</v>
      </c>
      <c r="J522" t="s">
        <v>2320</v>
      </c>
      <c r="K522" t="s">
        <v>2320</v>
      </c>
      <c r="L522">
        <v>686901</v>
      </c>
      <c r="M522" t="s">
        <v>2330</v>
      </c>
      <c r="N522" t="s">
        <v>2429</v>
      </c>
      <c r="O522" t="s">
        <v>3054</v>
      </c>
      <c r="P522" t="s">
        <v>3057</v>
      </c>
      <c r="Q522" t="s">
        <v>3479</v>
      </c>
      <c r="R522">
        <v>150.81</v>
      </c>
      <c r="S522">
        <v>6</v>
      </c>
      <c r="T522">
        <v>0.05</v>
      </c>
      <c r="U522">
        <v>29.61</v>
      </c>
    </row>
    <row r="523" spans="1:21" x14ac:dyDescent="0.3">
      <c r="A523">
        <v>522</v>
      </c>
      <c r="B523" t="s">
        <v>542</v>
      </c>
      <c r="C523" s="2">
        <v>45893</v>
      </c>
      <c r="D523" s="2">
        <v>45895</v>
      </c>
      <c r="E523" t="s">
        <v>1521</v>
      </c>
      <c r="F523" t="s">
        <v>1653</v>
      </c>
      <c r="G523" t="s">
        <v>2044</v>
      </c>
      <c r="H523" t="s">
        <v>2316</v>
      </c>
      <c r="I523" t="s">
        <v>2317</v>
      </c>
      <c r="J523" t="s">
        <v>2323</v>
      </c>
      <c r="K523" t="s">
        <v>2323</v>
      </c>
      <c r="L523">
        <v>891877</v>
      </c>
      <c r="M523" t="s">
        <v>2328</v>
      </c>
      <c r="N523" t="s">
        <v>2513</v>
      </c>
      <c r="O523" t="s">
        <v>3055</v>
      </c>
      <c r="P523" t="s">
        <v>3067</v>
      </c>
      <c r="Q523" t="s">
        <v>3480</v>
      </c>
      <c r="R523">
        <v>231.13</v>
      </c>
      <c r="S523">
        <v>6</v>
      </c>
      <c r="T523">
        <v>0.2</v>
      </c>
      <c r="U523">
        <v>38.08</v>
      </c>
    </row>
    <row r="524" spans="1:21" x14ac:dyDescent="0.3">
      <c r="A524">
        <v>523</v>
      </c>
      <c r="B524" t="s">
        <v>543</v>
      </c>
      <c r="C524" s="2">
        <v>45709</v>
      </c>
      <c r="D524" s="2">
        <v>45711</v>
      </c>
      <c r="E524" t="s">
        <v>1523</v>
      </c>
      <c r="F524" t="s">
        <v>1618</v>
      </c>
      <c r="G524" t="s">
        <v>2130</v>
      </c>
      <c r="H524" t="s">
        <v>2314</v>
      </c>
      <c r="I524" t="s">
        <v>2317</v>
      </c>
      <c r="J524" t="s">
        <v>2321</v>
      </c>
      <c r="K524" t="s">
        <v>2321</v>
      </c>
      <c r="L524">
        <v>508506</v>
      </c>
      <c r="M524" t="s">
        <v>2329</v>
      </c>
      <c r="N524" t="s">
        <v>2635</v>
      </c>
      <c r="O524" t="s">
        <v>3054</v>
      </c>
      <c r="P524" t="s">
        <v>3058</v>
      </c>
      <c r="Q524" t="s">
        <v>3481</v>
      </c>
      <c r="R524">
        <v>408.26</v>
      </c>
      <c r="S524">
        <v>2</v>
      </c>
      <c r="T524">
        <v>0.15</v>
      </c>
      <c r="U524">
        <v>83.3</v>
      </c>
    </row>
    <row r="525" spans="1:21" x14ac:dyDescent="0.3">
      <c r="A525">
        <v>524</v>
      </c>
      <c r="B525" t="s">
        <v>544</v>
      </c>
      <c r="C525" s="2">
        <v>45406</v>
      </c>
      <c r="D525" s="2">
        <v>45412</v>
      </c>
      <c r="E525" t="s">
        <v>1521</v>
      </c>
      <c r="F525" t="s">
        <v>1818</v>
      </c>
      <c r="G525" t="s">
        <v>2210</v>
      </c>
      <c r="H525" t="s">
        <v>2315</v>
      </c>
      <c r="I525" t="s">
        <v>2317</v>
      </c>
      <c r="J525" t="s">
        <v>2326</v>
      </c>
      <c r="K525" t="s">
        <v>2326</v>
      </c>
      <c r="L525">
        <v>236559</v>
      </c>
      <c r="M525" t="s">
        <v>2331</v>
      </c>
      <c r="N525" t="s">
        <v>2668</v>
      </c>
      <c r="O525" t="s">
        <v>3053</v>
      </c>
      <c r="P525" t="s">
        <v>3066</v>
      </c>
      <c r="Q525" t="s">
        <v>3482</v>
      </c>
      <c r="R525">
        <v>91.24</v>
      </c>
      <c r="S525">
        <v>2</v>
      </c>
      <c r="T525">
        <v>0.3</v>
      </c>
      <c r="U525">
        <v>-53.18</v>
      </c>
    </row>
    <row r="526" spans="1:21" x14ac:dyDescent="0.3">
      <c r="A526">
        <v>525</v>
      </c>
      <c r="B526" t="s">
        <v>545</v>
      </c>
      <c r="C526" s="2">
        <v>45908</v>
      </c>
      <c r="D526" s="2">
        <v>45912</v>
      </c>
      <c r="E526" t="s">
        <v>1522</v>
      </c>
      <c r="F526" t="s">
        <v>1607</v>
      </c>
      <c r="G526" t="s">
        <v>2025</v>
      </c>
      <c r="H526" t="s">
        <v>2314</v>
      </c>
      <c r="I526" t="s">
        <v>2317</v>
      </c>
      <c r="J526" t="s">
        <v>2324</v>
      </c>
      <c r="K526" t="s">
        <v>2324</v>
      </c>
      <c r="L526">
        <v>732049</v>
      </c>
      <c r="M526" t="s">
        <v>2330</v>
      </c>
      <c r="N526" t="s">
        <v>2703</v>
      </c>
      <c r="O526" t="s">
        <v>3053</v>
      </c>
      <c r="P526" t="s">
        <v>3066</v>
      </c>
      <c r="Q526" t="s">
        <v>3483</v>
      </c>
      <c r="R526">
        <v>241.2</v>
      </c>
      <c r="S526">
        <v>7</v>
      </c>
      <c r="T526">
        <v>0.1</v>
      </c>
      <c r="U526">
        <v>55.1</v>
      </c>
    </row>
    <row r="527" spans="1:21" x14ac:dyDescent="0.3">
      <c r="A527">
        <v>526</v>
      </c>
      <c r="B527" t="s">
        <v>546</v>
      </c>
      <c r="C527" s="2">
        <v>45487</v>
      </c>
      <c r="D527" s="2">
        <v>45488</v>
      </c>
      <c r="E527" t="s">
        <v>1522</v>
      </c>
      <c r="F527" t="s">
        <v>1653</v>
      </c>
      <c r="G527" t="s">
        <v>2211</v>
      </c>
      <c r="H527" t="s">
        <v>2314</v>
      </c>
      <c r="I527" t="s">
        <v>2317</v>
      </c>
      <c r="J527" t="s">
        <v>2320</v>
      </c>
      <c r="K527" t="s">
        <v>2320</v>
      </c>
      <c r="L527">
        <v>927367</v>
      </c>
      <c r="M527" t="s">
        <v>2330</v>
      </c>
      <c r="N527" t="s">
        <v>2360</v>
      </c>
      <c r="O527" t="s">
        <v>3054</v>
      </c>
      <c r="P527" t="s">
        <v>3058</v>
      </c>
      <c r="Q527" t="s">
        <v>3293</v>
      </c>
      <c r="R527">
        <v>82.92</v>
      </c>
      <c r="S527">
        <v>2</v>
      </c>
      <c r="T527">
        <v>0.15</v>
      </c>
      <c r="U527">
        <v>25.9</v>
      </c>
    </row>
    <row r="528" spans="1:21" x14ac:dyDescent="0.3">
      <c r="A528">
        <v>527</v>
      </c>
      <c r="B528" t="s">
        <v>547</v>
      </c>
      <c r="C528" s="2">
        <v>45792</v>
      </c>
      <c r="D528" s="2">
        <v>45795</v>
      </c>
      <c r="E528" t="s">
        <v>1521</v>
      </c>
      <c r="F528" t="s">
        <v>1594</v>
      </c>
      <c r="G528" t="s">
        <v>2149</v>
      </c>
      <c r="H528" t="s">
        <v>2316</v>
      </c>
      <c r="I528" t="s">
        <v>2317</v>
      </c>
      <c r="J528" t="s">
        <v>2323</v>
      </c>
      <c r="K528" t="s">
        <v>2323</v>
      </c>
      <c r="L528">
        <v>509579</v>
      </c>
      <c r="M528" t="s">
        <v>2328</v>
      </c>
      <c r="N528" t="s">
        <v>2454</v>
      </c>
      <c r="O528" t="s">
        <v>3053</v>
      </c>
      <c r="P528" t="s">
        <v>3065</v>
      </c>
      <c r="Q528" t="s">
        <v>3447</v>
      </c>
      <c r="R528">
        <v>451.69</v>
      </c>
      <c r="S528">
        <v>5</v>
      </c>
      <c r="T528">
        <v>0.15</v>
      </c>
      <c r="U528">
        <v>-44.44</v>
      </c>
    </row>
    <row r="529" spans="1:21" x14ac:dyDescent="0.3">
      <c r="A529">
        <v>528</v>
      </c>
      <c r="B529" t="s">
        <v>548</v>
      </c>
      <c r="C529" s="2">
        <v>45917</v>
      </c>
      <c r="D529" s="2">
        <v>45919</v>
      </c>
      <c r="E529" t="s">
        <v>1521</v>
      </c>
      <c r="F529" t="s">
        <v>1819</v>
      </c>
      <c r="G529" t="s">
        <v>1954</v>
      </c>
      <c r="H529" t="s">
        <v>2316</v>
      </c>
      <c r="I529" t="s">
        <v>2317</v>
      </c>
      <c r="J529" t="s">
        <v>2318</v>
      </c>
      <c r="K529" t="s">
        <v>2318</v>
      </c>
      <c r="L529">
        <v>318811</v>
      </c>
      <c r="M529" t="s">
        <v>2328</v>
      </c>
      <c r="N529" t="s">
        <v>2721</v>
      </c>
      <c r="O529" t="s">
        <v>3055</v>
      </c>
      <c r="P529" t="s">
        <v>3061</v>
      </c>
      <c r="Q529" t="s">
        <v>3080</v>
      </c>
      <c r="R529">
        <v>170.57</v>
      </c>
      <c r="S529">
        <v>5</v>
      </c>
      <c r="T529">
        <v>0.15</v>
      </c>
      <c r="U529">
        <v>-6.11</v>
      </c>
    </row>
    <row r="530" spans="1:21" x14ac:dyDescent="0.3">
      <c r="A530">
        <v>529</v>
      </c>
      <c r="B530" t="s">
        <v>549</v>
      </c>
      <c r="C530" s="2">
        <v>45784</v>
      </c>
      <c r="D530" s="2">
        <v>45786</v>
      </c>
      <c r="E530" t="s">
        <v>1521</v>
      </c>
      <c r="F530" t="s">
        <v>1820</v>
      </c>
      <c r="G530" t="s">
        <v>2075</v>
      </c>
      <c r="H530" t="s">
        <v>2315</v>
      </c>
      <c r="I530" t="s">
        <v>2317</v>
      </c>
      <c r="J530" t="s">
        <v>2320</v>
      </c>
      <c r="K530" t="s">
        <v>2320</v>
      </c>
      <c r="L530">
        <v>839818</v>
      </c>
      <c r="M530" t="s">
        <v>2330</v>
      </c>
      <c r="N530" t="s">
        <v>2412</v>
      </c>
      <c r="O530" t="s">
        <v>3053</v>
      </c>
      <c r="P530" t="s">
        <v>3056</v>
      </c>
      <c r="Q530" t="s">
        <v>3484</v>
      </c>
      <c r="R530">
        <v>55.95</v>
      </c>
      <c r="S530">
        <v>1</v>
      </c>
      <c r="T530">
        <v>0.05</v>
      </c>
      <c r="U530">
        <v>16.75</v>
      </c>
    </row>
    <row r="531" spans="1:21" x14ac:dyDescent="0.3">
      <c r="A531">
        <v>530</v>
      </c>
      <c r="B531" t="s">
        <v>550</v>
      </c>
      <c r="C531" s="2">
        <v>45366</v>
      </c>
      <c r="D531" s="2">
        <v>45367</v>
      </c>
      <c r="E531" t="s">
        <v>1522</v>
      </c>
      <c r="F531" t="s">
        <v>1563</v>
      </c>
      <c r="G531" t="s">
        <v>2143</v>
      </c>
      <c r="H531" t="s">
        <v>2315</v>
      </c>
      <c r="I531" t="s">
        <v>2317</v>
      </c>
      <c r="J531" t="s">
        <v>2326</v>
      </c>
      <c r="K531" t="s">
        <v>2326</v>
      </c>
      <c r="L531">
        <v>280889</v>
      </c>
      <c r="M531" t="s">
        <v>2331</v>
      </c>
      <c r="N531" t="s">
        <v>2504</v>
      </c>
      <c r="O531" t="s">
        <v>3054</v>
      </c>
      <c r="P531" t="s">
        <v>3058</v>
      </c>
      <c r="Q531" t="s">
        <v>3485</v>
      </c>
      <c r="R531">
        <v>126.01</v>
      </c>
      <c r="S531">
        <v>5</v>
      </c>
      <c r="T531">
        <v>0.15</v>
      </c>
      <c r="U531">
        <v>-3.44</v>
      </c>
    </row>
    <row r="532" spans="1:21" x14ac:dyDescent="0.3">
      <c r="A532">
        <v>531</v>
      </c>
      <c r="B532" t="s">
        <v>551</v>
      </c>
      <c r="C532" s="2">
        <v>45704</v>
      </c>
      <c r="D532" s="2">
        <v>45709</v>
      </c>
      <c r="E532" t="s">
        <v>1522</v>
      </c>
      <c r="F532" t="s">
        <v>1655</v>
      </c>
      <c r="G532" t="s">
        <v>1967</v>
      </c>
      <c r="H532" t="s">
        <v>2314</v>
      </c>
      <c r="I532" t="s">
        <v>2317</v>
      </c>
      <c r="J532" t="s">
        <v>2320</v>
      </c>
      <c r="K532" t="s">
        <v>2320</v>
      </c>
      <c r="L532">
        <v>189779</v>
      </c>
      <c r="M532" t="s">
        <v>2330</v>
      </c>
      <c r="N532" t="s">
        <v>2578</v>
      </c>
      <c r="O532" t="s">
        <v>3055</v>
      </c>
      <c r="P532" t="s">
        <v>3059</v>
      </c>
      <c r="Q532" t="s">
        <v>3486</v>
      </c>
      <c r="R532">
        <v>656.63</v>
      </c>
      <c r="S532">
        <v>9</v>
      </c>
      <c r="T532">
        <v>0</v>
      </c>
      <c r="U532">
        <v>128.46</v>
      </c>
    </row>
    <row r="533" spans="1:21" x14ac:dyDescent="0.3">
      <c r="A533">
        <v>532</v>
      </c>
      <c r="B533" t="s">
        <v>552</v>
      </c>
      <c r="C533" s="2">
        <v>45667</v>
      </c>
      <c r="D533" s="2">
        <v>45670</v>
      </c>
      <c r="E533" t="s">
        <v>1522</v>
      </c>
      <c r="F533" t="s">
        <v>1796</v>
      </c>
      <c r="G533" t="s">
        <v>2212</v>
      </c>
      <c r="H533" t="s">
        <v>2314</v>
      </c>
      <c r="I533" t="s">
        <v>2317</v>
      </c>
      <c r="J533" t="s">
        <v>2322</v>
      </c>
      <c r="K533" t="s">
        <v>2322</v>
      </c>
      <c r="L533">
        <v>383590</v>
      </c>
      <c r="M533" t="s">
        <v>2331</v>
      </c>
      <c r="N533" t="s">
        <v>2472</v>
      </c>
      <c r="O533" t="s">
        <v>3055</v>
      </c>
      <c r="P533" t="s">
        <v>3060</v>
      </c>
      <c r="Q533" t="s">
        <v>3487</v>
      </c>
      <c r="R533">
        <v>410.35</v>
      </c>
      <c r="S533">
        <v>6</v>
      </c>
      <c r="T533">
        <v>0.4</v>
      </c>
      <c r="U533">
        <v>-35.04</v>
      </c>
    </row>
    <row r="534" spans="1:21" x14ac:dyDescent="0.3">
      <c r="A534">
        <v>533</v>
      </c>
      <c r="B534" t="s">
        <v>553</v>
      </c>
      <c r="C534" s="2">
        <v>45711</v>
      </c>
      <c r="D534" s="2">
        <v>45716</v>
      </c>
      <c r="E534" t="s">
        <v>1524</v>
      </c>
      <c r="F534" t="s">
        <v>1770</v>
      </c>
      <c r="G534" t="s">
        <v>2071</v>
      </c>
      <c r="H534" t="s">
        <v>2316</v>
      </c>
      <c r="I534" t="s">
        <v>2317</v>
      </c>
      <c r="J534" t="s">
        <v>2325</v>
      </c>
      <c r="K534" t="s">
        <v>2325</v>
      </c>
      <c r="L534">
        <v>286272</v>
      </c>
      <c r="M534" t="s">
        <v>2332</v>
      </c>
      <c r="N534" t="s">
        <v>2713</v>
      </c>
      <c r="O534" t="s">
        <v>3055</v>
      </c>
      <c r="P534" t="s">
        <v>3067</v>
      </c>
      <c r="Q534" t="s">
        <v>3488</v>
      </c>
      <c r="R534">
        <v>166.46</v>
      </c>
      <c r="S534">
        <v>3</v>
      </c>
      <c r="T534">
        <v>0.2</v>
      </c>
      <c r="U534">
        <v>0.24</v>
      </c>
    </row>
    <row r="535" spans="1:21" x14ac:dyDescent="0.3">
      <c r="A535">
        <v>534</v>
      </c>
      <c r="B535" t="s">
        <v>554</v>
      </c>
      <c r="C535" s="2">
        <v>46020</v>
      </c>
      <c r="D535" s="2">
        <v>46022</v>
      </c>
      <c r="E535" t="s">
        <v>1521</v>
      </c>
      <c r="F535" t="s">
        <v>1746</v>
      </c>
      <c r="G535" t="s">
        <v>2150</v>
      </c>
      <c r="H535" t="s">
        <v>2316</v>
      </c>
      <c r="I535" t="s">
        <v>2317</v>
      </c>
      <c r="J535" t="s">
        <v>2324</v>
      </c>
      <c r="K535" t="s">
        <v>2324</v>
      </c>
      <c r="L535">
        <v>635244</v>
      </c>
      <c r="M535" t="s">
        <v>2330</v>
      </c>
      <c r="N535" t="s">
        <v>2708</v>
      </c>
      <c r="O535" t="s">
        <v>3055</v>
      </c>
      <c r="P535" t="s">
        <v>3061</v>
      </c>
      <c r="Q535" t="s">
        <v>3420</v>
      </c>
      <c r="R535">
        <v>617.71</v>
      </c>
      <c r="S535">
        <v>6</v>
      </c>
      <c r="T535">
        <v>0.3</v>
      </c>
      <c r="U535">
        <v>-1.1299999999999999</v>
      </c>
    </row>
    <row r="536" spans="1:21" x14ac:dyDescent="0.3">
      <c r="A536">
        <v>535</v>
      </c>
      <c r="B536" t="s">
        <v>555</v>
      </c>
      <c r="C536" s="2">
        <v>45568</v>
      </c>
      <c r="D536" s="2">
        <v>45570</v>
      </c>
      <c r="E536" t="s">
        <v>1522</v>
      </c>
      <c r="F536" t="s">
        <v>1704</v>
      </c>
      <c r="G536" t="s">
        <v>2102</v>
      </c>
      <c r="H536" t="s">
        <v>2314</v>
      </c>
      <c r="I536" t="s">
        <v>2317</v>
      </c>
      <c r="J536" t="s">
        <v>2326</v>
      </c>
      <c r="K536" t="s">
        <v>2326</v>
      </c>
      <c r="L536">
        <v>694003</v>
      </c>
      <c r="M536" t="s">
        <v>2331</v>
      </c>
      <c r="N536" t="s">
        <v>2722</v>
      </c>
      <c r="O536" t="s">
        <v>3054</v>
      </c>
      <c r="P536" t="s">
        <v>3064</v>
      </c>
      <c r="Q536" t="s">
        <v>3297</v>
      </c>
      <c r="R536">
        <v>806.88</v>
      </c>
      <c r="S536">
        <v>3</v>
      </c>
      <c r="T536">
        <v>0.15</v>
      </c>
      <c r="U536">
        <v>84.85</v>
      </c>
    </row>
    <row r="537" spans="1:21" x14ac:dyDescent="0.3">
      <c r="A537">
        <v>536</v>
      </c>
      <c r="B537" t="s">
        <v>556</v>
      </c>
      <c r="C537" s="2">
        <v>45967</v>
      </c>
      <c r="D537" s="2">
        <v>45969</v>
      </c>
      <c r="E537" t="s">
        <v>1523</v>
      </c>
      <c r="F537" t="s">
        <v>1798</v>
      </c>
      <c r="G537" t="s">
        <v>2213</v>
      </c>
      <c r="H537" t="s">
        <v>2315</v>
      </c>
      <c r="I537" t="s">
        <v>2317</v>
      </c>
      <c r="J537" t="s">
        <v>2320</v>
      </c>
      <c r="K537" t="s">
        <v>2320</v>
      </c>
      <c r="L537">
        <v>855724</v>
      </c>
      <c r="M537" t="s">
        <v>2330</v>
      </c>
      <c r="N537" t="s">
        <v>2723</v>
      </c>
      <c r="O537" t="s">
        <v>3054</v>
      </c>
      <c r="P537" t="s">
        <v>3063</v>
      </c>
      <c r="Q537" t="s">
        <v>3154</v>
      </c>
      <c r="R537">
        <v>48.34</v>
      </c>
      <c r="S537">
        <v>3</v>
      </c>
      <c r="T537">
        <v>0</v>
      </c>
      <c r="U537">
        <v>42.9</v>
      </c>
    </row>
    <row r="538" spans="1:21" x14ac:dyDescent="0.3">
      <c r="A538">
        <v>537</v>
      </c>
      <c r="B538" t="s">
        <v>557</v>
      </c>
      <c r="C538" s="2">
        <v>45685</v>
      </c>
      <c r="D538" s="2">
        <v>45687</v>
      </c>
      <c r="E538" t="s">
        <v>1522</v>
      </c>
      <c r="F538" t="s">
        <v>1611</v>
      </c>
      <c r="G538" t="s">
        <v>2029</v>
      </c>
      <c r="H538" t="s">
        <v>2316</v>
      </c>
      <c r="I538" t="s">
        <v>2317</v>
      </c>
      <c r="J538" t="s">
        <v>2325</v>
      </c>
      <c r="K538" t="s">
        <v>2325</v>
      </c>
      <c r="L538">
        <v>484346</v>
      </c>
      <c r="M538" t="s">
        <v>2332</v>
      </c>
      <c r="N538" t="s">
        <v>2724</v>
      </c>
      <c r="O538" t="s">
        <v>3053</v>
      </c>
      <c r="P538" t="s">
        <v>3062</v>
      </c>
      <c r="Q538" t="s">
        <v>3168</v>
      </c>
      <c r="R538">
        <v>170.05</v>
      </c>
      <c r="S538">
        <v>6</v>
      </c>
      <c r="T538">
        <v>0.15</v>
      </c>
      <c r="U538">
        <v>-8.91</v>
      </c>
    </row>
    <row r="539" spans="1:21" x14ac:dyDescent="0.3">
      <c r="A539">
        <v>538</v>
      </c>
      <c r="B539" t="s">
        <v>558</v>
      </c>
      <c r="C539" s="2">
        <v>45748</v>
      </c>
      <c r="D539" s="2">
        <v>45750</v>
      </c>
      <c r="E539" t="s">
        <v>1523</v>
      </c>
      <c r="F539" t="s">
        <v>1821</v>
      </c>
      <c r="G539" t="s">
        <v>2111</v>
      </c>
      <c r="H539" t="s">
        <v>2314</v>
      </c>
      <c r="I539" t="s">
        <v>2317</v>
      </c>
      <c r="J539" t="s">
        <v>2325</v>
      </c>
      <c r="K539" t="s">
        <v>2325</v>
      </c>
      <c r="L539">
        <v>959864</v>
      </c>
      <c r="M539" t="s">
        <v>2332</v>
      </c>
      <c r="N539" t="s">
        <v>2335</v>
      </c>
      <c r="O539" t="s">
        <v>3054</v>
      </c>
      <c r="P539" t="s">
        <v>3063</v>
      </c>
      <c r="Q539" t="s">
        <v>3136</v>
      </c>
      <c r="R539">
        <v>46.81</v>
      </c>
      <c r="S539">
        <v>7</v>
      </c>
      <c r="T539">
        <v>0.2</v>
      </c>
      <c r="U539">
        <v>-23.19</v>
      </c>
    </row>
    <row r="540" spans="1:21" x14ac:dyDescent="0.3">
      <c r="A540">
        <v>539</v>
      </c>
      <c r="B540" t="s">
        <v>559</v>
      </c>
      <c r="C540" s="2">
        <v>45483</v>
      </c>
      <c r="D540" s="2">
        <v>45487</v>
      </c>
      <c r="E540" t="s">
        <v>1523</v>
      </c>
      <c r="F540" t="s">
        <v>1691</v>
      </c>
      <c r="G540" t="s">
        <v>2066</v>
      </c>
      <c r="H540" t="s">
        <v>2315</v>
      </c>
      <c r="I540" t="s">
        <v>2317</v>
      </c>
      <c r="J540" t="s">
        <v>2320</v>
      </c>
      <c r="K540" t="s">
        <v>2320</v>
      </c>
      <c r="L540">
        <v>597165</v>
      </c>
      <c r="M540" t="s">
        <v>2330</v>
      </c>
      <c r="N540" t="s">
        <v>2725</v>
      </c>
      <c r="O540" t="s">
        <v>3053</v>
      </c>
      <c r="P540" t="s">
        <v>3065</v>
      </c>
      <c r="Q540" t="s">
        <v>3489</v>
      </c>
      <c r="R540">
        <v>114.8</v>
      </c>
      <c r="S540">
        <v>3</v>
      </c>
      <c r="T540">
        <v>0.2</v>
      </c>
      <c r="U540">
        <v>-13.17</v>
      </c>
    </row>
    <row r="541" spans="1:21" x14ac:dyDescent="0.3">
      <c r="A541">
        <v>540</v>
      </c>
      <c r="B541" t="s">
        <v>560</v>
      </c>
      <c r="C541" s="2">
        <v>45980</v>
      </c>
      <c r="D541" s="2">
        <v>45984</v>
      </c>
      <c r="E541" t="s">
        <v>1523</v>
      </c>
      <c r="F541" t="s">
        <v>1822</v>
      </c>
      <c r="G541" t="s">
        <v>2072</v>
      </c>
      <c r="H541" t="s">
        <v>2316</v>
      </c>
      <c r="I541" t="s">
        <v>2317</v>
      </c>
      <c r="J541" t="s">
        <v>2318</v>
      </c>
      <c r="K541" t="s">
        <v>2318</v>
      </c>
      <c r="L541">
        <v>249102</v>
      </c>
      <c r="M541" t="s">
        <v>2328</v>
      </c>
      <c r="N541" t="s">
        <v>2726</v>
      </c>
      <c r="O541" t="s">
        <v>3054</v>
      </c>
      <c r="P541" t="s">
        <v>3063</v>
      </c>
      <c r="Q541" t="s">
        <v>3099</v>
      </c>
      <c r="R541">
        <v>48.4</v>
      </c>
      <c r="S541">
        <v>5</v>
      </c>
      <c r="T541">
        <v>0</v>
      </c>
      <c r="U541">
        <v>26.87</v>
      </c>
    </row>
    <row r="542" spans="1:21" x14ac:dyDescent="0.3">
      <c r="A542">
        <v>541</v>
      </c>
      <c r="B542" t="s">
        <v>561</v>
      </c>
      <c r="C542" s="2">
        <v>45390</v>
      </c>
      <c r="D542" s="2">
        <v>45394</v>
      </c>
      <c r="E542" t="s">
        <v>1523</v>
      </c>
      <c r="F542" t="s">
        <v>1700</v>
      </c>
      <c r="G542" t="s">
        <v>2056</v>
      </c>
      <c r="H542" t="s">
        <v>2315</v>
      </c>
      <c r="I542" t="s">
        <v>2317</v>
      </c>
      <c r="J542" t="s">
        <v>2322</v>
      </c>
      <c r="K542" t="s">
        <v>2322</v>
      </c>
      <c r="L542">
        <v>189342</v>
      </c>
      <c r="M542" t="s">
        <v>2331</v>
      </c>
      <c r="N542" t="s">
        <v>2434</v>
      </c>
      <c r="O542" t="s">
        <v>3054</v>
      </c>
      <c r="P542" t="s">
        <v>3057</v>
      </c>
      <c r="Q542" t="s">
        <v>3287</v>
      </c>
      <c r="R542">
        <v>84.69</v>
      </c>
      <c r="S542">
        <v>4</v>
      </c>
      <c r="T542">
        <v>0</v>
      </c>
      <c r="U542">
        <v>19.63</v>
      </c>
    </row>
    <row r="543" spans="1:21" x14ac:dyDescent="0.3">
      <c r="A543">
        <v>542</v>
      </c>
      <c r="B543" t="s">
        <v>562</v>
      </c>
      <c r="C543" s="2">
        <v>45839</v>
      </c>
      <c r="D543" s="2">
        <v>45842</v>
      </c>
      <c r="E543" t="s">
        <v>1521</v>
      </c>
      <c r="F543" t="s">
        <v>1537</v>
      </c>
      <c r="G543" t="s">
        <v>2214</v>
      </c>
      <c r="H543" t="s">
        <v>2316</v>
      </c>
      <c r="I543" t="s">
        <v>2317</v>
      </c>
      <c r="J543" t="s">
        <v>2327</v>
      </c>
      <c r="K543" t="s">
        <v>2327</v>
      </c>
      <c r="L543">
        <v>879680</v>
      </c>
      <c r="M543" t="s">
        <v>2330</v>
      </c>
      <c r="N543" t="s">
        <v>2344</v>
      </c>
      <c r="O543" t="s">
        <v>3053</v>
      </c>
      <c r="P543" t="s">
        <v>3056</v>
      </c>
      <c r="Q543" t="s">
        <v>3170</v>
      </c>
      <c r="R543">
        <v>79.790000000000006</v>
      </c>
      <c r="S543">
        <v>2</v>
      </c>
      <c r="T543">
        <v>0.2</v>
      </c>
      <c r="U543">
        <v>52.05</v>
      </c>
    </row>
    <row r="544" spans="1:21" x14ac:dyDescent="0.3">
      <c r="A544">
        <v>543</v>
      </c>
      <c r="B544" t="s">
        <v>563</v>
      </c>
      <c r="C544" s="2">
        <v>45387</v>
      </c>
      <c r="D544" s="2">
        <v>45390</v>
      </c>
      <c r="E544" t="s">
        <v>1523</v>
      </c>
      <c r="F544" t="s">
        <v>1772</v>
      </c>
      <c r="G544" t="s">
        <v>2194</v>
      </c>
      <c r="H544" t="s">
        <v>2315</v>
      </c>
      <c r="I544" t="s">
        <v>2317</v>
      </c>
      <c r="J544" t="s">
        <v>2322</v>
      </c>
      <c r="K544" t="s">
        <v>2322</v>
      </c>
      <c r="L544">
        <v>638207</v>
      </c>
      <c r="M544" t="s">
        <v>2331</v>
      </c>
      <c r="N544" t="s">
        <v>2570</v>
      </c>
      <c r="O544" t="s">
        <v>3054</v>
      </c>
      <c r="P544" t="s">
        <v>3058</v>
      </c>
      <c r="Q544" t="s">
        <v>3490</v>
      </c>
      <c r="R544">
        <v>78.010000000000005</v>
      </c>
      <c r="S544">
        <v>8</v>
      </c>
      <c r="T544">
        <v>0.3</v>
      </c>
      <c r="U544">
        <v>40.92</v>
      </c>
    </row>
    <row r="545" spans="1:21" x14ac:dyDescent="0.3">
      <c r="A545">
        <v>544</v>
      </c>
      <c r="B545" t="s">
        <v>564</v>
      </c>
      <c r="C545" s="2">
        <v>45955</v>
      </c>
      <c r="D545" s="2">
        <v>45960</v>
      </c>
      <c r="E545" t="s">
        <v>1522</v>
      </c>
      <c r="F545" t="s">
        <v>1823</v>
      </c>
      <c r="G545" t="s">
        <v>2215</v>
      </c>
      <c r="H545" t="s">
        <v>2315</v>
      </c>
      <c r="I545" t="s">
        <v>2317</v>
      </c>
      <c r="J545" t="s">
        <v>2320</v>
      </c>
      <c r="K545" t="s">
        <v>2320</v>
      </c>
      <c r="L545">
        <v>127738</v>
      </c>
      <c r="M545" t="s">
        <v>2330</v>
      </c>
      <c r="N545" t="s">
        <v>2451</v>
      </c>
      <c r="O545" t="s">
        <v>3054</v>
      </c>
      <c r="P545" t="s">
        <v>3057</v>
      </c>
      <c r="Q545" t="s">
        <v>3231</v>
      </c>
      <c r="R545">
        <v>71.55</v>
      </c>
      <c r="S545">
        <v>4</v>
      </c>
      <c r="T545">
        <v>0.2</v>
      </c>
      <c r="U545">
        <v>67.819999999999993</v>
      </c>
    </row>
    <row r="546" spans="1:21" x14ac:dyDescent="0.3">
      <c r="A546">
        <v>545</v>
      </c>
      <c r="B546" t="s">
        <v>565</v>
      </c>
      <c r="C546" s="2">
        <v>45954</v>
      </c>
      <c r="D546" s="2">
        <v>45958</v>
      </c>
      <c r="E546" t="s">
        <v>1524</v>
      </c>
      <c r="F546" t="s">
        <v>1775</v>
      </c>
      <c r="G546" t="s">
        <v>2216</v>
      </c>
      <c r="H546" t="s">
        <v>2315</v>
      </c>
      <c r="I546" t="s">
        <v>2317</v>
      </c>
      <c r="J546" t="s">
        <v>2324</v>
      </c>
      <c r="K546" t="s">
        <v>2324</v>
      </c>
      <c r="L546">
        <v>546439</v>
      </c>
      <c r="M546" t="s">
        <v>2330</v>
      </c>
      <c r="N546" t="s">
        <v>2596</v>
      </c>
      <c r="O546" t="s">
        <v>3053</v>
      </c>
      <c r="P546" t="s">
        <v>3056</v>
      </c>
      <c r="Q546" t="s">
        <v>3491</v>
      </c>
      <c r="R546">
        <v>95.85</v>
      </c>
      <c r="S546">
        <v>5</v>
      </c>
      <c r="T546">
        <v>0.4</v>
      </c>
      <c r="U546">
        <v>-17.71</v>
      </c>
    </row>
    <row r="547" spans="1:21" x14ac:dyDescent="0.3">
      <c r="A547">
        <v>546</v>
      </c>
      <c r="B547" t="s">
        <v>566</v>
      </c>
      <c r="C547" s="2">
        <v>45481</v>
      </c>
      <c r="D547" s="2">
        <v>45483</v>
      </c>
      <c r="E547" t="s">
        <v>1523</v>
      </c>
      <c r="F547" t="s">
        <v>1737</v>
      </c>
      <c r="G547" t="s">
        <v>2086</v>
      </c>
      <c r="H547" t="s">
        <v>2315</v>
      </c>
      <c r="I547" t="s">
        <v>2317</v>
      </c>
      <c r="J547" t="s">
        <v>2327</v>
      </c>
      <c r="K547" t="s">
        <v>2327</v>
      </c>
      <c r="L547">
        <v>983781</v>
      </c>
      <c r="M547" t="s">
        <v>2330</v>
      </c>
      <c r="N547" t="s">
        <v>2727</v>
      </c>
      <c r="O547" t="s">
        <v>3055</v>
      </c>
      <c r="P547" t="s">
        <v>3067</v>
      </c>
      <c r="Q547" t="s">
        <v>3492</v>
      </c>
      <c r="R547">
        <v>1076.1099999999999</v>
      </c>
      <c r="S547">
        <v>1</v>
      </c>
      <c r="T547">
        <v>0.1</v>
      </c>
      <c r="U547">
        <v>101.26</v>
      </c>
    </row>
    <row r="548" spans="1:21" x14ac:dyDescent="0.3">
      <c r="A548">
        <v>547</v>
      </c>
      <c r="B548" t="s">
        <v>567</v>
      </c>
      <c r="C548" s="2">
        <v>45328</v>
      </c>
      <c r="D548" s="2">
        <v>45329</v>
      </c>
      <c r="E548" t="s">
        <v>1524</v>
      </c>
      <c r="F548" t="s">
        <v>1824</v>
      </c>
      <c r="G548" t="s">
        <v>1957</v>
      </c>
      <c r="H548" t="s">
        <v>2316</v>
      </c>
      <c r="I548" t="s">
        <v>2317</v>
      </c>
      <c r="J548" t="s">
        <v>2326</v>
      </c>
      <c r="K548" t="s">
        <v>2326</v>
      </c>
      <c r="L548">
        <v>420692</v>
      </c>
      <c r="M548" t="s">
        <v>2331</v>
      </c>
      <c r="N548" t="s">
        <v>2522</v>
      </c>
      <c r="O548" t="s">
        <v>3053</v>
      </c>
      <c r="P548" t="s">
        <v>3066</v>
      </c>
      <c r="Q548" t="s">
        <v>3493</v>
      </c>
      <c r="R548">
        <v>481.52</v>
      </c>
      <c r="S548">
        <v>8</v>
      </c>
      <c r="T548">
        <v>0.2</v>
      </c>
      <c r="U548">
        <v>3.64</v>
      </c>
    </row>
    <row r="549" spans="1:21" x14ac:dyDescent="0.3">
      <c r="A549">
        <v>548</v>
      </c>
      <c r="B549" t="s">
        <v>568</v>
      </c>
      <c r="C549" s="2">
        <v>45660</v>
      </c>
      <c r="D549" s="2">
        <v>45664</v>
      </c>
      <c r="E549" t="s">
        <v>1523</v>
      </c>
      <c r="F549" t="s">
        <v>1544</v>
      </c>
      <c r="G549" t="s">
        <v>2217</v>
      </c>
      <c r="H549" t="s">
        <v>2315</v>
      </c>
      <c r="I549" t="s">
        <v>2317</v>
      </c>
      <c r="J549" t="s">
        <v>2322</v>
      </c>
      <c r="K549" t="s">
        <v>2322</v>
      </c>
      <c r="L549">
        <v>520615</v>
      </c>
      <c r="M549" t="s">
        <v>2331</v>
      </c>
      <c r="N549" t="s">
        <v>2728</v>
      </c>
      <c r="O549" t="s">
        <v>3054</v>
      </c>
      <c r="P549" t="s">
        <v>3058</v>
      </c>
      <c r="Q549" t="s">
        <v>3200</v>
      </c>
      <c r="R549">
        <v>68.05</v>
      </c>
      <c r="S549">
        <v>8</v>
      </c>
      <c r="T549">
        <v>0</v>
      </c>
      <c r="U549">
        <v>20.100000000000001</v>
      </c>
    </row>
    <row r="550" spans="1:21" x14ac:dyDescent="0.3">
      <c r="A550">
        <v>549</v>
      </c>
      <c r="B550" t="s">
        <v>569</v>
      </c>
      <c r="C550" s="2">
        <v>45986</v>
      </c>
      <c r="D550" s="2">
        <v>45988</v>
      </c>
      <c r="E550" t="s">
        <v>1524</v>
      </c>
      <c r="F550" t="s">
        <v>1825</v>
      </c>
      <c r="G550" t="s">
        <v>2021</v>
      </c>
      <c r="H550" t="s">
        <v>2315</v>
      </c>
      <c r="I550" t="s">
        <v>2317</v>
      </c>
      <c r="J550" t="s">
        <v>2320</v>
      </c>
      <c r="K550" t="s">
        <v>2320</v>
      </c>
      <c r="L550">
        <v>905428</v>
      </c>
      <c r="M550" t="s">
        <v>2330</v>
      </c>
      <c r="N550" t="s">
        <v>2729</v>
      </c>
      <c r="O550" t="s">
        <v>3054</v>
      </c>
      <c r="P550" t="s">
        <v>3064</v>
      </c>
      <c r="Q550" t="s">
        <v>3295</v>
      </c>
      <c r="R550">
        <v>66.040000000000006</v>
      </c>
      <c r="S550">
        <v>7</v>
      </c>
      <c r="T550">
        <v>0.05</v>
      </c>
      <c r="U550">
        <v>40.24</v>
      </c>
    </row>
    <row r="551" spans="1:21" x14ac:dyDescent="0.3">
      <c r="A551">
        <v>550</v>
      </c>
      <c r="B551" t="s">
        <v>570</v>
      </c>
      <c r="C551" s="2">
        <v>45816</v>
      </c>
      <c r="D551" s="2">
        <v>45821</v>
      </c>
      <c r="E551" t="s">
        <v>1523</v>
      </c>
      <c r="F551" t="s">
        <v>1792</v>
      </c>
      <c r="G551" t="s">
        <v>2064</v>
      </c>
      <c r="H551" t="s">
        <v>2314</v>
      </c>
      <c r="I551" t="s">
        <v>2317</v>
      </c>
      <c r="J551" t="s">
        <v>2322</v>
      </c>
      <c r="K551" t="s">
        <v>2322</v>
      </c>
      <c r="L551">
        <v>609082</v>
      </c>
      <c r="M551" t="s">
        <v>2331</v>
      </c>
      <c r="N551" t="s">
        <v>2616</v>
      </c>
      <c r="O551" t="s">
        <v>3054</v>
      </c>
      <c r="P551" t="s">
        <v>3063</v>
      </c>
      <c r="Q551" t="s">
        <v>3494</v>
      </c>
      <c r="R551">
        <v>135.99</v>
      </c>
      <c r="S551">
        <v>7</v>
      </c>
      <c r="T551">
        <v>0.1</v>
      </c>
      <c r="U551">
        <v>-9.4700000000000006</v>
      </c>
    </row>
    <row r="552" spans="1:21" x14ac:dyDescent="0.3">
      <c r="A552">
        <v>551</v>
      </c>
      <c r="B552" t="s">
        <v>571</v>
      </c>
      <c r="C552" s="2">
        <v>45570</v>
      </c>
      <c r="D552" s="2">
        <v>45572</v>
      </c>
      <c r="E552" t="s">
        <v>1521</v>
      </c>
      <c r="F552" t="s">
        <v>1750</v>
      </c>
      <c r="G552" t="s">
        <v>2120</v>
      </c>
      <c r="H552" t="s">
        <v>2316</v>
      </c>
      <c r="I552" t="s">
        <v>2317</v>
      </c>
      <c r="J552" t="s">
        <v>2327</v>
      </c>
      <c r="K552" t="s">
        <v>2327</v>
      </c>
      <c r="L552">
        <v>978333</v>
      </c>
      <c r="M552" t="s">
        <v>2330</v>
      </c>
      <c r="N552" t="s">
        <v>2701</v>
      </c>
      <c r="O552" t="s">
        <v>3054</v>
      </c>
      <c r="P552" t="s">
        <v>3057</v>
      </c>
      <c r="Q552" t="s">
        <v>3495</v>
      </c>
      <c r="R552">
        <v>158.53</v>
      </c>
      <c r="S552">
        <v>7</v>
      </c>
      <c r="T552">
        <v>0.3</v>
      </c>
      <c r="U552">
        <v>4.8099999999999996</v>
      </c>
    </row>
    <row r="553" spans="1:21" x14ac:dyDescent="0.3">
      <c r="A553">
        <v>552</v>
      </c>
      <c r="B553" t="s">
        <v>572</v>
      </c>
      <c r="C553" s="2">
        <v>45508</v>
      </c>
      <c r="D553" s="2">
        <v>45509</v>
      </c>
      <c r="E553" t="s">
        <v>1522</v>
      </c>
      <c r="F553" t="s">
        <v>1700</v>
      </c>
      <c r="G553" t="s">
        <v>2054</v>
      </c>
      <c r="H553" t="s">
        <v>2314</v>
      </c>
      <c r="I553" t="s">
        <v>2317</v>
      </c>
      <c r="J553" t="s">
        <v>2321</v>
      </c>
      <c r="K553" t="s">
        <v>2321</v>
      </c>
      <c r="L553">
        <v>567119</v>
      </c>
      <c r="M553" t="s">
        <v>2329</v>
      </c>
      <c r="N553" t="s">
        <v>2730</v>
      </c>
      <c r="O553" t="s">
        <v>3054</v>
      </c>
      <c r="P553" t="s">
        <v>3058</v>
      </c>
      <c r="Q553" t="s">
        <v>3496</v>
      </c>
      <c r="R553">
        <v>48.47</v>
      </c>
      <c r="S553">
        <v>9</v>
      </c>
      <c r="T553">
        <v>0</v>
      </c>
      <c r="U553">
        <v>44.58</v>
      </c>
    </row>
    <row r="554" spans="1:21" x14ac:dyDescent="0.3">
      <c r="A554">
        <v>553</v>
      </c>
      <c r="B554" t="s">
        <v>573</v>
      </c>
      <c r="C554" s="2">
        <v>45564</v>
      </c>
      <c r="D554" s="2">
        <v>45567</v>
      </c>
      <c r="E554" t="s">
        <v>1521</v>
      </c>
      <c r="F554" t="s">
        <v>1580</v>
      </c>
      <c r="G554" t="s">
        <v>2218</v>
      </c>
      <c r="H554" t="s">
        <v>2316</v>
      </c>
      <c r="I554" t="s">
        <v>2317</v>
      </c>
      <c r="J554" t="s">
        <v>2323</v>
      </c>
      <c r="K554" t="s">
        <v>2323</v>
      </c>
      <c r="L554">
        <v>937462</v>
      </c>
      <c r="M554" t="s">
        <v>2328</v>
      </c>
      <c r="N554" t="s">
        <v>2731</v>
      </c>
      <c r="O554" t="s">
        <v>3054</v>
      </c>
      <c r="P554" t="s">
        <v>3058</v>
      </c>
      <c r="Q554" t="s">
        <v>3279</v>
      </c>
      <c r="R554">
        <v>24.92</v>
      </c>
      <c r="S554">
        <v>3</v>
      </c>
      <c r="T554">
        <v>0.05</v>
      </c>
      <c r="U554">
        <v>17.29</v>
      </c>
    </row>
    <row r="555" spans="1:21" x14ac:dyDescent="0.3">
      <c r="A555">
        <v>554</v>
      </c>
      <c r="B555" t="s">
        <v>574</v>
      </c>
      <c r="C555" s="2">
        <v>45353</v>
      </c>
      <c r="D555" s="2">
        <v>45356</v>
      </c>
      <c r="E555" t="s">
        <v>1522</v>
      </c>
      <c r="F555" t="s">
        <v>1688</v>
      </c>
      <c r="G555" t="s">
        <v>2014</v>
      </c>
      <c r="H555" t="s">
        <v>2315</v>
      </c>
      <c r="I555" t="s">
        <v>2317</v>
      </c>
      <c r="J555" t="s">
        <v>2322</v>
      </c>
      <c r="K555" t="s">
        <v>2322</v>
      </c>
      <c r="L555">
        <v>100015</v>
      </c>
      <c r="M555" t="s">
        <v>2331</v>
      </c>
      <c r="N555" t="s">
        <v>2525</v>
      </c>
      <c r="O555" t="s">
        <v>3054</v>
      </c>
      <c r="P555" t="s">
        <v>3057</v>
      </c>
      <c r="Q555" t="s">
        <v>3155</v>
      </c>
      <c r="R555">
        <v>170.26</v>
      </c>
      <c r="S555">
        <v>6</v>
      </c>
      <c r="T555">
        <v>0.05</v>
      </c>
      <c r="U555">
        <v>45.52</v>
      </c>
    </row>
    <row r="556" spans="1:21" x14ac:dyDescent="0.3">
      <c r="A556">
        <v>555</v>
      </c>
      <c r="B556" t="s">
        <v>575</v>
      </c>
      <c r="C556" s="2">
        <v>45887</v>
      </c>
      <c r="D556" s="2">
        <v>45890</v>
      </c>
      <c r="E556" t="s">
        <v>1521</v>
      </c>
      <c r="F556" t="s">
        <v>1577</v>
      </c>
      <c r="G556" t="s">
        <v>1950</v>
      </c>
      <c r="H556" t="s">
        <v>2314</v>
      </c>
      <c r="I556" t="s">
        <v>2317</v>
      </c>
      <c r="J556" t="s">
        <v>2326</v>
      </c>
      <c r="K556" t="s">
        <v>2326</v>
      </c>
      <c r="L556">
        <v>498036</v>
      </c>
      <c r="M556" t="s">
        <v>2331</v>
      </c>
      <c r="N556" t="s">
        <v>2666</v>
      </c>
      <c r="O556" t="s">
        <v>3053</v>
      </c>
      <c r="P556" t="s">
        <v>3065</v>
      </c>
      <c r="Q556" t="s">
        <v>3497</v>
      </c>
      <c r="R556">
        <v>233.43</v>
      </c>
      <c r="S556">
        <v>7</v>
      </c>
      <c r="T556">
        <v>0.15</v>
      </c>
      <c r="U556">
        <v>26.12</v>
      </c>
    </row>
    <row r="557" spans="1:21" x14ac:dyDescent="0.3">
      <c r="A557">
        <v>556</v>
      </c>
      <c r="B557" t="s">
        <v>576</v>
      </c>
      <c r="C557" s="2">
        <v>46020</v>
      </c>
      <c r="D557" s="2">
        <v>46023</v>
      </c>
      <c r="E557" t="s">
        <v>1521</v>
      </c>
      <c r="F557" t="s">
        <v>1826</v>
      </c>
      <c r="G557" t="s">
        <v>2140</v>
      </c>
      <c r="H557" t="s">
        <v>2316</v>
      </c>
      <c r="I557" t="s">
        <v>2317</v>
      </c>
      <c r="J557" t="s">
        <v>2326</v>
      </c>
      <c r="K557" t="s">
        <v>2326</v>
      </c>
      <c r="L557">
        <v>757749</v>
      </c>
      <c r="M557" t="s">
        <v>2331</v>
      </c>
      <c r="N557" t="s">
        <v>2563</v>
      </c>
      <c r="O557" t="s">
        <v>3053</v>
      </c>
      <c r="P557" t="s">
        <v>3066</v>
      </c>
      <c r="Q557" t="s">
        <v>3498</v>
      </c>
      <c r="R557">
        <v>275.08999999999997</v>
      </c>
      <c r="S557">
        <v>2</v>
      </c>
      <c r="T557">
        <v>0.1</v>
      </c>
      <c r="U557">
        <v>10.54</v>
      </c>
    </row>
    <row r="558" spans="1:21" x14ac:dyDescent="0.3">
      <c r="A558">
        <v>557</v>
      </c>
      <c r="B558" t="s">
        <v>577</v>
      </c>
      <c r="C558" s="2">
        <v>45633</v>
      </c>
      <c r="D558" s="2">
        <v>45637</v>
      </c>
      <c r="E558" t="s">
        <v>1523</v>
      </c>
      <c r="F558" t="s">
        <v>1634</v>
      </c>
      <c r="G558" t="s">
        <v>2157</v>
      </c>
      <c r="H558" t="s">
        <v>2316</v>
      </c>
      <c r="I558" t="s">
        <v>2317</v>
      </c>
      <c r="J558" t="s">
        <v>2319</v>
      </c>
      <c r="K558" t="s">
        <v>2319</v>
      </c>
      <c r="L558">
        <v>686030</v>
      </c>
      <c r="M558" t="s">
        <v>2329</v>
      </c>
      <c r="N558" t="s">
        <v>2341</v>
      </c>
      <c r="O558" t="s">
        <v>3054</v>
      </c>
      <c r="P558" t="s">
        <v>3063</v>
      </c>
      <c r="Q558" t="s">
        <v>3499</v>
      </c>
      <c r="R558">
        <v>72.8</v>
      </c>
      <c r="S558">
        <v>6</v>
      </c>
      <c r="T558">
        <v>0.1</v>
      </c>
      <c r="U558">
        <v>-20.05</v>
      </c>
    </row>
    <row r="559" spans="1:21" x14ac:dyDescent="0.3">
      <c r="A559">
        <v>558</v>
      </c>
      <c r="B559" t="s">
        <v>578</v>
      </c>
      <c r="C559" s="2">
        <v>45688</v>
      </c>
      <c r="D559" s="2">
        <v>45691</v>
      </c>
      <c r="E559" t="s">
        <v>1521</v>
      </c>
      <c r="F559" t="s">
        <v>1741</v>
      </c>
      <c r="G559" t="s">
        <v>2219</v>
      </c>
      <c r="H559" t="s">
        <v>2316</v>
      </c>
      <c r="I559" t="s">
        <v>2317</v>
      </c>
      <c r="J559" t="s">
        <v>2322</v>
      </c>
      <c r="K559" t="s">
        <v>2322</v>
      </c>
      <c r="L559">
        <v>750299</v>
      </c>
      <c r="M559" t="s">
        <v>2331</v>
      </c>
      <c r="N559" t="s">
        <v>2442</v>
      </c>
      <c r="O559" t="s">
        <v>3055</v>
      </c>
      <c r="P559" t="s">
        <v>3059</v>
      </c>
      <c r="Q559" t="s">
        <v>3266</v>
      </c>
      <c r="R559">
        <v>162.44</v>
      </c>
      <c r="S559">
        <v>2</v>
      </c>
      <c r="T559">
        <v>0.15</v>
      </c>
      <c r="U559">
        <v>-16.2</v>
      </c>
    </row>
    <row r="560" spans="1:21" x14ac:dyDescent="0.3">
      <c r="A560">
        <v>559</v>
      </c>
      <c r="B560" t="s">
        <v>579</v>
      </c>
      <c r="C560" s="2">
        <v>45990</v>
      </c>
      <c r="D560" s="2">
        <v>45993</v>
      </c>
      <c r="E560" t="s">
        <v>1521</v>
      </c>
      <c r="F560" t="s">
        <v>1605</v>
      </c>
      <c r="G560" t="s">
        <v>2220</v>
      </c>
      <c r="H560" t="s">
        <v>2315</v>
      </c>
      <c r="I560" t="s">
        <v>2317</v>
      </c>
      <c r="J560" t="s">
        <v>2323</v>
      </c>
      <c r="K560" t="s">
        <v>2323</v>
      </c>
      <c r="L560">
        <v>131346</v>
      </c>
      <c r="M560" t="s">
        <v>2328</v>
      </c>
      <c r="N560" t="s">
        <v>2732</v>
      </c>
      <c r="O560" t="s">
        <v>3054</v>
      </c>
      <c r="P560" t="s">
        <v>3058</v>
      </c>
      <c r="Q560" t="s">
        <v>3500</v>
      </c>
      <c r="R560">
        <v>92.39</v>
      </c>
      <c r="S560">
        <v>5</v>
      </c>
      <c r="T560">
        <v>0.15</v>
      </c>
      <c r="U560">
        <v>-5.51</v>
      </c>
    </row>
    <row r="561" spans="1:21" x14ac:dyDescent="0.3">
      <c r="A561">
        <v>560</v>
      </c>
      <c r="B561" t="s">
        <v>580</v>
      </c>
      <c r="C561" s="2">
        <v>45310</v>
      </c>
      <c r="D561" s="2">
        <v>45312</v>
      </c>
      <c r="E561" t="s">
        <v>1523</v>
      </c>
      <c r="F561" t="s">
        <v>1537</v>
      </c>
      <c r="G561" t="s">
        <v>2221</v>
      </c>
      <c r="H561" t="s">
        <v>2316</v>
      </c>
      <c r="I561" t="s">
        <v>2317</v>
      </c>
      <c r="J561" t="s">
        <v>2318</v>
      </c>
      <c r="K561" t="s">
        <v>2318</v>
      </c>
      <c r="L561">
        <v>513391</v>
      </c>
      <c r="M561" t="s">
        <v>2328</v>
      </c>
      <c r="N561" t="s">
        <v>2716</v>
      </c>
      <c r="O561" t="s">
        <v>3055</v>
      </c>
      <c r="P561" t="s">
        <v>3060</v>
      </c>
      <c r="Q561" t="s">
        <v>3501</v>
      </c>
      <c r="R561">
        <v>736.35</v>
      </c>
      <c r="S561">
        <v>7</v>
      </c>
      <c r="T561">
        <v>0.05</v>
      </c>
      <c r="U561">
        <v>74.290000000000006</v>
      </c>
    </row>
    <row r="562" spans="1:21" x14ac:dyDescent="0.3">
      <c r="A562">
        <v>561</v>
      </c>
      <c r="B562" t="s">
        <v>581</v>
      </c>
      <c r="C562" s="2">
        <v>45468</v>
      </c>
      <c r="D562" s="2">
        <v>45470</v>
      </c>
      <c r="E562" t="s">
        <v>1522</v>
      </c>
      <c r="F562" t="s">
        <v>1623</v>
      </c>
      <c r="G562" t="s">
        <v>2222</v>
      </c>
      <c r="H562" t="s">
        <v>2315</v>
      </c>
      <c r="I562" t="s">
        <v>2317</v>
      </c>
      <c r="J562" t="s">
        <v>2325</v>
      </c>
      <c r="K562" t="s">
        <v>2325</v>
      </c>
      <c r="L562">
        <v>416782</v>
      </c>
      <c r="M562" t="s">
        <v>2332</v>
      </c>
      <c r="N562" t="s">
        <v>2733</v>
      </c>
      <c r="O562" t="s">
        <v>3053</v>
      </c>
      <c r="P562" t="s">
        <v>3065</v>
      </c>
      <c r="Q562" t="s">
        <v>3302</v>
      </c>
      <c r="R562">
        <v>574.30999999999995</v>
      </c>
      <c r="S562">
        <v>9</v>
      </c>
      <c r="T562">
        <v>0.2</v>
      </c>
      <c r="U562">
        <v>-24.71</v>
      </c>
    </row>
    <row r="563" spans="1:21" x14ac:dyDescent="0.3">
      <c r="A563">
        <v>562</v>
      </c>
      <c r="B563" t="s">
        <v>582</v>
      </c>
      <c r="C563" s="2">
        <v>45903</v>
      </c>
      <c r="D563" s="2">
        <v>45906</v>
      </c>
      <c r="E563" t="s">
        <v>1521</v>
      </c>
      <c r="F563" t="s">
        <v>1528</v>
      </c>
      <c r="G563" t="s">
        <v>2162</v>
      </c>
      <c r="H563" t="s">
        <v>2316</v>
      </c>
      <c r="I563" t="s">
        <v>2317</v>
      </c>
      <c r="J563" t="s">
        <v>2323</v>
      </c>
      <c r="K563" t="s">
        <v>2323</v>
      </c>
      <c r="L563">
        <v>742480</v>
      </c>
      <c r="M563" t="s">
        <v>2328</v>
      </c>
      <c r="N563" t="s">
        <v>2734</v>
      </c>
      <c r="O563" t="s">
        <v>3054</v>
      </c>
      <c r="P563" t="s">
        <v>3063</v>
      </c>
      <c r="Q563" t="s">
        <v>3091</v>
      </c>
      <c r="R563">
        <v>81.180000000000007</v>
      </c>
      <c r="S563">
        <v>5</v>
      </c>
      <c r="T563">
        <v>0</v>
      </c>
      <c r="U563">
        <v>-42.33</v>
      </c>
    </row>
    <row r="564" spans="1:21" x14ac:dyDescent="0.3">
      <c r="A564">
        <v>563</v>
      </c>
      <c r="B564" t="s">
        <v>583</v>
      </c>
      <c r="C564" s="2">
        <v>45687</v>
      </c>
      <c r="D564" s="2">
        <v>45692</v>
      </c>
      <c r="E564" t="s">
        <v>1521</v>
      </c>
      <c r="F564" t="s">
        <v>1827</v>
      </c>
      <c r="G564" t="s">
        <v>2208</v>
      </c>
      <c r="H564" t="s">
        <v>2316</v>
      </c>
      <c r="I564" t="s">
        <v>2317</v>
      </c>
      <c r="J564" t="s">
        <v>2325</v>
      </c>
      <c r="K564" t="s">
        <v>2325</v>
      </c>
      <c r="L564">
        <v>606733</v>
      </c>
      <c r="M564" t="s">
        <v>2332</v>
      </c>
      <c r="N564" t="s">
        <v>2735</v>
      </c>
      <c r="O564" t="s">
        <v>3055</v>
      </c>
      <c r="P564" t="s">
        <v>3061</v>
      </c>
      <c r="Q564" t="s">
        <v>3502</v>
      </c>
      <c r="R564">
        <v>1540.03</v>
      </c>
      <c r="S564">
        <v>7</v>
      </c>
      <c r="T564">
        <v>0</v>
      </c>
      <c r="U564">
        <v>229.02</v>
      </c>
    </row>
    <row r="565" spans="1:21" x14ac:dyDescent="0.3">
      <c r="A565">
        <v>564</v>
      </c>
      <c r="B565" t="s">
        <v>584</v>
      </c>
      <c r="C565" s="2">
        <v>45736</v>
      </c>
      <c r="D565" s="2">
        <v>45741</v>
      </c>
      <c r="E565" t="s">
        <v>1523</v>
      </c>
      <c r="F565" t="s">
        <v>1828</v>
      </c>
      <c r="G565" t="s">
        <v>2166</v>
      </c>
      <c r="H565" t="s">
        <v>2314</v>
      </c>
      <c r="I565" t="s">
        <v>2317</v>
      </c>
      <c r="J565" t="s">
        <v>2325</v>
      </c>
      <c r="K565" t="s">
        <v>2325</v>
      </c>
      <c r="L565">
        <v>134512</v>
      </c>
      <c r="M565" t="s">
        <v>2332</v>
      </c>
      <c r="N565" t="s">
        <v>2504</v>
      </c>
      <c r="O565" t="s">
        <v>3055</v>
      </c>
      <c r="P565" t="s">
        <v>3061</v>
      </c>
      <c r="Q565" t="s">
        <v>3503</v>
      </c>
      <c r="R565">
        <v>372.22</v>
      </c>
      <c r="S565">
        <v>2</v>
      </c>
      <c r="T565">
        <v>0</v>
      </c>
      <c r="U565">
        <v>47.09</v>
      </c>
    </row>
    <row r="566" spans="1:21" x14ac:dyDescent="0.3">
      <c r="A566">
        <v>565</v>
      </c>
      <c r="B566" t="s">
        <v>585</v>
      </c>
      <c r="C566" s="2">
        <v>45524</v>
      </c>
      <c r="D566" s="2">
        <v>45527</v>
      </c>
      <c r="E566" t="s">
        <v>1521</v>
      </c>
      <c r="F566" t="s">
        <v>1688</v>
      </c>
      <c r="G566" t="s">
        <v>2223</v>
      </c>
      <c r="H566" t="s">
        <v>2314</v>
      </c>
      <c r="I566" t="s">
        <v>2317</v>
      </c>
      <c r="J566" t="s">
        <v>2321</v>
      </c>
      <c r="K566" t="s">
        <v>2321</v>
      </c>
      <c r="L566">
        <v>987743</v>
      </c>
      <c r="M566" t="s">
        <v>2329</v>
      </c>
      <c r="N566" t="s">
        <v>2333</v>
      </c>
      <c r="O566" t="s">
        <v>3053</v>
      </c>
      <c r="P566" t="s">
        <v>3062</v>
      </c>
      <c r="Q566" t="s">
        <v>3504</v>
      </c>
      <c r="R566">
        <v>701.01</v>
      </c>
      <c r="S566">
        <v>4</v>
      </c>
      <c r="T566">
        <v>0.15</v>
      </c>
      <c r="U566">
        <v>13.09</v>
      </c>
    </row>
    <row r="567" spans="1:21" x14ac:dyDescent="0.3">
      <c r="A567">
        <v>566</v>
      </c>
      <c r="B567" t="s">
        <v>586</v>
      </c>
      <c r="C567" s="2">
        <v>45367</v>
      </c>
      <c r="D567" s="2">
        <v>45370</v>
      </c>
      <c r="E567" t="s">
        <v>1522</v>
      </c>
      <c r="F567" t="s">
        <v>1814</v>
      </c>
      <c r="G567" t="s">
        <v>2094</v>
      </c>
      <c r="H567" t="s">
        <v>2316</v>
      </c>
      <c r="I567" t="s">
        <v>2317</v>
      </c>
      <c r="J567" t="s">
        <v>2319</v>
      </c>
      <c r="K567" t="s">
        <v>2319</v>
      </c>
      <c r="L567">
        <v>519814</v>
      </c>
      <c r="M567" t="s">
        <v>2329</v>
      </c>
      <c r="N567" t="s">
        <v>2703</v>
      </c>
      <c r="O567" t="s">
        <v>3054</v>
      </c>
      <c r="P567" t="s">
        <v>3064</v>
      </c>
      <c r="Q567" t="s">
        <v>3160</v>
      </c>
      <c r="R567">
        <v>154.84</v>
      </c>
      <c r="S567">
        <v>2</v>
      </c>
      <c r="T567">
        <v>0.1</v>
      </c>
      <c r="U567">
        <v>9.27</v>
      </c>
    </row>
    <row r="568" spans="1:21" x14ac:dyDescent="0.3">
      <c r="A568">
        <v>567</v>
      </c>
      <c r="B568" t="s">
        <v>587</v>
      </c>
      <c r="C568" s="2">
        <v>45556</v>
      </c>
      <c r="D568" s="2">
        <v>45558</v>
      </c>
      <c r="E568" t="s">
        <v>1523</v>
      </c>
      <c r="F568" t="s">
        <v>1829</v>
      </c>
      <c r="G568" t="s">
        <v>2224</v>
      </c>
      <c r="H568" t="s">
        <v>2314</v>
      </c>
      <c r="I568" t="s">
        <v>2317</v>
      </c>
      <c r="J568" t="s">
        <v>2323</v>
      </c>
      <c r="K568" t="s">
        <v>2323</v>
      </c>
      <c r="L568">
        <v>668694</v>
      </c>
      <c r="M568" t="s">
        <v>2328</v>
      </c>
      <c r="N568" t="s">
        <v>2540</v>
      </c>
      <c r="O568" t="s">
        <v>3055</v>
      </c>
      <c r="P568" t="s">
        <v>3060</v>
      </c>
      <c r="Q568" t="s">
        <v>3073</v>
      </c>
      <c r="R568">
        <v>225.08</v>
      </c>
      <c r="S568">
        <v>3</v>
      </c>
      <c r="T568">
        <v>0.2</v>
      </c>
      <c r="U568">
        <v>-12.2</v>
      </c>
    </row>
    <row r="569" spans="1:21" x14ac:dyDescent="0.3">
      <c r="A569">
        <v>568</v>
      </c>
      <c r="B569" t="s">
        <v>588</v>
      </c>
      <c r="C569" s="2">
        <v>45746</v>
      </c>
      <c r="D569" s="2">
        <v>45748</v>
      </c>
      <c r="E569" t="s">
        <v>1521</v>
      </c>
      <c r="F569" t="s">
        <v>1830</v>
      </c>
      <c r="G569" t="s">
        <v>1945</v>
      </c>
      <c r="H569" t="s">
        <v>2316</v>
      </c>
      <c r="I569" t="s">
        <v>2317</v>
      </c>
      <c r="J569" t="s">
        <v>2323</v>
      </c>
      <c r="K569" t="s">
        <v>2323</v>
      </c>
      <c r="L569">
        <v>949760</v>
      </c>
      <c r="M569" t="s">
        <v>2328</v>
      </c>
      <c r="N569" t="s">
        <v>2474</v>
      </c>
      <c r="O569" t="s">
        <v>3054</v>
      </c>
      <c r="P569" t="s">
        <v>3064</v>
      </c>
      <c r="Q569" t="s">
        <v>3505</v>
      </c>
      <c r="R569">
        <v>96.68</v>
      </c>
      <c r="S569">
        <v>8</v>
      </c>
      <c r="T569">
        <v>0.1</v>
      </c>
      <c r="U569">
        <v>-2.27</v>
      </c>
    </row>
    <row r="570" spans="1:21" x14ac:dyDescent="0.3">
      <c r="A570">
        <v>569</v>
      </c>
      <c r="B570" t="s">
        <v>589</v>
      </c>
      <c r="C570" s="2">
        <v>46009</v>
      </c>
      <c r="D570" s="2">
        <v>46012</v>
      </c>
      <c r="E570" t="s">
        <v>1523</v>
      </c>
      <c r="F570" t="s">
        <v>1671</v>
      </c>
      <c r="G570" t="s">
        <v>2206</v>
      </c>
      <c r="H570" t="s">
        <v>2315</v>
      </c>
      <c r="I570" t="s">
        <v>2317</v>
      </c>
      <c r="J570" t="s">
        <v>2321</v>
      </c>
      <c r="K570" t="s">
        <v>2321</v>
      </c>
      <c r="L570">
        <v>908538</v>
      </c>
      <c r="M570" t="s">
        <v>2329</v>
      </c>
      <c r="N570" t="s">
        <v>2736</v>
      </c>
      <c r="O570" t="s">
        <v>3055</v>
      </c>
      <c r="P570" t="s">
        <v>3059</v>
      </c>
      <c r="Q570" t="s">
        <v>3506</v>
      </c>
      <c r="R570">
        <v>438.27</v>
      </c>
      <c r="S570">
        <v>5</v>
      </c>
      <c r="T570">
        <v>0.2</v>
      </c>
      <c r="U570">
        <v>28.4</v>
      </c>
    </row>
    <row r="571" spans="1:21" x14ac:dyDescent="0.3">
      <c r="A571">
        <v>570</v>
      </c>
      <c r="B571" t="s">
        <v>590</v>
      </c>
      <c r="C571" s="2">
        <v>45675</v>
      </c>
      <c r="D571" s="2">
        <v>45677</v>
      </c>
      <c r="E571" t="s">
        <v>1521</v>
      </c>
      <c r="F571" t="s">
        <v>1831</v>
      </c>
      <c r="G571" t="s">
        <v>2204</v>
      </c>
      <c r="H571" t="s">
        <v>2315</v>
      </c>
      <c r="I571" t="s">
        <v>2317</v>
      </c>
      <c r="J571" t="s">
        <v>2322</v>
      </c>
      <c r="K571" t="s">
        <v>2322</v>
      </c>
      <c r="L571">
        <v>441653</v>
      </c>
      <c r="M571" t="s">
        <v>2331</v>
      </c>
      <c r="N571" t="s">
        <v>2737</v>
      </c>
      <c r="O571" t="s">
        <v>3054</v>
      </c>
      <c r="P571" t="s">
        <v>3057</v>
      </c>
      <c r="Q571" t="s">
        <v>3507</v>
      </c>
      <c r="R571">
        <v>187.91</v>
      </c>
      <c r="S571">
        <v>4</v>
      </c>
      <c r="T571">
        <v>0.1</v>
      </c>
      <c r="U571">
        <v>23.1</v>
      </c>
    </row>
    <row r="572" spans="1:21" x14ac:dyDescent="0.3">
      <c r="A572">
        <v>571</v>
      </c>
      <c r="B572" t="s">
        <v>591</v>
      </c>
      <c r="C572" s="2">
        <v>45855</v>
      </c>
      <c r="D572" s="2">
        <v>45858</v>
      </c>
      <c r="E572" t="s">
        <v>1524</v>
      </c>
      <c r="F572" t="s">
        <v>1832</v>
      </c>
      <c r="G572" t="s">
        <v>2225</v>
      </c>
      <c r="H572" t="s">
        <v>2316</v>
      </c>
      <c r="I572" t="s">
        <v>2317</v>
      </c>
      <c r="J572" t="s">
        <v>2322</v>
      </c>
      <c r="K572" t="s">
        <v>2322</v>
      </c>
      <c r="L572">
        <v>517740</v>
      </c>
      <c r="M572" t="s">
        <v>2331</v>
      </c>
      <c r="N572" t="s">
        <v>2738</v>
      </c>
      <c r="O572" t="s">
        <v>3054</v>
      </c>
      <c r="P572" t="s">
        <v>3058</v>
      </c>
      <c r="Q572" t="s">
        <v>3508</v>
      </c>
      <c r="R572">
        <v>52.04</v>
      </c>
      <c r="S572">
        <v>1</v>
      </c>
      <c r="T572">
        <v>0.4</v>
      </c>
      <c r="U572">
        <v>-14.01</v>
      </c>
    </row>
    <row r="573" spans="1:21" x14ac:dyDescent="0.3">
      <c r="A573">
        <v>572</v>
      </c>
      <c r="B573" t="s">
        <v>592</v>
      </c>
      <c r="C573" s="2">
        <v>45797</v>
      </c>
      <c r="D573" s="2">
        <v>45800</v>
      </c>
      <c r="E573" t="s">
        <v>1521</v>
      </c>
      <c r="F573" t="s">
        <v>1738</v>
      </c>
      <c r="G573" t="s">
        <v>2226</v>
      </c>
      <c r="H573" t="s">
        <v>2315</v>
      </c>
      <c r="I573" t="s">
        <v>2317</v>
      </c>
      <c r="J573" t="s">
        <v>2322</v>
      </c>
      <c r="K573" t="s">
        <v>2322</v>
      </c>
      <c r="L573">
        <v>784880</v>
      </c>
      <c r="M573" t="s">
        <v>2331</v>
      </c>
      <c r="N573" t="s">
        <v>2739</v>
      </c>
      <c r="O573" t="s">
        <v>3053</v>
      </c>
      <c r="P573" t="s">
        <v>3056</v>
      </c>
      <c r="Q573" t="s">
        <v>3509</v>
      </c>
      <c r="R573">
        <v>31.27</v>
      </c>
      <c r="S573">
        <v>8</v>
      </c>
      <c r="T573">
        <v>0.2</v>
      </c>
      <c r="U573">
        <v>17.91</v>
      </c>
    </row>
    <row r="574" spans="1:21" x14ac:dyDescent="0.3">
      <c r="A574">
        <v>573</v>
      </c>
      <c r="B574" t="s">
        <v>593</v>
      </c>
      <c r="C574" s="2">
        <v>45658</v>
      </c>
      <c r="D574" s="2">
        <v>45659</v>
      </c>
      <c r="E574" t="s">
        <v>1524</v>
      </c>
      <c r="F574" t="s">
        <v>1753</v>
      </c>
      <c r="G574" t="s">
        <v>2181</v>
      </c>
      <c r="H574" t="s">
        <v>2315</v>
      </c>
      <c r="I574" t="s">
        <v>2317</v>
      </c>
      <c r="J574" t="s">
        <v>2324</v>
      </c>
      <c r="K574" t="s">
        <v>2324</v>
      </c>
      <c r="L574">
        <v>973761</v>
      </c>
      <c r="M574" t="s">
        <v>2330</v>
      </c>
      <c r="N574" t="s">
        <v>2740</v>
      </c>
      <c r="O574" t="s">
        <v>3053</v>
      </c>
      <c r="P574" t="s">
        <v>3056</v>
      </c>
      <c r="Q574" t="s">
        <v>3181</v>
      </c>
      <c r="R574">
        <v>99.98</v>
      </c>
      <c r="S574">
        <v>5</v>
      </c>
      <c r="T574">
        <v>0.1</v>
      </c>
      <c r="U574">
        <v>-12.94</v>
      </c>
    </row>
    <row r="575" spans="1:21" x14ac:dyDescent="0.3">
      <c r="A575">
        <v>574</v>
      </c>
      <c r="B575" t="s">
        <v>594</v>
      </c>
      <c r="C575" s="2">
        <v>45435</v>
      </c>
      <c r="D575" s="2">
        <v>45438</v>
      </c>
      <c r="E575" t="s">
        <v>1524</v>
      </c>
      <c r="F575" t="s">
        <v>1833</v>
      </c>
      <c r="G575" t="s">
        <v>2227</v>
      </c>
      <c r="H575" t="s">
        <v>2316</v>
      </c>
      <c r="I575" t="s">
        <v>2317</v>
      </c>
      <c r="J575" t="s">
        <v>2325</v>
      </c>
      <c r="K575" t="s">
        <v>2325</v>
      </c>
      <c r="L575">
        <v>828993</v>
      </c>
      <c r="M575" t="s">
        <v>2332</v>
      </c>
      <c r="N575" t="s">
        <v>2510</v>
      </c>
      <c r="O575" t="s">
        <v>3053</v>
      </c>
      <c r="P575" t="s">
        <v>3065</v>
      </c>
      <c r="Q575" t="s">
        <v>3510</v>
      </c>
      <c r="R575">
        <v>224.91</v>
      </c>
      <c r="S575">
        <v>2</v>
      </c>
      <c r="T575">
        <v>0.15</v>
      </c>
      <c r="U575">
        <v>5.36</v>
      </c>
    </row>
    <row r="576" spans="1:21" x14ac:dyDescent="0.3">
      <c r="A576">
        <v>575</v>
      </c>
      <c r="B576" t="s">
        <v>595</v>
      </c>
      <c r="C576" s="2">
        <v>45360</v>
      </c>
      <c r="D576" s="2">
        <v>45365</v>
      </c>
      <c r="E576" t="s">
        <v>1522</v>
      </c>
      <c r="F576" t="s">
        <v>1681</v>
      </c>
      <c r="G576" t="s">
        <v>2222</v>
      </c>
      <c r="H576" t="s">
        <v>2314</v>
      </c>
      <c r="I576" t="s">
        <v>2317</v>
      </c>
      <c r="J576" t="s">
        <v>2324</v>
      </c>
      <c r="K576" t="s">
        <v>2324</v>
      </c>
      <c r="L576">
        <v>705069</v>
      </c>
      <c r="M576" t="s">
        <v>2330</v>
      </c>
      <c r="N576" t="s">
        <v>2741</v>
      </c>
      <c r="O576" t="s">
        <v>3054</v>
      </c>
      <c r="P576" t="s">
        <v>3064</v>
      </c>
      <c r="Q576" t="s">
        <v>3511</v>
      </c>
      <c r="R576">
        <v>27.46</v>
      </c>
      <c r="S576">
        <v>6</v>
      </c>
      <c r="T576">
        <v>0.15</v>
      </c>
      <c r="U576">
        <v>-11.62</v>
      </c>
    </row>
    <row r="577" spans="1:21" x14ac:dyDescent="0.3">
      <c r="A577">
        <v>576</v>
      </c>
      <c r="B577" t="s">
        <v>596</v>
      </c>
      <c r="C577" s="2">
        <v>45390</v>
      </c>
      <c r="D577" s="2">
        <v>45392</v>
      </c>
      <c r="E577" t="s">
        <v>1524</v>
      </c>
      <c r="F577" t="s">
        <v>1664</v>
      </c>
      <c r="G577" t="s">
        <v>2013</v>
      </c>
      <c r="H577" t="s">
        <v>2315</v>
      </c>
      <c r="I577" t="s">
        <v>2317</v>
      </c>
      <c r="J577" t="s">
        <v>2319</v>
      </c>
      <c r="K577" t="s">
        <v>2319</v>
      </c>
      <c r="L577">
        <v>900322</v>
      </c>
      <c r="M577" t="s">
        <v>2329</v>
      </c>
      <c r="N577" t="s">
        <v>2493</v>
      </c>
      <c r="O577" t="s">
        <v>3055</v>
      </c>
      <c r="P577" t="s">
        <v>3060</v>
      </c>
      <c r="Q577" t="s">
        <v>3512</v>
      </c>
      <c r="R577">
        <v>172.91</v>
      </c>
      <c r="S577">
        <v>4</v>
      </c>
      <c r="T577">
        <v>0.2</v>
      </c>
      <c r="U577">
        <v>-0.44</v>
      </c>
    </row>
    <row r="578" spans="1:21" x14ac:dyDescent="0.3">
      <c r="A578">
        <v>577</v>
      </c>
      <c r="B578" t="s">
        <v>597</v>
      </c>
      <c r="C578" s="2">
        <v>45687</v>
      </c>
      <c r="D578" s="2">
        <v>45690</v>
      </c>
      <c r="E578" t="s">
        <v>1521</v>
      </c>
      <c r="F578" t="s">
        <v>1651</v>
      </c>
      <c r="G578" t="s">
        <v>2226</v>
      </c>
      <c r="H578" t="s">
        <v>2315</v>
      </c>
      <c r="I578" t="s">
        <v>2317</v>
      </c>
      <c r="J578" t="s">
        <v>2321</v>
      </c>
      <c r="K578" t="s">
        <v>2321</v>
      </c>
      <c r="L578">
        <v>717620</v>
      </c>
      <c r="M578" t="s">
        <v>2329</v>
      </c>
      <c r="N578" t="s">
        <v>2742</v>
      </c>
      <c r="O578" t="s">
        <v>3055</v>
      </c>
      <c r="P578" t="s">
        <v>3059</v>
      </c>
      <c r="Q578" t="s">
        <v>3513</v>
      </c>
      <c r="R578">
        <v>509.15</v>
      </c>
      <c r="S578">
        <v>3</v>
      </c>
      <c r="T578">
        <v>0.05</v>
      </c>
      <c r="U578">
        <v>82.44</v>
      </c>
    </row>
    <row r="579" spans="1:21" x14ac:dyDescent="0.3">
      <c r="A579">
        <v>578</v>
      </c>
      <c r="B579" t="s">
        <v>598</v>
      </c>
      <c r="C579" s="2">
        <v>45316</v>
      </c>
      <c r="D579" s="2">
        <v>45321</v>
      </c>
      <c r="E579" t="s">
        <v>1523</v>
      </c>
      <c r="F579" t="s">
        <v>1834</v>
      </c>
      <c r="G579" t="s">
        <v>1963</v>
      </c>
      <c r="H579" t="s">
        <v>2315</v>
      </c>
      <c r="I579" t="s">
        <v>2317</v>
      </c>
      <c r="J579" t="s">
        <v>2323</v>
      </c>
      <c r="K579" t="s">
        <v>2323</v>
      </c>
      <c r="L579">
        <v>475982</v>
      </c>
      <c r="M579" t="s">
        <v>2328</v>
      </c>
      <c r="N579" t="s">
        <v>2608</v>
      </c>
      <c r="O579" t="s">
        <v>3055</v>
      </c>
      <c r="P579" t="s">
        <v>3060</v>
      </c>
      <c r="Q579" t="s">
        <v>3514</v>
      </c>
      <c r="R579">
        <v>437.97</v>
      </c>
      <c r="S579">
        <v>7</v>
      </c>
      <c r="T579">
        <v>0.15</v>
      </c>
      <c r="U579">
        <v>-15.19</v>
      </c>
    </row>
    <row r="580" spans="1:21" x14ac:dyDescent="0.3">
      <c r="A580">
        <v>579</v>
      </c>
      <c r="B580" t="s">
        <v>599</v>
      </c>
      <c r="C580" s="2">
        <v>45760</v>
      </c>
      <c r="D580" s="2">
        <v>45762</v>
      </c>
      <c r="E580" t="s">
        <v>1524</v>
      </c>
      <c r="F580" t="s">
        <v>1681</v>
      </c>
      <c r="G580" t="s">
        <v>2228</v>
      </c>
      <c r="H580" t="s">
        <v>2315</v>
      </c>
      <c r="I580" t="s">
        <v>2317</v>
      </c>
      <c r="J580" t="s">
        <v>2325</v>
      </c>
      <c r="K580" t="s">
        <v>2325</v>
      </c>
      <c r="L580">
        <v>678032</v>
      </c>
      <c r="M580" t="s">
        <v>2332</v>
      </c>
      <c r="N580" t="s">
        <v>2743</v>
      </c>
      <c r="O580" t="s">
        <v>3053</v>
      </c>
      <c r="P580" t="s">
        <v>3066</v>
      </c>
      <c r="Q580" t="s">
        <v>3515</v>
      </c>
      <c r="R580">
        <v>450.23</v>
      </c>
      <c r="S580">
        <v>7</v>
      </c>
      <c r="T580">
        <v>0.15</v>
      </c>
      <c r="U580">
        <v>24.68</v>
      </c>
    </row>
    <row r="581" spans="1:21" x14ac:dyDescent="0.3">
      <c r="A581">
        <v>580</v>
      </c>
      <c r="B581" t="s">
        <v>600</v>
      </c>
      <c r="C581" s="2">
        <v>45775</v>
      </c>
      <c r="D581" s="2">
        <v>45779</v>
      </c>
      <c r="E581" t="s">
        <v>1522</v>
      </c>
      <c r="F581" t="s">
        <v>1767</v>
      </c>
      <c r="G581" t="s">
        <v>2229</v>
      </c>
      <c r="H581" t="s">
        <v>2315</v>
      </c>
      <c r="I581" t="s">
        <v>2317</v>
      </c>
      <c r="J581" t="s">
        <v>2324</v>
      </c>
      <c r="K581" t="s">
        <v>2324</v>
      </c>
      <c r="L581">
        <v>337230</v>
      </c>
      <c r="M581" t="s">
        <v>2330</v>
      </c>
      <c r="N581" t="s">
        <v>2744</v>
      </c>
      <c r="O581" t="s">
        <v>3055</v>
      </c>
      <c r="P581" t="s">
        <v>3060</v>
      </c>
      <c r="Q581" t="s">
        <v>3516</v>
      </c>
      <c r="R581">
        <v>655.5</v>
      </c>
      <c r="S581">
        <v>1</v>
      </c>
      <c r="T581">
        <v>0.15</v>
      </c>
      <c r="U581">
        <v>68.41</v>
      </c>
    </row>
    <row r="582" spans="1:21" x14ac:dyDescent="0.3">
      <c r="A582">
        <v>581</v>
      </c>
      <c r="B582" t="s">
        <v>601</v>
      </c>
      <c r="C582" s="2">
        <v>45856</v>
      </c>
      <c r="D582" s="2">
        <v>45857</v>
      </c>
      <c r="E582" t="s">
        <v>1521</v>
      </c>
      <c r="F582" t="s">
        <v>1594</v>
      </c>
      <c r="G582" t="s">
        <v>2167</v>
      </c>
      <c r="H582" t="s">
        <v>2316</v>
      </c>
      <c r="I582" t="s">
        <v>2317</v>
      </c>
      <c r="J582" t="s">
        <v>2324</v>
      </c>
      <c r="K582" t="s">
        <v>2324</v>
      </c>
      <c r="L582">
        <v>924322</v>
      </c>
      <c r="M582" t="s">
        <v>2330</v>
      </c>
      <c r="N582" t="s">
        <v>2745</v>
      </c>
      <c r="O582" t="s">
        <v>3054</v>
      </c>
      <c r="P582" t="s">
        <v>3058</v>
      </c>
      <c r="Q582" t="s">
        <v>3517</v>
      </c>
      <c r="R582">
        <v>21.44</v>
      </c>
      <c r="S582">
        <v>7</v>
      </c>
      <c r="T582">
        <v>0.2</v>
      </c>
      <c r="U582">
        <v>-5.33</v>
      </c>
    </row>
    <row r="583" spans="1:21" x14ac:dyDescent="0.3">
      <c r="A583">
        <v>582</v>
      </c>
      <c r="B583" t="s">
        <v>602</v>
      </c>
      <c r="C583" s="2">
        <v>45442</v>
      </c>
      <c r="D583" s="2">
        <v>45446</v>
      </c>
      <c r="E583" t="s">
        <v>1521</v>
      </c>
      <c r="F583" t="s">
        <v>1835</v>
      </c>
      <c r="G583" t="s">
        <v>2230</v>
      </c>
      <c r="H583" t="s">
        <v>2314</v>
      </c>
      <c r="I583" t="s">
        <v>2317</v>
      </c>
      <c r="J583" t="s">
        <v>2320</v>
      </c>
      <c r="K583" t="s">
        <v>2320</v>
      </c>
      <c r="L583">
        <v>125322</v>
      </c>
      <c r="M583" t="s">
        <v>2330</v>
      </c>
      <c r="N583" t="s">
        <v>2746</v>
      </c>
      <c r="O583" t="s">
        <v>3054</v>
      </c>
      <c r="P583" t="s">
        <v>3058</v>
      </c>
      <c r="Q583" t="s">
        <v>3518</v>
      </c>
      <c r="R583">
        <v>97.98</v>
      </c>
      <c r="S583">
        <v>3</v>
      </c>
      <c r="T583">
        <v>0.1</v>
      </c>
      <c r="U583">
        <v>-6.81</v>
      </c>
    </row>
    <row r="584" spans="1:21" x14ac:dyDescent="0.3">
      <c r="A584">
        <v>583</v>
      </c>
      <c r="B584" t="s">
        <v>603</v>
      </c>
      <c r="C584" s="2">
        <v>45435</v>
      </c>
      <c r="D584" s="2">
        <v>45438</v>
      </c>
      <c r="E584" t="s">
        <v>1523</v>
      </c>
      <c r="F584" t="s">
        <v>1585</v>
      </c>
      <c r="G584" t="s">
        <v>2096</v>
      </c>
      <c r="H584" t="s">
        <v>2316</v>
      </c>
      <c r="I584" t="s">
        <v>2317</v>
      </c>
      <c r="J584" t="s">
        <v>2324</v>
      </c>
      <c r="K584" t="s">
        <v>2324</v>
      </c>
      <c r="L584">
        <v>410509</v>
      </c>
      <c r="M584" t="s">
        <v>2330</v>
      </c>
      <c r="N584" t="s">
        <v>2592</v>
      </c>
      <c r="O584" t="s">
        <v>3053</v>
      </c>
      <c r="P584" t="s">
        <v>3062</v>
      </c>
      <c r="Q584" t="s">
        <v>3519</v>
      </c>
      <c r="R584">
        <v>841.84</v>
      </c>
      <c r="S584">
        <v>5</v>
      </c>
      <c r="T584">
        <v>0.3</v>
      </c>
      <c r="U584">
        <v>-44.39</v>
      </c>
    </row>
    <row r="585" spans="1:21" x14ac:dyDescent="0.3">
      <c r="A585">
        <v>584</v>
      </c>
      <c r="B585" t="s">
        <v>604</v>
      </c>
      <c r="C585" s="2">
        <v>45860</v>
      </c>
      <c r="D585" s="2">
        <v>45862</v>
      </c>
      <c r="E585" t="s">
        <v>1521</v>
      </c>
      <c r="F585" t="s">
        <v>1557</v>
      </c>
      <c r="G585" t="s">
        <v>2231</v>
      </c>
      <c r="H585" t="s">
        <v>2316</v>
      </c>
      <c r="I585" t="s">
        <v>2317</v>
      </c>
      <c r="J585" t="s">
        <v>2318</v>
      </c>
      <c r="K585" t="s">
        <v>2318</v>
      </c>
      <c r="L585">
        <v>137170</v>
      </c>
      <c r="M585" t="s">
        <v>2328</v>
      </c>
      <c r="N585" t="s">
        <v>2747</v>
      </c>
      <c r="O585" t="s">
        <v>3053</v>
      </c>
      <c r="P585" t="s">
        <v>3065</v>
      </c>
      <c r="Q585" t="s">
        <v>3302</v>
      </c>
      <c r="R585">
        <v>329.85</v>
      </c>
      <c r="S585">
        <v>2</v>
      </c>
      <c r="T585">
        <v>0.15</v>
      </c>
      <c r="U585">
        <v>-20.69</v>
      </c>
    </row>
    <row r="586" spans="1:21" x14ac:dyDescent="0.3">
      <c r="A586">
        <v>585</v>
      </c>
      <c r="B586" t="s">
        <v>605</v>
      </c>
      <c r="C586" s="2">
        <v>45330</v>
      </c>
      <c r="D586" s="2">
        <v>45334</v>
      </c>
      <c r="E586" t="s">
        <v>1522</v>
      </c>
      <c r="F586" t="s">
        <v>1836</v>
      </c>
      <c r="G586" t="s">
        <v>2002</v>
      </c>
      <c r="H586" t="s">
        <v>2315</v>
      </c>
      <c r="I586" t="s">
        <v>2317</v>
      </c>
      <c r="J586" t="s">
        <v>2323</v>
      </c>
      <c r="K586" t="s">
        <v>2323</v>
      </c>
      <c r="L586">
        <v>740763</v>
      </c>
      <c r="M586" t="s">
        <v>2328</v>
      </c>
      <c r="N586" t="s">
        <v>2748</v>
      </c>
      <c r="O586" t="s">
        <v>3053</v>
      </c>
      <c r="P586" t="s">
        <v>3066</v>
      </c>
      <c r="Q586" t="s">
        <v>3216</v>
      </c>
      <c r="R586">
        <v>404.88</v>
      </c>
      <c r="S586">
        <v>9</v>
      </c>
      <c r="T586">
        <v>0.15</v>
      </c>
      <c r="U586">
        <v>30.11</v>
      </c>
    </row>
    <row r="587" spans="1:21" x14ac:dyDescent="0.3">
      <c r="A587">
        <v>586</v>
      </c>
      <c r="B587" t="s">
        <v>606</v>
      </c>
      <c r="C587" s="2">
        <v>45400</v>
      </c>
      <c r="D587" s="2">
        <v>45404</v>
      </c>
      <c r="E587" t="s">
        <v>1523</v>
      </c>
      <c r="F587" t="s">
        <v>1687</v>
      </c>
      <c r="G587" t="s">
        <v>2156</v>
      </c>
      <c r="H587" t="s">
        <v>2314</v>
      </c>
      <c r="I587" t="s">
        <v>2317</v>
      </c>
      <c r="J587" t="s">
        <v>2318</v>
      </c>
      <c r="K587" t="s">
        <v>2318</v>
      </c>
      <c r="L587">
        <v>617649</v>
      </c>
      <c r="M587" t="s">
        <v>2328</v>
      </c>
      <c r="N587" t="s">
        <v>2749</v>
      </c>
      <c r="O587" t="s">
        <v>3054</v>
      </c>
      <c r="P587" t="s">
        <v>3064</v>
      </c>
      <c r="Q587" t="s">
        <v>3451</v>
      </c>
      <c r="R587">
        <v>73.78</v>
      </c>
      <c r="S587">
        <v>6</v>
      </c>
      <c r="T587">
        <v>0.1</v>
      </c>
      <c r="U587">
        <v>-17.84</v>
      </c>
    </row>
    <row r="588" spans="1:21" x14ac:dyDescent="0.3">
      <c r="A588">
        <v>587</v>
      </c>
      <c r="B588" t="s">
        <v>607</v>
      </c>
      <c r="C588" s="2">
        <v>45984</v>
      </c>
      <c r="D588" s="2">
        <v>45987</v>
      </c>
      <c r="E588" t="s">
        <v>1523</v>
      </c>
      <c r="F588" t="s">
        <v>1651</v>
      </c>
      <c r="G588" t="s">
        <v>2232</v>
      </c>
      <c r="H588" t="s">
        <v>2316</v>
      </c>
      <c r="I588" t="s">
        <v>2317</v>
      </c>
      <c r="J588" t="s">
        <v>2323</v>
      </c>
      <c r="K588" t="s">
        <v>2323</v>
      </c>
      <c r="L588">
        <v>258964</v>
      </c>
      <c r="M588" t="s">
        <v>2328</v>
      </c>
      <c r="N588" t="s">
        <v>2615</v>
      </c>
      <c r="O588" t="s">
        <v>3054</v>
      </c>
      <c r="P588" t="s">
        <v>3058</v>
      </c>
      <c r="Q588" t="s">
        <v>3520</v>
      </c>
      <c r="R588">
        <v>32.46</v>
      </c>
      <c r="S588">
        <v>5</v>
      </c>
      <c r="T588">
        <v>0.2</v>
      </c>
      <c r="U588">
        <v>42.7</v>
      </c>
    </row>
    <row r="589" spans="1:21" x14ac:dyDescent="0.3">
      <c r="A589">
        <v>588</v>
      </c>
      <c r="B589" t="s">
        <v>608</v>
      </c>
      <c r="C589" s="2">
        <v>45333</v>
      </c>
      <c r="D589" s="2">
        <v>45337</v>
      </c>
      <c r="E589" t="s">
        <v>1521</v>
      </c>
      <c r="F589" t="s">
        <v>1804</v>
      </c>
      <c r="G589" t="s">
        <v>1947</v>
      </c>
      <c r="H589" t="s">
        <v>2314</v>
      </c>
      <c r="I589" t="s">
        <v>2317</v>
      </c>
      <c r="J589" t="s">
        <v>2321</v>
      </c>
      <c r="K589" t="s">
        <v>2321</v>
      </c>
      <c r="L589">
        <v>252185</v>
      </c>
      <c r="M589" t="s">
        <v>2329</v>
      </c>
      <c r="N589" t="s">
        <v>2341</v>
      </c>
      <c r="O589" t="s">
        <v>3054</v>
      </c>
      <c r="P589" t="s">
        <v>3064</v>
      </c>
      <c r="Q589" t="s">
        <v>3160</v>
      </c>
      <c r="R589">
        <v>169.6</v>
      </c>
      <c r="S589">
        <v>6</v>
      </c>
      <c r="T589">
        <v>0.3</v>
      </c>
      <c r="U589">
        <v>37.1</v>
      </c>
    </row>
    <row r="590" spans="1:21" x14ac:dyDescent="0.3">
      <c r="A590">
        <v>589</v>
      </c>
      <c r="B590" t="s">
        <v>609</v>
      </c>
      <c r="C590" s="2">
        <v>45477</v>
      </c>
      <c r="D590" s="2">
        <v>45479</v>
      </c>
      <c r="E590" t="s">
        <v>1522</v>
      </c>
      <c r="F590" t="s">
        <v>1606</v>
      </c>
      <c r="G590" t="s">
        <v>1996</v>
      </c>
      <c r="H590" t="s">
        <v>2314</v>
      </c>
      <c r="I590" t="s">
        <v>2317</v>
      </c>
      <c r="J590" t="s">
        <v>2323</v>
      </c>
      <c r="K590" t="s">
        <v>2323</v>
      </c>
      <c r="L590">
        <v>895016</v>
      </c>
      <c r="M590" t="s">
        <v>2328</v>
      </c>
      <c r="N590" t="s">
        <v>2750</v>
      </c>
      <c r="O590" t="s">
        <v>3054</v>
      </c>
      <c r="P590" t="s">
        <v>3063</v>
      </c>
      <c r="Q590" t="s">
        <v>3127</v>
      </c>
      <c r="R590">
        <v>44.4</v>
      </c>
      <c r="S590">
        <v>6</v>
      </c>
      <c r="T590">
        <v>0.4</v>
      </c>
      <c r="U590">
        <v>-22.06</v>
      </c>
    </row>
    <row r="591" spans="1:21" x14ac:dyDescent="0.3">
      <c r="A591">
        <v>590</v>
      </c>
      <c r="B591" t="s">
        <v>610</v>
      </c>
      <c r="C591" s="2">
        <v>45689</v>
      </c>
      <c r="D591" s="2">
        <v>45693</v>
      </c>
      <c r="E591" t="s">
        <v>1524</v>
      </c>
      <c r="F591" t="s">
        <v>1746</v>
      </c>
      <c r="G591" t="s">
        <v>1926</v>
      </c>
      <c r="H591" t="s">
        <v>2315</v>
      </c>
      <c r="I591" t="s">
        <v>2317</v>
      </c>
      <c r="J591" t="s">
        <v>2318</v>
      </c>
      <c r="K591" t="s">
        <v>2318</v>
      </c>
      <c r="L591">
        <v>643344</v>
      </c>
      <c r="M591" t="s">
        <v>2328</v>
      </c>
      <c r="N591" t="s">
        <v>2751</v>
      </c>
      <c r="O591" t="s">
        <v>3055</v>
      </c>
      <c r="P591" t="s">
        <v>3061</v>
      </c>
      <c r="Q591" t="s">
        <v>3319</v>
      </c>
      <c r="R591">
        <v>707.04</v>
      </c>
      <c r="S591">
        <v>2</v>
      </c>
      <c r="T591">
        <v>0</v>
      </c>
      <c r="U591">
        <v>100.93</v>
      </c>
    </row>
    <row r="592" spans="1:21" x14ac:dyDescent="0.3">
      <c r="A592">
        <v>591</v>
      </c>
      <c r="B592" t="s">
        <v>611</v>
      </c>
      <c r="C592" s="2">
        <v>45514</v>
      </c>
      <c r="D592" s="2">
        <v>45517</v>
      </c>
      <c r="E592" t="s">
        <v>1524</v>
      </c>
      <c r="F592" t="s">
        <v>1837</v>
      </c>
      <c r="G592" t="s">
        <v>2134</v>
      </c>
      <c r="H592" t="s">
        <v>2314</v>
      </c>
      <c r="I592" t="s">
        <v>2317</v>
      </c>
      <c r="J592" t="s">
        <v>2323</v>
      </c>
      <c r="K592" t="s">
        <v>2323</v>
      </c>
      <c r="L592">
        <v>590339</v>
      </c>
      <c r="M592" t="s">
        <v>2328</v>
      </c>
      <c r="N592" t="s">
        <v>2504</v>
      </c>
      <c r="O592" t="s">
        <v>3054</v>
      </c>
      <c r="P592" t="s">
        <v>3057</v>
      </c>
      <c r="Q592" t="s">
        <v>3521</v>
      </c>
      <c r="R592">
        <v>193.91</v>
      </c>
      <c r="S592">
        <v>5</v>
      </c>
      <c r="T592">
        <v>0.15</v>
      </c>
      <c r="U592">
        <v>9.7899999999999991</v>
      </c>
    </row>
    <row r="593" spans="1:21" x14ac:dyDescent="0.3">
      <c r="A593">
        <v>592</v>
      </c>
      <c r="B593" t="s">
        <v>612</v>
      </c>
      <c r="C593" s="2">
        <v>45925</v>
      </c>
      <c r="D593" s="2">
        <v>45929</v>
      </c>
      <c r="E593" t="s">
        <v>1523</v>
      </c>
      <c r="F593" t="s">
        <v>1652</v>
      </c>
      <c r="G593" t="s">
        <v>2227</v>
      </c>
      <c r="H593" t="s">
        <v>2316</v>
      </c>
      <c r="I593" t="s">
        <v>2317</v>
      </c>
      <c r="J593" t="s">
        <v>2321</v>
      </c>
      <c r="K593" t="s">
        <v>2321</v>
      </c>
      <c r="L593">
        <v>979608</v>
      </c>
      <c r="M593" t="s">
        <v>2329</v>
      </c>
      <c r="N593" t="s">
        <v>2616</v>
      </c>
      <c r="O593" t="s">
        <v>3054</v>
      </c>
      <c r="P593" t="s">
        <v>3063</v>
      </c>
      <c r="Q593" t="s">
        <v>3522</v>
      </c>
      <c r="R593">
        <v>101.93</v>
      </c>
      <c r="S593">
        <v>9</v>
      </c>
      <c r="T593">
        <v>0.15</v>
      </c>
      <c r="U593">
        <v>14.1</v>
      </c>
    </row>
    <row r="594" spans="1:21" x14ac:dyDescent="0.3">
      <c r="A594">
        <v>593</v>
      </c>
      <c r="B594" t="s">
        <v>613</v>
      </c>
      <c r="C594" s="2">
        <v>45424</v>
      </c>
      <c r="D594" s="2">
        <v>45429</v>
      </c>
      <c r="E594" t="s">
        <v>1523</v>
      </c>
      <c r="F594" t="s">
        <v>1582</v>
      </c>
      <c r="G594" t="s">
        <v>1955</v>
      </c>
      <c r="H594" t="s">
        <v>2314</v>
      </c>
      <c r="I594" t="s">
        <v>2317</v>
      </c>
      <c r="J594" t="s">
        <v>2321</v>
      </c>
      <c r="K594" t="s">
        <v>2321</v>
      </c>
      <c r="L594">
        <v>487554</v>
      </c>
      <c r="M594" t="s">
        <v>2329</v>
      </c>
      <c r="N594" t="s">
        <v>2496</v>
      </c>
      <c r="O594" t="s">
        <v>3055</v>
      </c>
      <c r="P594" t="s">
        <v>3060</v>
      </c>
      <c r="Q594" t="s">
        <v>3523</v>
      </c>
      <c r="R594">
        <v>346.72</v>
      </c>
      <c r="S594">
        <v>2</v>
      </c>
      <c r="T594">
        <v>0.2</v>
      </c>
      <c r="U594">
        <v>3.29</v>
      </c>
    </row>
    <row r="595" spans="1:21" x14ac:dyDescent="0.3">
      <c r="A595">
        <v>594</v>
      </c>
      <c r="B595" t="s">
        <v>614</v>
      </c>
      <c r="C595" s="2">
        <v>45454</v>
      </c>
      <c r="D595" s="2">
        <v>45457</v>
      </c>
      <c r="E595" t="s">
        <v>1521</v>
      </c>
      <c r="F595" t="s">
        <v>1675</v>
      </c>
      <c r="G595" t="s">
        <v>2032</v>
      </c>
      <c r="H595" t="s">
        <v>2316</v>
      </c>
      <c r="I595" t="s">
        <v>2317</v>
      </c>
      <c r="J595" t="s">
        <v>2319</v>
      </c>
      <c r="K595" t="s">
        <v>2319</v>
      </c>
      <c r="L595">
        <v>332131</v>
      </c>
      <c r="M595" t="s">
        <v>2329</v>
      </c>
      <c r="N595" t="s">
        <v>2752</v>
      </c>
      <c r="O595" t="s">
        <v>3054</v>
      </c>
      <c r="P595" t="s">
        <v>3064</v>
      </c>
      <c r="Q595" t="s">
        <v>3222</v>
      </c>
      <c r="R595">
        <v>63.86</v>
      </c>
      <c r="S595">
        <v>9</v>
      </c>
      <c r="T595">
        <v>0.2</v>
      </c>
      <c r="U595">
        <v>-2.57</v>
      </c>
    </row>
    <row r="596" spans="1:21" x14ac:dyDescent="0.3">
      <c r="A596">
        <v>595</v>
      </c>
      <c r="B596" t="s">
        <v>615</v>
      </c>
      <c r="C596" s="2">
        <v>45506</v>
      </c>
      <c r="D596" s="2">
        <v>45508</v>
      </c>
      <c r="E596" t="s">
        <v>1522</v>
      </c>
      <c r="F596" t="s">
        <v>1568</v>
      </c>
      <c r="G596" t="s">
        <v>2233</v>
      </c>
      <c r="H596" t="s">
        <v>2316</v>
      </c>
      <c r="I596" t="s">
        <v>2317</v>
      </c>
      <c r="J596" t="s">
        <v>2323</v>
      </c>
      <c r="K596" t="s">
        <v>2323</v>
      </c>
      <c r="L596">
        <v>877794</v>
      </c>
      <c r="M596" t="s">
        <v>2328</v>
      </c>
      <c r="N596" t="s">
        <v>2753</v>
      </c>
      <c r="O596" t="s">
        <v>3055</v>
      </c>
      <c r="P596" t="s">
        <v>3060</v>
      </c>
      <c r="Q596" t="s">
        <v>3356</v>
      </c>
      <c r="R596">
        <v>309.37</v>
      </c>
      <c r="S596">
        <v>4</v>
      </c>
      <c r="T596">
        <v>0</v>
      </c>
      <c r="U596">
        <v>51.14</v>
      </c>
    </row>
    <row r="597" spans="1:21" x14ac:dyDescent="0.3">
      <c r="A597">
        <v>596</v>
      </c>
      <c r="B597" t="s">
        <v>616</v>
      </c>
      <c r="C597" s="2">
        <v>45526</v>
      </c>
      <c r="D597" s="2">
        <v>45529</v>
      </c>
      <c r="E597" t="s">
        <v>1524</v>
      </c>
      <c r="F597" t="s">
        <v>1838</v>
      </c>
      <c r="G597" t="s">
        <v>2234</v>
      </c>
      <c r="H597" t="s">
        <v>2314</v>
      </c>
      <c r="I597" t="s">
        <v>2317</v>
      </c>
      <c r="J597" t="s">
        <v>2320</v>
      </c>
      <c r="K597" t="s">
        <v>2320</v>
      </c>
      <c r="L597">
        <v>607409</v>
      </c>
      <c r="M597" t="s">
        <v>2330</v>
      </c>
      <c r="N597" t="s">
        <v>2754</v>
      </c>
      <c r="O597" t="s">
        <v>3054</v>
      </c>
      <c r="P597" t="s">
        <v>3064</v>
      </c>
      <c r="Q597" t="s">
        <v>3524</v>
      </c>
      <c r="R597">
        <v>188.22</v>
      </c>
      <c r="S597">
        <v>4</v>
      </c>
      <c r="T597">
        <v>0.3</v>
      </c>
      <c r="U597">
        <v>24.9</v>
      </c>
    </row>
    <row r="598" spans="1:21" x14ac:dyDescent="0.3">
      <c r="A598">
        <v>597</v>
      </c>
      <c r="B598" t="s">
        <v>617</v>
      </c>
      <c r="C598" s="2">
        <v>45949</v>
      </c>
      <c r="D598" s="2">
        <v>45951</v>
      </c>
      <c r="E598" t="s">
        <v>1521</v>
      </c>
      <c r="F598" t="s">
        <v>1529</v>
      </c>
      <c r="G598" t="s">
        <v>2235</v>
      </c>
      <c r="H598" t="s">
        <v>2315</v>
      </c>
      <c r="I598" t="s">
        <v>2317</v>
      </c>
      <c r="J598" t="s">
        <v>2322</v>
      </c>
      <c r="K598" t="s">
        <v>2322</v>
      </c>
      <c r="L598">
        <v>113580</v>
      </c>
      <c r="M598" t="s">
        <v>2331</v>
      </c>
      <c r="N598" t="s">
        <v>2456</v>
      </c>
      <c r="O598" t="s">
        <v>3055</v>
      </c>
      <c r="P598" t="s">
        <v>3060</v>
      </c>
      <c r="Q598" t="s">
        <v>3525</v>
      </c>
      <c r="R598">
        <v>185.44</v>
      </c>
      <c r="S598">
        <v>1</v>
      </c>
      <c r="T598">
        <v>0.3</v>
      </c>
      <c r="U598">
        <v>42.53</v>
      </c>
    </row>
    <row r="599" spans="1:21" x14ac:dyDescent="0.3">
      <c r="A599">
        <v>598</v>
      </c>
      <c r="B599" t="s">
        <v>618</v>
      </c>
      <c r="C599" s="2">
        <v>45879</v>
      </c>
      <c r="D599" s="2">
        <v>45885</v>
      </c>
      <c r="E599" t="s">
        <v>1523</v>
      </c>
      <c r="F599" t="s">
        <v>1680</v>
      </c>
      <c r="G599" t="s">
        <v>2146</v>
      </c>
      <c r="H599" t="s">
        <v>2316</v>
      </c>
      <c r="I599" t="s">
        <v>2317</v>
      </c>
      <c r="J599" t="s">
        <v>2326</v>
      </c>
      <c r="K599" t="s">
        <v>2326</v>
      </c>
      <c r="L599">
        <v>189460</v>
      </c>
      <c r="M599" t="s">
        <v>2331</v>
      </c>
      <c r="N599" t="s">
        <v>2476</v>
      </c>
      <c r="O599" t="s">
        <v>3053</v>
      </c>
      <c r="P599" t="s">
        <v>3062</v>
      </c>
      <c r="Q599" t="s">
        <v>3526</v>
      </c>
      <c r="R599">
        <v>373.85</v>
      </c>
      <c r="S599">
        <v>9</v>
      </c>
      <c r="T599">
        <v>0.3</v>
      </c>
      <c r="U599">
        <v>-5.5</v>
      </c>
    </row>
    <row r="600" spans="1:21" x14ac:dyDescent="0.3">
      <c r="A600">
        <v>599</v>
      </c>
      <c r="B600" t="s">
        <v>619</v>
      </c>
      <c r="C600" s="2">
        <v>45300</v>
      </c>
      <c r="D600" s="2">
        <v>45301</v>
      </c>
      <c r="E600" t="s">
        <v>1524</v>
      </c>
      <c r="F600" t="s">
        <v>1585</v>
      </c>
      <c r="G600" t="s">
        <v>2223</v>
      </c>
      <c r="H600" t="s">
        <v>2314</v>
      </c>
      <c r="I600" t="s">
        <v>2317</v>
      </c>
      <c r="J600" t="s">
        <v>2321</v>
      </c>
      <c r="K600" t="s">
        <v>2321</v>
      </c>
      <c r="L600">
        <v>879685</v>
      </c>
      <c r="M600" t="s">
        <v>2329</v>
      </c>
      <c r="N600" t="s">
        <v>2755</v>
      </c>
      <c r="O600" t="s">
        <v>3054</v>
      </c>
      <c r="P600" t="s">
        <v>3058</v>
      </c>
      <c r="Q600" t="s">
        <v>3527</v>
      </c>
      <c r="R600">
        <v>338.29</v>
      </c>
      <c r="S600">
        <v>9</v>
      </c>
      <c r="T600">
        <v>0.4</v>
      </c>
      <c r="U600">
        <v>-12.1</v>
      </c>
    </row>
    <row r="601" spans="1:21" x14ac:dyDescent="0.3">
      <c r="A601">
        <v>600</v>
      </c>
      <c r="B601" t="s">
        <v>620</v>
      </c>
      <c r="C601" s="2">
        <v>45365</v>
      </c>
      <c r="D601" s="2">
        <v>45368</v>
      </c>
      <c r="E601" t="s">
        <v>1523</v>
      </c>
      <c r="F601" t="s">
        <v>1839</v>
      </c>
      <c r="G601" t="s">
        <v>2236</v>
      </c>
      <c r="H601" t="s">
        <v>2315</v>
      </c>
      <c r="I601" t="s">
        <v>2317</v>
      </c>
      <c r="J601" t="s">
        <v>2327</v>
      </c>
      <c r="K601" t="s">
        <v>2327</v>
      </c>
      <c r="L601">
        <v>532509</v>
      </c>
      <c r="M601" t="s">
        <v>2330</v>
      </c>
      <c r="N601" t="s">
        <v>2479</v>
      </c>
      <c r="O601" t="s">
        <v>3053</v>
      </c>
      <c r="P601" t="s">
        <v>3056</v>
      </c>
      <c r="Q601" t="s">
        <v>3093</v>
      </c>
      <c r="R601">
        <v>119.79</v>
      </c>
      <c r="S601">
        <v>8</v>
      </c>
      <c r="T601">
        <v>0.1</v>
      </c>
      <c r="U601">
        <v>-4.51</v>
      </c>
    </row>
    <row r="602" spans="1:21" x14ac:dyDescent="0.3">
      <c r="A602">
        <v>601</v>
      </c>
      <c r="B602" t="s">
        <v>621</v>
      </c>
      <c r="C602" s="2">
        <v>45783</v>
      </c>
      <c r="D602" s="2">
        <v>45785</v>
      </c>
      <c r="E602" t="s">
        <v>1523</v>
      </c>
      <c r="F602" t="s">
        <v>1562</v>
      </c>
      <c r="G602" t="s">
        <v>1971</v>
      </c>
      <c r="H602" t="s">
        <v>2316</v>
      </c>
      <c r="I602" t="s">
        <v>2317</v>
      </c>
      <c r="J602" t="s">
        <v>2322</v>
      </c>
      <c r="K602" t="s">
        <v>2322</v>
      </c>
      <c r="L602">
        <v>795003</v>
      </c>
      <c r="M602" t="s">
        <v>2331</v>
      </c>
      <c r="N602" t="s">
        <v>2756</v>
      </c>
      <c r="O602" t="s">
        <v>3053</v>
      </c>
      <c r="P602" t="s">
        <v>3056</v>
      </c>
      <c r="Q602" t="s">
        <v>3187</v>
      </c>
      <c r="R602">
        <v>153.94999999999999</v>
      </c>
      <c r="S602">
        <v>5</v>
      </c>
      <c r="T602">
        <v>0.15</v>
      </c>
      <c r="U602">
        <v>-16.649999999999999</v>
      </c>
    </row>
    <row r="603" spans="1:21" x14ac:dyDescent="0.3">
      <c r="A603">
        <v>602</v>
      </c>
      <c r="B603" t="s">
        <v>622</v>
      </c>
      <c r="C603" s="2">
        <v>45544</v>
      </c>
      <c r="D603" s="2">
        <v>45550</v>
      </c>
      <c r="E603" t="s">
        <v>1523</v>
      </c>
      <c r="F603" t="s">
        <v>1725</v>
      </c>
      <c r="G603" t="s">
        <v>2230</v>
      </c>
      <c r="H603" t="s">
        <v>2316</v>
      </c>
      <c r="I603" t="s">
        <v>2317</v>
      </c>
      <c r="J603" t="s">
        <v>2325</v>
      </c>
      <c r="K603" t="s">
        <v>2325</v>
      </c>
      <c r="L603">
        <v>827513</v>
      </c>
      <c r="M603" t="s">
        <v>2332</v>
      </c>
      <c r="N603" t="s">
        <v>2499</v>
      </c>
      <c r="O603" t="s">
        <v>3053</v>
      </c>
      <c r="P603" t="s">
        <v>3066</v>
      </c>
      <c r="Q603" t="s">
        <v>3528</v>
      </c>
      <c r="R603">
        <v>496.55</v>
      </c>
      <c r="S603">
        <v>2</v>
      </c>
      <c r="T603">
        <v>0.15</v>
      </c>
      <c r="U603">
        <v>20.9</v>
      </c>
    </row>
    <row r="604" spans="1:21" x14ac:dyDescent="0.3">
      <c r="A604">
        <v>603</v>
      </c>
      <c r="B604" t="s">
        <v>623</v>
      </c>
      <c r="C604" s="2">
        <v>45521</v>
      </c>
      <c r="D604" s="2">
        <v>45525</v>
      </c>
      <c r="E604" t="s">
        <v>1521</v>
      </c>
      <c r="F604" t="s">
        <v>1736</v>
      </c>
      <c r="G604" t="s">
        <v>2060</v>
      </c>
      <c r="H604" t="s">
        <v>2316</v>
      </c>
      <c r="I604" t="s">
        <v>2317</v>
      </c>
      <c r="J604" t="s">
        <v>2323</v>
      </c>
      <c r="K604" t="s">
        <v>2323</v>
      </c>
      <c r="L604">
        <v>248188</v>
      </c>
      <c r="M604" t="s">
        <v>2328</v>
      </c>
      <c r="N604" t="s">
        <v>2757</v>
      </c>
      <c r="O604" t="s">
        <v>3054</v>
      </c>
      <c r="P604" t="s">
        <v>3058</v>
      </c>
      <c r="Q604" t="s">
        <v>3529</v>
      </c>
      <c r="R604">
        <v>53.01</v>
      </c>
      <c r="S604">
        <v>7</v>
      </c>
      <c r="T604">
        <v>0.4</v>
      </c>
      <c r="U604">
        <v>-17.149999999999999</v>
      </c>
    </row>
    <row r="605" spans="1:21" x14ac:dyDescent="0.3">
      <c r="A605">
        <v>604</v>
      </c>
      <c r="B605" t="s">
        <v>624</v>
      </c>
      <c r="C605" s="2">
        <v>45810</v>
      </c>
      <c r="D605" s="2">
        <v>45815</v>
      </c>
      <c r="E605" t="s">
        <v>1523</v>
      </c>
      <c r="F605" t="s">
        <v>1709</v>
      </c>
      <c r="G605" t="s">
        <v>2098</v>
      </c>
      <c r="H605" t="s">
        <v>2315</v>
      </c>
      <c r="I605" t="s">
        <v>2317</v>
      </c>
      <c r="J605" t="s">
        <v>2318</v>
      </c>
      <c r="K605" t="s">
        <v>2318</v>
      </c>
      <c r="L605">
        <v>744467</v>
      </c>
      <c r="M605" t="s">
        <v>2328</v>
      </c>
      <c r="N605" t="s">
        <v>2758</v>
      </c>
      <c r="O605" t="s">
        <v>3055</v>
      </c>
      <c r="P605" t="s">
        <v>3060</v>
      </c>
      <c r="Q605" t="s">
        <v>3530</v>
      </c>
      <c r="R605">
        <v>211.8</v>
      </c>
      <c r="S605">
        <v>4</v>
      </c>
      <c r="T605">
        <v>0.1</v>
      </c>
      <c r="U605">
        <v>-40.39</v>
      </c>
    </row>
    <row r="606" spans="1:21" x14ac:dyDescent="0.3">
      <c r="A606">
        <v>605</v>
      </c>
      <c r="B606" t="s">
        <v>625</v>
      </c>
      <c r="C606" s="2">
        <v>45465</v>
      </c>
      <c r="D606" s="2">
        <v>45467</v>
      </c>
      <c r="E606" t="s">
        <v>1523</v>
      </c>
      <c r="F606" t="s">
        <v>1769</v>
      </c>
      <c r="G606" t="s">
        <v>2050</v>
      </c>
      <c r="H606" t="s">
        <v>2314</v>
      </c>
      <c r="I606" t="s">
        <v>2317</v>
      </c>
      <c r="J606" t="s">
        <v>2326</v>
      </c>
      <c r="K606" t="s">
        <v>2326</v>
      </c>
      <c r="L606">
        <v>518161</v>
      </c>
      <c r="M606" t="s">
        <v>2331</v>
      </c>
      <c r="N606" t="s">
        <v>2703</v>
      </c>
      <c r="O606" t="s">
        <v>3053</v>
      </c>
      <c r="P606" t="s">
        <v>3066</v>
      </c>
      <c r="Q606" t="s">
        <v>3441</v>
      </c>
      <c r="R606">
        <v>195.44</v>
      </c>
      <c r="S606">
        <v>8</v>
      </c>
      <c r="T606">
        <v>0.05</v>
      </c>
      <c r="U606">
        <v>56.8</v>
      </c>
    </row>
    <row r="607" spans="1:21" x14ac:dyDescent="0.3">
      <c r="A607">
        <v>606</v>
      </c>
      <c r="B607" t="s">
        <v>626</v>
      </c>
      <c r="C607" s="2">
        <v>45944</v>
      </c>
      <c r="D607" s="2">
        <v>45946</v>
      </c>
      <c r="E607" t="s">
        <v>1523</v>
      </c>
      <c r="F607" t="s">
        <v>1644</v>
      </c>
      <c r="G607" t="s">
        <v>2027</v>
      </c>
      <c r="H607" t="s">
        <v>2314</v>
      </c>
      <c r="I607" t="s">
        <v>2317</v>
      </c>
      <c r="J607" t="s">
        <v>2327</v>
      </c>
      <c r="K607" t="s">
        <v>2327</v>
      </c>
      <c r="L607">
        <v>608928</v>
      </c>
      <c r="M607" t="s">
        <v>2330</v>
      </c>
      <c r="N607" t="s">
        <v>2759</v>
      </c>
      <c r="O607" t="s">
        <v>3054</v>
      </c>
      <c r="P607" t="s">
        <v>3057</v>
      </c>
      <c r="Q607" t="s">
        <v>3446</v>
      </c>
      <c r="R607">
        <v>80.959999999999994</v>
      </c>
      <c r="S607">
        <v>5</v>
      </c>
      <c r="T607">
        <v>0.15</v>
      </c>
      <c r="U607">
        <v>-2.19</v>
      </c>
    </row>
    <row r="608" spans="1:21" x14ac:dyDescent="0.3">
      <c r="A608">
        <v>607</v>
      </c>
      <c r="B608" t="s">
        <v>627</v>
      </c>
      <c r="C608" s="2">
        <v>45459</v>
      </c>
      <c r="D608" s="2">
        <v>45462</v>
      </c>
      <c r="E608" t="s">
        <v>1524</v>
      </c>
      <c r="F608" t="s">
        <v>1740</v>
      </c>
      <c r="G608" t="s">
        <v>1987</v>
      </c>
      <c r="H608" t="s">
        <v>2315</v>
      </c>
      <c r="I608" t="s">
        <v>2317</v>
      </c>
      <c r="J608" t="s">
        <v>2322</v>
      </c>
      <c r="K608" t="s">
        <v>2322</v>
      </c>
      <c r="L608">
        <v>568304</v>
      </c>
      <c r="M608" t="s">
        <v>2331</v>
      </c>
      <c r="N608" t="s">
        <v>2464</v>
      </c>
      <c r="O608" t="s">
        <v>3054</v>
      </c>
      <c r="P608" t="s">
        <v>3058</v>
      </c>
      <c r="Q608" t="s">
        <v>3463</v>
      </c>
      <c r="R608">
        <v>52.41</v>
      </c>
      <c r="S608">
        <v>4</v>
      </c>
      <c r="T608">
        <v>0.15</v>
      </c>
      <c r="U608">
        <v>-3.06</v>
      </c>
    </row>
    <row r="609" spans="1:21" x14ac:dyDescent="0.3">
      <c r="A609">
        <v>608</v>
      </c>
      <c r="B609" t="s">
        <v>628</v>
      </c>
      <c r="C609" s="2">
        <v>45461</v>
      </c>
      <c r="D609" s="2">
        <v>45464</v>
      </c>
      <c r="E609" t="s">
        <v>1521</v>
      </c>
      <c r="F609" t="s">
        <v>1840</v>
      </c>
      <c r="G609" t="s">
        <v>2237</v>
      </c>
      <c r="H609" t="s">
        <v>2315</v>
      </c>
      <c r="I609" t="s">
        <v>2317</v>
      </c>
      <c r="J609" t="s">
        <v>2323</v>
      </c>
      <c r="K609" t="s">
        <v>2323</v>
      </c>
      <c r="L609">
        <v>989217</v>
      </c>
      <c r="M609" t="s">
        <v>2328</v>
      </c>
      <c r="N609" t="s">
        <v>2760</v>
      </c>
      <c r="O609" t="s">
        <v>3053</v>
      </c>
      <c r="P609" t="s">
        <v>3066</v>
      </c>
      <c r="Q609" t="s">
        <v>3531</v>
      </c>
      <c r="R609">
        <v>96.75</v>
      </c>
      <c r="S609">
        <v>8</v>
      </c>
      <c r="T609">
        <v>0.1</v>
      </c>
      <c r="U609">
        <v>29.52</v>
      </c>
    </row>
    <row r="610" spans="1:21" x14ac:dyDescent="0.3">
      <c r="A610">
        <v>609</v>
      </c>
      <c r="B610" t="s">
        <v>629</v>
      </c>
      <c r="C610" s="2">
        <v>45684</v>
      </c>
      <c r="D610" s="2">
        <v>45687</v>
      </c>
      <c r="E610" t="s">
        <v>1521</v>
      </c>
      <c r="F610" t="s">
        <v>1705</v>
      </c>
      <c r="G610" t="s">
        <v>2188</v>
      </c>
      <c r="H610" t="s">
        <v>2314</v>
      </c>
      <c r="I610" t="s">
        <v>2317</v>
      </c>
      <c r="J610" t="s">
        <v>2319</v>
      </c>
      <c r="K610" t="s">
        <v>2319</v>
      </c>
      <c r="L610">
        <v>940172</v>
      </c>
      <c r="M610" t="s">
        <v>2329</v>
      </c>
      <c r="N610" t="s">
        <v>2761</v>
      </c>
      <c r="O610" t="s">
        <v>3054</v>
      </c>
      <c r="P610" t="s">
        <v>3064</v>
      </c>
      <c r="Q610" t="s">
        <v>3337</v>
      </c>
      <c r="R610">
        <v>31.86</v>
      </c>
      <c r="S610">
        <v>3</v>
      </c>
      <c r="T610">
        <v>0.05</v>
      </c>
      <c r="U610">
        <v>-11.21</v>
      </c>
    </row>
    <row r="611" spans="1:21" x14ac:dyDescent="0.3">
      <c r="A611">
        <v>610</v>
      </c>
      <c r="B611" t="s">
        <v>630</v>
      </c>
      <c r="C611" s="2">
        <v>45925</v>
      </c>
      <c r="D611" s="2">
        <v>45927</v>
      </c>
      <c r="E611" t="s">
        <v>1521</v>
      </c>
      <c r="F611" t="s">
        <v>1770</v>
      </c>
      <c r="G611" t="s">
        <v>2043</v>
      </c>
      <c r="H611" t="s">
        <v>2314</v>
      </c>
      <c r="I611" t="s">
        <v>2317</v>
      </c>
      <c r="J611" t="s">
        <v>2325</v>
      </c>
      <c r="K611" t="s">
        <v>2325</v>
      </c>
      <c r="L611">
        <v>963945</v>
      </c>
      <c r="M611" t="s">
        <v>2332</v>
      </c>
      <c r="N611" t="s">
        <v>2762</v>
      </c>
      <c r="O611" t="s">
        <v>3054</v>
      </c>
      <c r="P611" t="s">
        <v>3058</v>
      </c>
      <c r="Q611" t="s">
        <v>3144</v>
      </c>
      <c r="R611">
        <v>191.15</v>
      </c>
      <c r="S611">
        <v>6</v>
      </c>
      <c r="T611">
        <v>0.15</v>
      </c>
      <c r="U611">
        <v>-0.76</v>
      </c>
    </row>
    <row r="612" spans="1:21" x14ac:dyDescent="0.3">
      <c r="A612">
        <v>611</v>
      </c>
      <c r="B612" t="s">
        <v>631</v>
      </c>
      <c r="C612" s="2">
        <v>45485</v>
      </c>
      <c r="D612" s="2">
        <v>45488</v>
      </c>
      <c r="E612" t="s">
        <v>1521</v>
      </c>
      <c r="F612" t="s">
        <v>1841</v>
      </c>
      <c r="G612" t="s">
        <v>2081</v>
      </c>
      <c r="H612" t="s">
        <v>2314</v>
      </c>
      <c r="I612" t="s">
        <v>2317</v>
      </c>
      <c r="J612" t="s">
        <v>2326</v>
      </c>
      <c r="K612" t="s">
        <v>2326</v>
      </c>
      <c r="L612">
        <v>726627</v>
      </c>
      <c r="M612" t="s">
        <v>2331</v>
      </c>
      <c r="N612" t="s">
        <v>2561</v>
      </c>
      <c r="O612" t="s">
        <v>3054</v>
      </c>
      <c r="P612" t="s">
        <v>3058</v>
      </c>
      <c r="Q612" t="s">
        <v>3532</v>
      </c>
      <c r="R612">
        <v>122.38</v>
      </c>
      <c r="S612">
        <v>7</v>
      </c>
      <c r="T612">
        <v>0.15</v>
      </c>
      <c r="U612">
        <v>23.86</v>
      </c>
    </row>
    <row r="613" spans="1:21" x14ac:dyDescent="0.3">
      <c r="A613">
        <v>612</v>
      </c>
      <c r="B613" t="s">
        <v>632</v>
      </c>
      <c r="C613" s="2">
        <v>45808</v>
      </c>
      <c r="D613" s="2">
        <v>45809</v>
      </c>
      <c r="E613" t="s">
        <v>1521</v>
      </c>
      <c r="F613" t="s">
        <v>1669</v>
      </c>
      <c r="G613" t="s">
        <v>2107</v>
      </c>
      <c r="H613" t="s">
        <v>2314</v>
      </c>
      <c r="I613" t="s">
        <v>2317</v>
      </c>
      <c r="J613" t="s">
        <v>2320</v>
      </c>
      <c r="K613" t="s">
        <v>2320</v>
      </c>
      <c r="L613">
        <v>880637</v>
      </c>
      <c r="M613" t="s">
        <v>2330</v>
      </c>
      <c r="N613" t="s">
        <v>2763</v>
      </c>
      <c r="O613" t="s">
        <v>3053</v>
      </c>
      <c r="P613" t="s">
        <v>3062</v>
      </c>
      <c r="Q613" t="s">
        <v>3533</v>
      </c>
      <c r="R613">
        <v>64.22</v>
      </c>
      <c r="S613">
        <v>6</v>
      </c>
      <c r="T613">
        <v>0.1</v>
      </c>
      <c r="U613">
        <v>19.27</v>
      </c>
    </row>
    <row r="614" spans="1:21" x14ac:dyDescent="0.3">
      <c r="A614">
        <v>613</v>
      </c>
      <c r="B614" t="s">
        <v>633</v>
      </c>
      <c r="C614" s="2">
        <v>45320</v>
      </c>
      <c r="D614" s="2">
        <v>45323</v>
      </c>
      <c r="E614" t="s">
        <v>1522</v>
      </c>
      <c r="F614" t="s">
        <v>1533</v>
      </c>
      <c r="G614" t="s">
        <v>2132</v>
      </c>
      <c r="H614" t="s">
        <v>2314</v>
      </c>
      <c r="I614" t="s">
        <v>2317</v>
      </c>
      <c r="J614" t="s">
        <v>2319</v>
      </c>
      <c r="K614" t="s">
        <v>2319</v>
      </c>
      <c r="L614">
        <v>867469</v>
      </c>
      <c r="M614" t="s">
        <v>2329</v>
      </c>
      <c r="N614" t="s">
        <v>2764</v>
      </c>
      <c r="O614" t="s">
        <v>3055</v>
      </c>
      <c r="P614" t="s">
        <v>3061</v>
      </c>
      <c r="Q614" t="s">
        <v>3534</v>
      </c>
      <c r="R614">
        <v>146.47</v>
      </c>
      <c r="S614">
        <v>6</v>
      </c>
      <c r="T614">
        <v>0.1</v>
      </c>
      <c r="U614">
        <v>3.24</v>
      </c>
    </row>
    <row r="615" spans="1:21" x14ac:dyDescent="0.3">
      <c r="A615">
        <v>614</v>
      </c>
      <c r="B615" t="s">
        <v>634</v>
      </c>
      <c r="C615" s="2">
        <v>45456</v>
      </c>
      <c r="D615" s="2">
        <v>45461</v>
      </c>
      <c r="E615" t="s">
        <v>1524</v>
      </c>
      <c r="F615" t="s">
        <v>1842</v>
      </c>
      <c r="G615" t="s">
        <v>2238</v>
      </c>
      <c r="H615" t="s">
        <v>2314</v>
      </c>
      <c r="I615" t="s">
        <v>2317</v>
      </c>
      <c r="J615" t="s">
        <v>2327</v>
      </c>
      <c r="K615" t="s">
        <v>2327</v>
      </c>
      <c r="L615">
        <v>471831</v>
      </c>
      <c r="M615" t="s">
        <v>2330</v>
      </c>
      <c r="N615" t="s">
        <v>2522</v>
      </c>
      <c r="O615" t="s">
        <v>3055</v>
      </c>
      <c r="P615" t="s">
        <v>3061</v>
      </c>
      <c r="Q615" t="s">
        <v>3535</v>
      </c>
      <c r="R615">
        <v>467.71</v>
      </c>
      <c r="S615">
        <v>4</v>
      </c>
      <c r="T615">
        <v>0.2</v>
      </c>
      <c r="U615">
        <v>30.88</v>
      </c>
    </row>
    <row r="616" spans="1:21" x14ac:dyDescent="0.3">
      <c r="A616">
        <v>615</v>
      </c>
      <c r="B616" t="s">
        <v>635</v>
      </c>
      <c r="C616" s="2">
        <v>45713</v>
      </c>
      <c r="D616" s="2">
        <v>45714</v>
      </c>
      <c r="E616" t="s">
        <v>1523</v>
      </c>
      <c r="F616" t="s">
        <v>1566</v>
      </c>
      <c r="G616" t="s">
        <v>2115</v>
      </c>
      <c r="H616" t="s">
        <v>2315</v>
      </c>
      <c r="I616" t="s">
        <v>2317</v>
      </c>
      <c r="J616" t="s">
        <v>2326</v>
      </c>
      <c r="K616" t="s">
        <v>2326</v>
      </c>
      <c r="L616">
        <v>581018</v>
      </c>
      <c r="M616" t="s">
        <v>2331</v>
      </c>
      <c r="N616" t="s">
        <v>2765</v>
      </c>
      <c r="O616" t="s">
        <v>3055</v>
      </c>
      <c r="P616" t="s">
        <v>3059</v>
      </c>
      <c r="Q616" t="s">
        <v>3536</v>
      </c>
      <c r="R616">
        <v>292.77999999999997</v>
      </c>
      <c r="S616">
        <v>5</v>
      </c>
      <c r="T616">
        <v>0.05</v>
      </c>
      <c r="U616">
        <v>27.36</v>
      </c>
    </row>
    <row r="617" spans="1:21" x14ac:dyDescent="0.3">
      <c r="A617">
        <v>616</v>
      </c>
      <c r="B617" t="s">
        <v>636</v>
      </c>
      <c r="C617" s="2">
        <v>45630</v>
      </c>
      <c r="D617" s="2">
        <v>45633</v>
      </c>
      <c r="E617" t="s">
        <v>1524</v>
      </c>
      <c r="F617" t="s">
        <v>1843</v>
      </c>
      <c r="G617" t="s">
        <v>2239</v>
      </c>
      <c r="H617" t="s">
        <v>2316</v>
      </c>
      <c r="I617" t="s">
        <v>2317</v>
      </c>
      <c r="J617" t="s">
        <v>2319</v>
      </c>
      <c r="K617" t="s">
        <v>2319</v>
      </c>
      <c r="L617">
        <v>585119</v>
      </c>
      <c r="M617" t="s">
        <v>2329</v>
      </c>
      <c r="N617" t="s">
        <v>2757</v>
      </c>
      <c r="O617" t="s">
        <v>3053</v>
      </c>
      <c r="P617" t="s">
        <v>3065</v>
      </c>
      <c r="Q617" t="s">
        <v>3537</v>
      </c>
      <c r="R617">
        <v>91.8</v>
      </c>
      <c r="S617">
        <v>7</v>
      </c>
      <c r="T617">
        <v>0.1</v>
      </c>
      <c r="U617">
        <v>14.01</v>
      </c>
    </row>
    <row r="618" spans="1:21" x14ac:dyDescent="0.3">
      <c r="A618">
        <v>617</v>
      </c>
      <c r="B618" t="s">
        <v>637</v>
      </c>
      <c r="C618" s="2">
        <v>45939</v>
      </c>
      <c r="D618" s="2">
        <v>45944</v>
      </c>
      <c r="E618" t="s">
        <v>1523</v>
      </c>
      <c r="F618" t="s">
        <v>1733</v>
      </c>
      <c r="G618" t="s">
        <v>2214</v>
      </c>
      <c r="H618" t="s">
        <v>2315</v>
      </c>
      <c r="I618" t="s">
        <v>2317</v>
      </c>
      <c r="J618" t="s">
        <v>2325</v>
      </c>
      <c r="K618" t="s">
        <v>2325</v>
      </c>
      <c r="L618">
        <v>223225</v>
      </c>
      <c r="M618" t="s">
        <v>2332</v>
      </c>
      <c r="N618" t="s">
        <v>2766</v>
      </c>
      <c r="O618" t="s">
        <v>3055</v>
      </c>
      <c r="P618" t="s">
        <v>3061</v>
      </c>
      <c r="Q618" t="s">
        <v>3538</v>
      </c>
      <c r="R618">
        <v>492.45</v>
      </c>
      <c r="S618">
        <v>5</v>
      </c>
      <c r="T618">
        <v>0</v>
      </c>
      <c r="U618">
        <v>35.130000000000003</v>
      </c>
    </row>
    <row r="619" spans="1:21" x14ac:dyDescent="0.3">
      <c r="A619">
        <v>618</v>
      </c>
      <c r="B619" t="s">
        <v>638</v>
      </c>
      <c r="C619" s="2">
        <v>45787</v>
      </c>
      <c r="D619" s="2">
        <v>45792</v>
      </c>
      <c r="E619" t="s">
        <v>1522</v>
      </c>
      <c r="F619" t="s">
        <v>1813</v>
      </c>
      <c r="G619" t="s">
        <v>2142</v>
      </c>
      <c r="H619" t="s">
        <v>2314</v>
      </c>
      <c r="I619" t="s">
        <v>2317</v>
      </c>
      <c r="J619" t="s">
        <v>2320</v>
      </c>
      <c r="K619" t="s">
        <v>2320</v>
      </c>
      <c r="L619">
        <v>871812</v>
      </c>
      <c r="M619" t="s">
        <v>2330</v>
      </c>
      <c r="N619" t="s">
        <v>2767</v>
      </c>
      <c r="O619" t="s">
        <v>3054</v>
      </c>
      <c r="P619" t="s">
        <v>3058</v>
      </c>
      <c r="Q619" t="s">
        <v>3539</v>
      </c>
      <c r="R619">
        <v>68.67</v>
      </c>
      <c r="S619">
        <v>8</v>
      </c>
      <c r="T619">
        <v>0.2</v>
      </c>
      <c r="U619">
        <v>3.17</v>
      </c>
    </row>
    <row r="620" spans="1:21" x14ac:dyDescent="0.3">
      <c r="A620">
        <v>619</v>
      </c>
      <c r="B620" t="s">
        <v>639</v>
      </c>
      <c r="C620" s="2">
        <v>45656</v>
      </c>
      <c r="D620" s="2">
        <v>45661</v>
      </c>
      <c r="E620" t="s">
        <v>1522</v>
      </c>
      <c r="F620" t="s">
        <v>1790</v>
      </c>
      <c r="G620" t="s">
        <v>1932</v>
      </c>
      <c r="H620" t="s">
        <v>2314</v>
      </c>
      <c r="I620" t="s">
        <v>2317</v>
      </c>
      <c r="J620" t="s">
        <v>2319</v>
      </c>
      <c r="K620" t="s">
        <v>2319</v>
      </c>
      <c r="L620">
        <v>904660</v>
      </c>
      <c r="M620" t="s">
        <v>2329</v>
      </c>
      <c r="N620" t="s">
        <v>2768</v>
      </c>
      <c r="O620" t="s">
        <v>3053</v>
      </c>
      <c r="P620" t="s">
        <v>3066</v>
      </c>
      <c r="Q620" t="s">
        <v>3540</v>
      </c>
      <c r="R620">
        <v>110.27</v>
      </c>
      <c r="S620">
        <v>2</v>
      </c>
      <c r="T620">
        <v>0.2</v>
      </c>
      <c r="U620">
        <v>-13.53</v>
      </c>
    </row>
    <row r="621" spans="1:21" x14ac:dyDescent="0.3">
      <c r="A621">
        <v>620</v>
      </c>
      <c r="B621" t="s">
        <v>640</v>
      </c>
      <c r="C621" s="2">
        <v>45633</v>
      </c>
      <c r="D621" s="2">
        <v>45637</v>
      </c>
      <c r="E621" t="s">
        <v>1522</v>
      </c>
      <c r="F621" t="s">
        <v>1600</v>
      </c>
      <c r="G621" t="s">
        <v>1923</v>
      </c>
      <c r="H621" t="s">
        <v>2315</v>
      </c>
      <c r="I621" t="s">
        <v>2317</v>
      </c>
      <c r="J621" t="s">
        <v>2324</v>
      </c>
      <c r="K621" t="s">
        <v>2324</v>
      </c>
      <c r="L621">
        <v>434341</v>
      </c>
      <c r="M621" t="s">
        <v>2330</v>
      </c>
      <c r="N621" t="s">
        <v>2683</v>
      </c>
      <c r="O621" t="s">
        <v>3055</v>
      </c>
      <c r="P621" t="s">
        <v>3061</v>
      </c>
      <c r="Q621" t="s">
        <v>3541</v>
      </c>
      <c r="R621">
        <v>441.07</v>
      </c>
      <c r="S621">
        <v>6</v>
      </c>
      <c r="T621">
        <v>0.3</v>
      </c>
      <c r="U621">
        <v>11.61</v>
      </c>
    </row>
    <row r="622" spans="1:21" x14ac:dyDescent="0.3">
      <c r="A622">
        <v>621</v>
      </c>
      <c r="B622" t="s">
        <v>641</v>
      </c>
      <c r="C622" s="2">
        <v>45791</v>
      </c>
      <c r="D622" s="2">
        <v>45792</v>
      </c>
      <c r="E622" t="s">
        <v>1522</v>
      </c>
      <c r="F622" t="s">
        <v>1844</v>
      </c>
      <c r="G622" t="s">
        <v>2032</v>
      </c>
      <c r="H622" t="s">
        <v>2316</v>
      </c>
      <c r="I622" t="s">
        <v>2317</v>
      </c>
      <c r="J622" t="s">
        <v>2320</v>
      </c>
      <c r="K622" t="s">
        <v>2320</v>
      </c>
      <c r="L622">
        <v>585179</v>
      </c>
      <c r="M622" t="s">
        <v>2330</v>
      </c>
      <c r="N622" t="s">
        <v>2417</v>
      </c>
      <c r="O622" t="s">
        <v>3054</v>
      </c>
      <c r="P622" t="s">
        <v>3064</v>
      </c>
      <c r="Q622" t="s">
        <v>3312</v>
      </c>
      <c r="R622">
        <v>45.73</v>
      </c>
      <c r="S622">
        <v>3</v>
      </c>
      <c r="T622">
        <v>0.15</v>
      </c>
      <c r="U622">
        <v>-11.88</v>
      </c>
    </row>
    <row r="623" spans="1:21" x14ac:dyDescent="0.3">
      <c r="A623">
        <v>622</v>
      </c>
      <c r="B623" t="s">
        <v>642</v>
      </c>
      <c r="C623" s="2">
        <v>45948</v>
      </c>
      <c r="D623" s="2">
        <v>45952</v>
      </c>
      <c r="E623" t="s">
        <v>1522</v>
      </c>
      <c r="F623" t="s">
        <v>1546</v>
      </c>
      <c r="G623" t="s">
        <v>1983</v>
      </c>
      <c r="H623" t="s">
        <v>2314</v>
      </c>
      <c r="I623" t="s">
        <v>2317</v>
      </c>
      <c r="J623" t="s">
        <v>2327</v>
      </c>
      <c r="K623" t="s">
        <v>2327</v>
      </c>
      <c r="L623">
        <v>271955</v>
      </c>
      <c r="M623" t="s">
        <v>2330</v>
      </c>
      <c r="N623" t="s">
        <v>2641</v>
      </c>
      <c r="O623" t="s">
        <v>3053</v>
      </c>
      <c r="P623" t="s">
        <v>3062</v>
      </c>
      <c r="Q623" t="s">
        <v>3542</v>
      </c>
      <c r="R623">
        <v>585.13</v>
      </c>
      <c r="S623">
        <v>6</v>
      </c>
      <c r="T623">
        <v>0.1</v>
      </c>
      <c r="U623">
        <v>51.73</v>
      </c>
    </row>
    <row r="624" spans="1:21" x14ac:dyDescent="0.3">
      <c r="A624">
        <v>623</v>
      </c>
      <c r="B624" t="s">
        <v>643</v>
      </c>
      <c r="C624" s="2">
        <v>45802</v>
      </c>
      <c r="D624" s="2">
        <v>45804</v>
      </c>
      <c r="E624" t="s">
        <v>1522</v>
      </c>
      <c r="F624" t="s">
        <v>1743</v>
      </c>
      <c r="G624" t="s">
        <v>2234</v>
      </c>
      <c r="H624" t="s">
        <v>2314</v>
      </c>
      <c r="I624" t="s">
        <v>2317</v>
      </c>
      <c r="J624" t="s">
        <v>2325</v>
      </c>
      <c r="K624" t="s">
        <v>2325</v>
      </c>
      <c r="L624">
        <v>639745</v>
      </c>
      <c r="M624" t="s">
        <v>2332</v>
      </c>
      <c r="N624" t="s">
        <v>2696</v>
      </c>
      <c r="O624" t="s">
        <v>3055</v>
      </c>
      <c r="P624" t="s">
        <v>3061</v>
      </c>
      <c r="Q624" t="s">
        <v>3543</v>
      </c>
      <c r="R624">
        <v>835.59</v>
      </c>
      <c r="S624">
        <v>4</v>
      </c>
      <c r="T624">
        <v>0.2</v>
      </c>
      <c r="U624">
        <v>-2.23</v>
      </c>
    </row>
    <row r="625" spans="1:21" x14ac:dyDescent="0.3">
      <c r="A625">
        <v>624</v>
      </c>
      <c r="B625" t="s">
        <v>644</v>
      </c>
      <c r="C625" s="2">
        <v>45618</v>
      </c>
      <c r="D625" s="2">
        <v>45621</v>
      </c>
      <c r="E625" t="s">
        <v>1524</v>
      </c>
      <c r="F625" t="s">
        <v>1748</v>
      </c>
      <c r="G625" t="s">
        <v>2184</v>
      </c>
      <c r="H625" t="s">
        <v>2316</v>
      </c>
      <c r="I625" t="s">
        <v>2317</v>
      </c>
      <c r="J625" t="s">
        <v>2323</v>
      </c>
      <c r="K625" t="s">
        <v>2323</v>
      </c>
      <c r="L625">
        <v>477389</v>
      </c>
      <c r="M625" t="s">
        <v>2328</v>
      </c>
      <c r="N625" t="s">
        <v>2769</v>
      </c>
      <c r="O625" t="s">
        <v>3054</v>
      </c>
      <c r="P625" t="s">
        <v>3058</v>
      </c>
      <c r="Q625" t="s">
        <v>3126</v>
      </c>
      <c r="R625">
        <v>75.48</v>
      </c>
      <c r="S625">
        <v>9</v>
      </c>
      <c r="T625">
        <v>0.1</v>
      </c>
      <c r="U625">
        <v>-27.49</v>
      </c>
    </row>
    <row r="626" spans="1:21" x14ac:dyDescent="0.3">
      <c r="A626">
        <v>625</v>
      </c>
      <c r="B626" t="s">
        <v>645</v>
      </c>
      <c r="C626" s="2">
        <v>45508</v>
      </c>
      <c r="D626" s="2">
        <v>45511</v>
      </c>
      <c r="E626" t="s">
        <v>1523</v>
      </c>
      <c r="F626" t="s">
        <v>1611</v>
      </c>
      <c r="G626" t="s">
        <v>2227</v>
      </c>
      <c r="H626" t="s">
        <v>2315</v>
      </c>
      <c r="I626" t="s">
        <v>2317</v>
      </c>
      <c r="J626" t="s">
        <v>2318</v>
      </c>
      <c r="K626" t="s">
        <v>2318</v>
      </c>
      <c r="L626">
        <v>564736</v>
      </c>
      <c r="M626" t="s">
        <v>2328</v>
      </c>
      <c r="N626" t="s">
        <v>2415</v>
      </c>
      <c r="O626" t="s">
        <v>3055</v>
      </c>
      <c r="P626" t="s">
        <v>3061</v>
      </c>
      <c r="Q626" t="s">
        <v>3544</v>
      </c>
      <c r="R626">
        <v>365.08</v>
      </c>
      <c r="S626">
        <v>7</v>
      </c>
      <c r="T626">
        <v>0.1</v>
      </c>
      <c r="U626">
        <v>32.159999999999997</v>
      </c>
    </row>
    <row r="627" spans="1:21" x14ac:dyDescent="0.3">
      <c r="A627">
        <v>626</v>
      </c>
      <c r="B627" t="s">
        <v>646</v>
      </c>
      <c r="C627" s="2">
        <v>45592</v>
      </c>
      <c r="D627" s="2">
        <v>45595</v>
      </c>
      <c r="E627" t="s">
        <v>1523</v>
      </c>
      <c r="F627" t="s">
        <v>1616</v>
      </c>
      <c r="G627" t="s">
        <v>2240</v>
      </c>
      <c r="H627" t="s">
        <v>2316</v>
      </c>
      <c r="I627" t="s">
        <v>2317</v>
      </c>
      <c r="J627" t="s">
        <v>2318</v>
      </c>
      <c r="K627" t="s">
        <v>2318</v>
      </c>
      <c r="L627">
        <v>900118</v>
      </c>
      <c r="M627" t="s">
        <v>2328</v>
      </c>
      <c r="N627" t="s">
        <v>2770</v>
      </c>
      <c r="O627" t="s">
        <v>3054</v>
      </c>
      <c r="P627" t="s">
        <v>3064</v>
      </c>
      <c r="Q627" t="s">
        <v>3310</v>
      </c>
      <c r="R627">
        <v>91.24</v>
      </c>
      <c r="S627">
        <v>8</v>
      </c>
      <c r="T627">
        <v>0</v>
      </c>
      <c r="U627">
        <v>11.11</v>
      </c>
    </row>
    <row r="628" spans="1:21" x14ac:dyDescent="0.3">
      <c r="A628">
        <v>627</v>
      </c>
      <c r="B628" t="s">
        <v>647</v>
      </c>
      <c r="C628" s="2">
        <v>45423</v>
      </c>
      <c r="D628" s="2">
        <v>45424</v>
      </c>
      <c r="E628" t="s">
        <v>1524</v>
      </c>
      <c r="F628" t="s">
        <v>1676</v>
      </c>
      <c r="G628" t="s">
        <v>2241</v>
      </c>
      <c r="H628" t="s">
        <v>2314</v>
      </c>
      <c r="I628" t="s">
        <v>2317</v>
      </c>
      <c r="J628" t="s">
        <v>2318</v>
      </c>
      <c r="K628" t="s">
        <v>2318</v>
      </c>
      <c r="L628">
        <v>556388</v>
      </c>
      <c r="M628" t="s">
        <v>2328</v>
      </c>
      <c r="N628" t="s">
        <v>2771</v>
      </c>
      <c r="O628" t="s">
        <v>3054</v>
      </c>
      <c r="P628" t="s">
        <v>3063</v>
      </c>
      <c r="Q628" t="s">
        <v>3545</v>
      </c>
      <c r="R628">
        <v>164.96</v>
      </c>
      <c r="S628">
        <v>4</v>
      </c>
      <c r="T628">
        <v>0.2</v>
      </c>
      <c r="U628">
        <v>22.19</v>
      </c>
    </row>
    <row r="629" spans="1:21" x14ac:dyDescent="0.3">
      <c r="A629">
        <v>628</v>
      </c>
      <c r="B629" t="s">
        <v>648</v>
      </c>
      <c r="C629" s="2">
        <v>45361</v>
      </c>
      <c r="D629" s="2">
        <v>45365</v>
      </c>
      <c r="E629" t="s">
        <v>1523</v>
      </c>
      <c r="F629" t="s">
        <v>1611</v>
      </c>
      <c r="G629" t="s">
        <v>2242</v>
      </c>
      <c r="H629" t="s">
        <v>2314</v>
      </c>
      <c r="I629" t="s">
        <v>2317</v>
      </c>
      <c r="J629" t="s">
        <v>2326</v>
      </c>
      <c r="K629" t="s">
        <v>2326</v>
      </c>
      <c r="L629">
        <v>929492</v>
      </c>
      <c r="M629" t="s">
        <v>2331</v>
      </c>
      <c r="N629" t="s">
        <v>2772</v>
      </c>
      <c r="O629" t="s">
        <v>3053</v>
      </c>
      <c r="P629" t="s">
        <v>3065</v>
      </c>
      <c r="Q629" t="s">
        <v>3546</v>
      </c>
      <c r="R629">
        <v>341.84</v>
      </c>
      <c r="S629">
        <v>4</v>
      </c>
      <c r="T629">
        <v>0.15</v>
      </c>
      <c r="U629">
        <v>26.11</v>
      </c>
    </row>
    <row r="630" spans="1:21" x14ac:dyDescent="0.3">
      <c r="A630">
        <v>629</v>
      </c>
      <c r="B630" t="s">
        <v>649</v>
      </c>
      <c r="C630" s="2">
        <v>45543</v>
      </c>
      <c r="D630" s="2">
        <v>45545</v>
      </c>
      <c r="E630" t="s">
        <v>1522</v>
      </c>
      <c r="F630" t="s">
        <v>1606</v>
      </c>
      <c r="G630" t="s">
        <v>2243</v>
      </c>
      <c r="H630" t="s">
        <v>2314</v>
      </c>
      <c r="I630" t="s">
        <v>2317</v>
      </c>
      <c r="J630" t="s">
        <v>2327</v>
      </c>
      <c r="K630" t="s">
        <v>2327</v>
      </c>
      <c r="L630">
        <v>375251</v>
      </c>
      <c r="M630" t="s">
        <v>2330</v>
      </c>
      <c r="N630" t="s">
        <v>2543</v>
      </c>
      <c r="O630" t="s">
        <v>3054</v>
      </c>
      <c r="P630" t="s">
        <v>3063</v>
      </c>
      <c r="Q630" t="s">
        <v>3547</v>
      </c>
      <c r="R630">
        <v>62.6</v>
      </c>
      <c r="S630">
        <v>8</v>
      </c>
      <c r="T630">
        <v>0.1</v>
      </c>
      <c r="U630">
        <v>41.45</v>
      </c>
    </row>
    <row r="631" spans="1:21" x14ac:dyDescent="0.3">
      <c r="A631">
        <v>630</v>
      </c>
      <c r="B631" t="s">
        <v>650</v>
      </c>
      <c r="C631" s="2">
        <v>45706</v>
      </c>
      <c r="D631" s="2">
        <v>45709</v>
      </c>
      <c r="E631" t="s">
        <v>1521</v>
      </c>
      <c r="F631" t="s">
        <v>1779</v>
      </c>
      <c r="G631" t="s">
        <v>2244</v>
      </c>
      <c r="H631" t="s">
        <v>2316</v>
      </c>
      <c r="I631" t="s">
        <v>2317</v>
      </c>
      <c r="J631" t="s">
        <v>2325</v>
      </c>
      <c r="K631" t="s">
        <v>2325</v>
      </c>
      <c r="L631">
        <v>967784</v>
      </c>
      <c r="M631" t="s">
        <v>2332</v>
      </c>
      <c r="N631" t="s">
        <v>2486</v>
      </c>
      <c r="O631" t="s">
        <v>3053</v>
      </c>
      <c r="P631" t="s">
        <v>3062</v>
      </c>
      <c r="Q631" t="s">
        <v>3548</v>
      </c>
      <c r="R631">
        <v>67.75</v>
      </c>
      <c r="S631">
        <v>6</v>
      </c>
      <c r="T631">
        <v>0.15</v>
      </c>
      <c r="U631">
        <v>-21.9</v>
      </c>
    </row>
    <row r="632" spans="1:21" x14ac:dyDescent="0.3">
      <c r="A632">
        <v>631</v>
      </c>
      <c r="B632" t="s">
        <v>651</v>
      </c>
      <c r="C632" s="2">
        <v>45736</v>
      </c>
      <c r="D632" s="2">
        <v>45739</v>
      </c>
      <c r="E632" t="s">
        <v>1524</v>
      </c>
      <c r="F632" t="s">
        <v>1576</v>
      </c>
      <c r="G632" t="s">
        <v>1965</v>
      </c>
      <c r="H632" t="s">
        <v>2314</v>
      </c>
      <c r="I632" t="s">
        <v>2317</v>
      </c>
      <c r="J632" t="s">
        <v>2320</v>
      </c>
      <c r="K632" t="s">
        <v>2320</v>
      </c>
      <c r="L632">
        <v>899093</v>
      </c>
      <c r="M632" t="s">
        <v>2330</v>
      </c>
      <c r="N632" t="s">
        <v>2773</v>
      </c>
      <c r="O632" t="s">
        <v>3053</v>
      </c>
      <c r="P632" t="s">
        <v>3056</v>
      </c>
      <c r="Q632" t="s">
        <v>3549</v>
      </c>
      <c r="R632">
        <v>769.15</v>
      </c>
      <c r="S632">
        <v>3</v>
      </c>
      <c r="T632">
        <v>0.2</v>
      </c>
      <c r="U632">
        <v>-27.58</v>
      </c>
    </row>
    <row r="633" spans="1:21" x14ac:dyDescent="0.3">
      <c r="A633">
        <v>632</v>
      </c>
      <c r="B633" t="s">
        <v>652</v>
      </c>
      <c r="C633" s="2">
        <v>45473</v>
      </c>
      <c r="D633" s="2">
        <v>45475</v>
      </c>
      <c r="E633" t="s">
        <v>1523</v>
      </c>
      <c r="F633" t="s">
        <v>1750</v>
      </c>
      <c r="G633" t="s">
        <v>2197</v>
      </c>
      <c r="H633" t="s">
        <v>2316</v>
      </c>
      <c r="I633" t="s">
        <v>2317</v>
      </c>
      <c r="J633" t="s">
        <v>2326</v>
      </c>
      <c r="K633" t="s">
        <v>2326</v>
      </c>
      <c r="L633">
        <v>449738</v>
      </c>
      <c r="M633" t="s">
        <v>2331</v>
      </c>
      <c r="N633" t="s">
        <v>2621</v>
      </c>
      <c r="O633" t="s">
        <v>3055</v>
      </c>
      <c r="P633" t="s">
        <v>3067</v>
      </c>
      <c r="Q633" t="s">
        <v>3550</v>
      </c>
      <c r="R633">
        <v>306.87</v>
      </c>
      <c r="S633">
        <v>3</v>
      </c>
      <c r="T633">
        <v>0.15</v>
      </c>
      <c r="U633">
        <v>19.2</v>
      </c>
    </row>
    <row r="634" spans="1:21" x14ac:dyDescent="0.3">
      <c r="A634">
        <v>633</v>
      </c>
      <c r="B634" t="s">
        <v>653</v>
      </c>
      <c r="C634" s="2">
        <v>45458</v>
      </c>
      <c r="D634" s="2">
        <v>45461</v>
      </c>
      <c r="E634" t="s">
        <v>1523</v>
      </c>
      <c r="F634" t="s">
        <v>1699</v>
      </c>
      <c r="G634" t="s">
        <v>2245</v>
      </c>
      <c r="H634" t="s">
        <v>2315</v>
      </c>
      <c r="I634" t="s">
        <v>2317</v>
      </c>
      <c r="J634" t="s">
        <v>2327</v>
      </c>
      <c r="K634" t="s">
        <v>2327</v>
      </c>
      <c r="L634">
        <v>780047</v>
      </c>
      <c r="M634" t="s">
        <v>2330</v>
      </c>
      <c r="N634" t="s">
        <v>2493</v>
      </c>
      <c r="O634" t="s">
        <v>3055</v>
      </c>
      <c r="P634" t="s">
        <v>3060</v>
      </c>
      <c r="Q634" t="s">
        <v>3551</v>
      </c>
      <c r="R634">
        <v>162.97</v>
      </c>
      <c r="S634">
        <v>5</v>
      </c>
      <c r="T634">
        <v>0.2</v>
      </c>
      <c r="U634">
        <v>27.41</v>
      </c>
    </row>
    <row r="635" spans="1:21" x14ac:dyDescent="0.3">
      <c r="A635">
        <v>634</v>
      </c>
      <c r="B635" t="s">
        <v>654</v>
      </c>
      <c r="C635" s="2">
        <v>45382</v>
      </c>
      <c r="D635" s="2">
        <v>45386</v>
      </c>
      <c r="E635" t="s">
        <v>1524</v>
      </c>
      <c r="F635" t="s">
        <v>1545</v>
      </c>
      <c r="G635" t="s">
        <v>1940</v>
      </c>
      <c r="H635" t="s">
        <v>2315</v>
      </c>
      <c r="I635" t="s">
        <v>2317</v>
      </c>
      <c r="J635" t="s">
        <v>2323</v>
      </c>
      <c r="K635" t="s">
        <v>2323</v>
      </c>
      <c r="L635">
        <v>966525</v>
      </c>
      <c r="M635" t="s">
        <v>2328</v>
      </c>
      <c r="N635" t="s">
        <v>2688</v>
      </c>
      <c r="O635" t="s">
        <v>3054</v>
      </c>
      <c r="P635" t="s">
        <v>3063</v>
      </c>
      <c r="Q635" t="s">
        <v>3405</v>
      </c>
      <c r="R635">
        <v>71.7</v>
      </c>
      <c r="S635">
        <v>7</v>
      </c>
      <c r="T635">
        <v>0.15</v>
      </c>
      <c r="U635">
        <v>50.92</v>
      </c>
    </row>
    <row r="636" spans="1:21" x14ac:dyDescent="0.3">
      <c r="A636">
        <v>635</v>
      </c>
      <c r="B636" t="s">
        <v>655</v>
      </c>
      <c r="C636" s="2">
        <v>46005</v>
      </c>
      <c r="D636" s="2">
        <v>46007</v>
      </c>
      <c r="E636" t="s">
        <v>1521</v>
      </c>
      <c r="F636" t="s">
        <v>1683</v>
      </c>
      <c r="G636" t="s">
        <v>2144</v>
      </c>
      <c r="H636" t="s">
        <v>2316</v>
      </c>
      <c r="I636" t="s">
        <v>2317</v>
      </c>
      <c r="J636" t="s">
        <v>2324</v>
      </c>
      <c r="K636" t="s">
        <v>2324</v>
      </c>
      <c r="L636">
        <v>716108</v>
      </c>
      <c r="M636" t="s">
        <v>2330</v>
      </c>
      <c r="N636" t="s">
        <v>2774</v>
      </c>
      <c r="O636" t="s">
        <v>3053</v>
      </c>
      <c r="P636" t="s">
        <v>3062</v>
      </c>
      <c r="Q636" t="s">
        <v>3428</v>
      </c>
      <c r="R636">
        <v>96.25</v>
      </c>
      <c r="S636">
        <v>6</v>
      </c>
      <c r="T636">
        <v>0.2</v>
      </c>
      <c r="U636">
        <v>0.22</v>
      </c>
    </row>
    <row r="637" spans="1:21" x14ac:dyDescent="0.3">
      <c r="A637">
        <v>636</v>
      </c>
      <c r="B637" t="s">
        <v>656</v>
      </c>
      <c r="C637" s="2">
        <v>45822</v>
      </c>
      <c r="D637" s="2">
        <v>45824</v>
      </c>
      <c r="E637" t="s">
        <v>1523</v>
      </c>
      <c r="F637" t="s">
        <v>1845</v>
      </c>
      <c r="G637" t="s">
        <v>2194</v>
      </c>
      <c r="H637" t="s">
        <v>2314</v>
      </c>
      <c r="I637" t="s">
        <v>2317</v>
      </c>
      <c r="J637" t="s">
        <v>2325</v>
      </c>
      <c r="K637" t="s">
        <v>2325</v>
      </c>
      <c r="L637">
        <v>995150</v>
      </c>
      <c r="M637" t="s">
        <v>2332</v>
      </c>
      <c r="N637" t="s">
        <v>2509</v>
      </c>
      <c r="O637" t="s">
        <v>3053</v>
      </c>
      <c r="P637" t="s">
        <v>3065</v>
      </c>
      <c r="Q637" t="s">
        <v>3552</v>
      </c>
      <c r="R637">
        <v>407.28</v>
      </c>
      <c r="S637">
        <v>2</v>
      </c>
      <c r="T637">
        <v>0.05</v>
      </c>
      <c r="U637">
        <v>50.47</v>
      </c>
    </row>
    <row r="638" spans="1:21" x14ac:dyDescent="0.3">
      <c r="A638">
        <v>637</v>
      </c>
      <c r="B638" t="s">
        <v>657</v>
      </c>
      <c r="C638" s="2">
        <v>45330</v>
      </c>
      <c r="D638" s="2">
        <v>45333</v>
      </c>
      <c r="E638" t="s">
        <v>1521</v>
      </c>
      <c r="F638" t="s">
        <v>1682</v>
      </c>
      <c r="G638" t="s">
        <v>2221</v>
      </c>
      <c r="H638" t="s">
        <v>2314</v>
      </c>
      <c r="I638" t="s">
        <v>2317</v>
      </c>
      <c r="J638" t="s">
        <v>2318</v>
      </c>
      <c r="K638" t="s">
        <v>2318</v>
      </c>
      <c r="L638">
        <v>537509</v>
      </c>
      <c r="M638" t="s">
        <v>2328</v>
      </c>
      <c r="N638" t="s">
        <v>2344</v>
      </c>
      <c r="O638" t="s">
        <v>3053</v>
      </c>
      <c r="P638" t="s">
        <v>3056</v>
      </c>
      <c r="Q638" t="s">
        <v>3553</v>
      </c>
      <c r="R638">
        <v>117.61</v>
      </c>
      <c r="S638">
        <v>3</v>
      </c>
      <c r="T638">
        <v>0</v>
      </c>
      <c r="U638">
        <v>-32.590000000000003</v>
      </c>
    </row>
    <row r="639" spans="1:21" x14ac:dyDescent="0.3">
      <c r="A639">
        <v>638</v>
      </c>
      <c r="B639" t="s">
        <v>658</v>
      </c>
      <c r="C639" s="2">
        <v>45417</v>
      </c>
      <c r="D639" s="2">
        <v>45421</v>
      </c>
      <c r="E639" t="s">
        <v>1521</v>
      </c>
      <c r="F639" t="s">
        <v>1846</v>
      </c>
      <c r="G639" t="s">
        <v>2220</v>
      </c>
      <c r="H639" t="s">
        <v>2315</v>
      </c>
      <c r="I639" t="s">
        <v>2317</v>
      </c>
      <c r="J639" t="s">
        <v>2319</v>
      </c>
      <c r="K639" t="s">
        <v>2319</v>
      </c>
      <c r="L639">
        <v>307606</v>
      </c>
      <c r="M639" t="s">
        <v>2329</v>
      </c>
      <c r="N639" t="s">
        <v>2775</v>
      </c>
      <c r="O639" t="s">
        <v>3053</v>
      </c>
      <c r="P639" t="s">
        <v>3066</v>
      </c>
      <c r="Q639" t="s">
        <v>3554</v>
      </c>
      <c r="R639">
        <v>193.14</v>
      </c>
      <c r="S639">
        <v>5</v>
      </c>
      <c r="T639">
        <v>0.3</v>
      </c>
      <c r="U639">
        <v>1.55</v>
      </c>
    </row>
    <row r="640" spans="1:21" x14ac:dyDescent="0.3">
      <c r="A640">
        <v>639</v>
      </c>
      <c r="B640" t="s">
        <v>659</v>
      </c>
      <c r="C640" s="2">
        <v>45742</v>
      </c>
      <c r="D640" s="2">
        <v>45745</v>
      </c>
      <c r="E640" t="s">
        <v>1522</v>
      </c>
      <c r="F640" t="s">
        <v>1633</v>
      </c>
      <c r="G640" t="s">
        <v>2246</v>
      </c>
      <c r="H640" t="s">
        <v>2314</v>
      </c>
      <c r="I640" t="s">
        <v>2317</v>
      </c>
      <c r="J640" t="s">
        <v>2325</v>
      </c>
      <c r="K640" t="s">
        <v>2325</v>
      </c>
      <c r="L640">
        <v>201611</v>
      </c>
      <c r="M640" t="s">
        <v>2332</v>
      </c>
      <c r="N640" t="s">
        <v>2539</v>
      </c>
      <c r="O640" t="s">
        <v>3055</v>
      </c>
      <c r="P640" t="s">
        <v>3059</v>
      </c>
      <c r="Q640" t="s">
        <v>3506</v>
      </c>
      <c r="R640">
        <v>411.45</v>
      </c>
      <c r="S640">
        <v>7</v>
      </c>
      <c r="T640">
        <v>0.2</v>
      </c>
      <c r="U640">
        <v>6.32</v>
      </c>
    </row>
    <row r="641" spans="1:21" x14ac:dyDescent="0.3">
      <c r="A641">
        <v>640</v>
      </c>
      <c r="B641" t="s">
        <v>660</v>
      </c>
      <c r="C641" s="2">
        <v>45464</v>
      </c>
      <c r="D641" s="2">
        <v>45468</v>
      </c>
      <c r="E641" t="s">
        <v>1522</v>
      </c>
      <c r="F641" t="s">
        <v>1569</v>
      </c>
      <c r="G641" t="s">
        <v>1922</v>
      </c>
      <c r="H641" t="s">
        <v>2315</v>
      </c>
      <c r="I641" t="s">
        <v>2317</v>
      </c>
      <c r="J641" t="s">
        <v>2321</v>
      </c>
      <c r="K641" t="s">
        <v>2321</v>
      </c>
      <c r="L641">
        <v>940249</v>
      </c>
      <c r="M641" t="s">
        <v>2329</v>
      </c>
      <c r="N641" t="s">
        <v>2776</v>
      </c>
      <c r="O641" t="s">
        <v>3053</v>
      </c>
      <c r="P641" t="s">
        <v>3056</v>
      </c>
      <c r="Q641" t="s">
        <v>3555</v>
      </c>
      <c r="R641">
        <v>214.59</v>
      </c>
      <c r="S641">
        <v>3</v>
      </c>
      <c r="T641">
        <v>0.15</v>
      </c>
      <c r="U641">
        <v>26.37</v>
      </c>
    </row>
    <row r="642" spans="1:21" x14ac:dyDescent="0.3">
      <c r="A642">
        <v>641</v>
      </c>
      <c r="B642" t="s">
        <v>661</v>
      </c>
      <c r="C642" s="2">
        <v>45944</v>
      </c>
      <c r="D642" s="2">
        <v>45947</v>
      </c>
      <c r="E642" t="s">
        <v>1524</v>
      </c>
      <c r="F642" t="s">
        <v>1842</v>
      </c>
      <c r="G642" t="s">
        <v>2128</v>
      </c>
      <c r="H642" t="s">
        <v>2314</v>
      </c>
      <c r="I642" t="s">
        <v>2317</v>
      </c>
      <c r="J642" t="s">
        <v>2327</v>
      </c>
      <c r="K642" t="s">
        <v>2327</v>
      </c>
      <c r="L642">
        <v>916460</v>
      </c>
      <c r="M642" t="s">
        <v>2330</v>
      </c>
      <c r="N642" t="s">
        <v>2551</v>
      </c>
      <c r="O642" t="s">
        <v>3054</v>
      </c>
      <c r="P642" t="s">
        <v>3057</v>
      </c>
      <c r="Q642" t="s">
        <v>3219</v>
      </c>
      <c r="R642">
        <v>47.35</v>
      </c>
      <c r="S642">
        <v>4</v>
      </c>
      <c r="T642">
        <v>0.4</v>
      </c>
      <c r="U642">
        <v>10.91</v>
      </c>
    </row>
    <row r="643" spans="1:21" x14ac:dyDescent="0.3">
      <c r="A643">
        <v>642</v>
      </c>
      <c r="B643" t="s">
        <v>662</v>
      </c>
      <c r="C643" s="2">
        <v>45511</v>
      </c>
      <c r="D643" s="2">
        <v>45513</v>
      </c>
      <c r="E643" t="s">
        <v>1524</v>
      </c>
      <c r="F643" t="s">
        <v>1847</v>
      </c>
      <c r="G643" t="s">
        <v>2126</v>
      </c>
      <c r="H643" t="s">
        <v>2314</v>
      </c>
      <c r="I643" t="s">
        <v>2317</v>
      </c>
      <c r="J643" t="s">
        <v>2322</v>
      </c>
      <c r="K643" t="s">
        <v>2322</v>
      </c>
      <c r="L643">
        <v>186978</v>
      </c>
      <c r="M643" t="s">
        <v>2331</v>
      </c>
      <c r="N643" t="s">
        <v>2515</v>
      </c>
      <c r="O643" t="s">
        <v>3055</v>
      </c>
      <c r="P643" t="s">
        <v>3060</v>
      </c>
      <c r="Q643" t="s">
        <v>3556</v>
      </c>
      <c r="R643">
        <v>406.7</v>
      </c>
      <c r="S643">
        <v>3</v>
      </c>
      <c r="T643">
        <v>0.05</v>
      </c>
      <c r="U643">
        <v>90.82</v>
      </c>
    </row>
    <row r="644" spans="1:21" x14ac:dyDescent="0.3">
      <c r="A644">
        <v>643</v>
      </c>
      <c r="B644" t="s">
        <v>663</v>
      </c>
      <c r="C644" s="2">
        <v>45929</v>
      </c>
      <c r="D644" s="2">
        <v>45934</v>
      </c>
      <c r="E644" t="s">
        <v>1523</v>
      </c>
      <c r="F644" t="s">
        <v>1848</v>
      </c>
      <c r="G644" t="s">
        <v>2038</v>
      </c>
      <c r="H644" t="s">
        <v>2314</v>
      </c>
      <c r="I644" t="s">
        <v>2317</v>
      </c>
      <c r="J644" t="s">
        <v>2323</v>
      </c>
      <c r="K644" t="s">
        <v>2323</v>
      </c>
      <c r="L644">
        <v>549303</v>
      </c>
      <c r="M644" t="s">
        <v>2328</v>
      </c>
      <c r="N644" t="s">
        <v>2777</v>
      </c>
      <c r="O644" t="s">
        <v>3055</v>
      </c>
      <c r="P644" t="s">
        <v>3059</v>
      </c>
      <c r="Q644" t="s">
        <v>3557</v>
      </c>
      <c r="R644">
        <v>178.65</v>
      </c>
      <c r="S644">
        <v>2</v>
      </c>
      <c r="T644">
        <v>0.1</v>
      </c>
      <c r="U644">
        <v>64.260000000000005</v>
      </c>
    </row>
    <row r="645" spans="1:21" x14ac:dyDescent="0.3">
      <c r="A645">
        <v>644</v>
      </c>
      <c r="B645" t="s">
        <v>664</v>
      </c>
      <c r="C645" s="2">
        <v>45349</v>
      </c>
      <c r="D645" s="2">
        <v>45351</v>
      </c>
      <c r="E645" t="s">
        <v>1521</v>
      </c>
      <c r="F645" t="s">
        <v>1615</v>
      </c>
      <c r="G645" t="s">
        <v>2247</v>
      </c>
      <c r="H645" t="s">
        <v>2315</v>
      </c>
      <c r="I645" t="s">
        <v>2317</v>
      </c>
      <c r="J645" t="s">
        <v>2324</v>
      </c>
      <c r="K645" t="s">
        <v>2324</v>
      </c>
      <c r="L645">
        <v>103515</v>
      </c>
      <c r="M645" t="s">
        <v>2330</v>
      </c>
      <c r="N645" t="s">
        <v>2583</v>
      </c>
      <c r="O645" t="s">
        <v>3055</v>
      </c>
      <c r="P645" t="s">
        <v>3067</v>
      </c>
      <c r="Q645" t="s">
        <v>3188</v>
      </c>
      <c r="R645">
        <v>193.91</v>
      </c>
      <c r="S645">
        <v>5</v>
      </c>
      <c r="T645">
        <v>0.15</v>
      </c>
      <c r="U645">
        <v>30.13</v>
      </c>
    </row>
    <row r="646" spans="1:21" x14ac:dyDescent="0.3">
      <c r="A646">
        <v>645</v>
      </c>
      <c r="B646" t="s">
        <v>665</v>
      </c>
      <c r="C646" s="2">
        <v>45951</v>
      </c>
      <c r="D646" s="2">
        <v>45955</v>
      </c>
      <c r="E646" t="s">
        <v>1521</v>
      </c>
      <c r="F646" t="s">
        <v>1849</v>
      </c>
      <c r="G646" t="s">
        <v>2123</v>
      </c>
      <c r="H646" t="s">
        <v>2315</v>
      </c>
      <c r="I646" t="s">
        <v>2317</v>
      </c>
      <c r="J646" t="s">
        <v>2323</v>
      </c>
      <c r="K646" t="s">
        <v>2323</v>
      </c>
      <c r="L646">
        <v>514546</v>
      </c>
      <c r="M646" t="s">
        <v>2328</v>
      </c>
      <c r="N646" t="s">
        <v>2778</v>
      </c>
      <c r="O646" t="s">
        <v>3053</v>
      </c>
      <c r="P646" t="s">
        <v>3056</v>
      </c>
      <c r="Q646" t="s">
        <v>3558</v>
      </c>
      <c r="R646">
        <v>212.8</v>
      </c>
      <c r="S646">
        <v>1</v>
      </c>
      <c r="T646">
        <v>0.3</v>
      </c>
      <c r="U646">
        <v>-51.24</v>
      </c>
    </row>
    <row r="647" spans="1:21" x14ac:dyDescent="0.3">
      <c r="A647">
        <v>646</v>
      </c>
      <c r="B647" t="s">
        <v>666</v>
      </c>
      <c r="C647" s="2">
        <v>45767</v>
      </c>
      <c r="D647" s="2">
        <v>45771</v>
      </c>
      <c r="E647" t="s">
        <v>1522</v>
      </c>
      <c r="F647" t="s">
        <v>1850</v>
      </c>
      <c r="G647" t="s">
        <v>2098</v>
      </c>
      <c r="H647" t="s">
        <v>2315</v>
      </c>
      <c r="I647" t="s">
        <v>2317</v>
      </c>
      <c r="J647" t="s">
        <v>2325</v>
      </c>
      <c r="K647" t="s">
        <v>2325</v>
      </c>
      <c r="L647">
        <v>858947</v>
      </c>
      <c r="M647" t="s">
        <v>2332</v>
      </c>
      <c r="N647" t="s">
        <v>2779</v>
      </c>
      <c r="O647" t="s">
        <v>3054</v>
      </c>
      <c r="P647" t="s">
        <v>3064</v>
      </c>
      <c r="Q647" t="s">
        <v>3559</v>
      </c>
      <c r="R647">
        <v>50.23</v>
      </c>
      <c r="S647">
        <v>6</v>
      </c>
      <c r="T647">
        <v>0.1</v>
      </c>
      <c r="U647">
        <v>29.83</v>
      </c>
    </row>
    <row r="648" spans="1:21" x14ac:dyDescent="0.3">
      <c r="A648">
        <v>647</v>
      </c>
      <c r="B648" t="s">
        <v>667</v>
      </c>
      <c r="C648" s="2">
        <v>45747</v>
      </c>
      <c r="D648" s="2">
        <v>45749</v>
      </c>
      <c r="E648" t="s">
        <v>1521</v>
      </c>
      <c r="F648" t="s">
        <v>1738</v>
      </c>
      <c r="G648" t="s">
        <v>1986</v>
      </c>
      <c r="H648" t="s">
        <v>2314</v>
      </c>
      <c r="I648" t="s">
        <v>2317</v>
      </c>
      <c r="J648" t="s">
        <v>2322</v>
      </c>
      <c r="K648" t="s">
        <v>2322</v>
      </c>
      <c r="L648">
        <v>389604</v>
      </c>
      <c r="M648" t="s">
        <v>2331</v>
      </c>
      <c r="N648" t="s">
        <v>2780</v>
      </c>
      <c r="O648" t="s">
        <v>3055</v>
      </c>
      <c r="P648" t="s">
        <v>3067</v>
      </c>
      <c r="Q648" t="s">
        <v>3129</v>
      </c>
      <c r="R648">
        <v>2817.58</v>
      </c>
      <c r="S648">
        <v>8</v>
      </c>
      <c r="T648">
        <v>0.05</v>
      </c>
      <c r="U648">
        <v>353.07</v>
      </c>
    </row>
    <row r="649" spans="1:21" x14ac:dyDescent="0.3">
      <c r="A649">
        <v>648</v>
      </c>
      <c r="B649" t="s">
        <v>668</v>
      </c>
      <c r="C649" s="2">
        <v>45652</v>
      </c>
      <c r="D649" s="2">
        <v>45653</v>
      </c>
      <c r="E649" t="s">
        <v>1524</v>
      </c>
      <c r="F649" t="s">
        <v>1851</v>
      </c>
      <c r="G649" t="s">
        <v>1966</v>
      </c>
      <c r="H649" t="s">
        <v>2315</v>
      </c>
      <c r="I649" t="s">
        <v>2317</v>
      </c>
      <c r="J649" t="s">
        <v>2321</v>
      </c>
      <c r="K649" t="s">
        <v>2321</v>
      </c>
      <c r="L649">
        <v>590533</v>
      </c>
      <c r="M649" t="s">
        <v>2329</v>
      </c>
      <c r="N649" t="s">
        <v>2523</v>
      </c>
      <c r="O649" t="s">
        <v>3055</v>
      </c>
      <c r="P649" t="s">
        <v>3067</v>
      </c>
      <c r="Q649" t="s">
        <v>3113</v>
      </c>
      <c r="R649">
        <v>478.59</v>
      </c>
      <c r="S649">
        <v>6</v>
      </c>
      <c r="T649">
        <v>0.15</v>
      </c>
      <c r="U649">
        <v>19.98</v>
      </c>
    </row>
    <row r="650" spans="1:21" x14ac:dyDescent="0.3">
      <c r="A650">
        <v>649</v>
      </c>
      <c r="B650" t="s">
        <v>669</v>
      </c>
      <c r="C650" s="2">
        <v>45292</v>
      </c>
      <c r="D650" s="2">
        <v>45297</v>
      </c>
      <c r="E650" t="s">
        <v>1522</v>
      </c>
      <c r="F650" t="s">
        <v>1629</v>
      </c>
      <c r="G650" t="s">
        <v>2131</v>
      </c>
      <c r="H650" t="s">
        <v>2314</v>
      </c>
      <c r="I650" t="s">
        <v>2317</v>
      </c>
      <c r="J650" t="s">
        <v>2320</v>
      </c>
      <c r="K650" t="s">
        <v>2320</v>
      </c>
      <c r="L650">
        <v>963018</v>
      </c>
      <c r="M650" t="s">
        <v>2330</v>
      </c>
      <c r="N650" t="s">
        <v>2781</v>
      </c>
      <c r="O650" t="s">
        <v>3053</v>
      </c>
      <c r="P650" t="s">
        <v>3066</v>
      </c>
      <c r="Q650" t="s">
        <v>3461</v>
      </c>
      <c r="R650">
        <v>622.47</v>
      </c>
      <c r="S650">
        <v>4</v>
      </c>
      <c r="T650">
        <v>0.1</v>
      </c>
      <c r="U650">
        <v>72.44</v>
      </c>
    </row>
    <row r="651" spans="1:21" x14ac:dyDescent="0.3">
      <c r="A651">
        <v>650</v>
      </c>
      <c r="B651" t="s">
        <v>670</v>
      </c>
      <c r="C651" s="2">
        <v>45678</v>
      </c>
      <c r="D651" s="2">
        <v>45682</v>
      </c>
      <c r="E651" t="s">
        <v>1523</v>
      </c>
      <c r="F651" t="s">
        <v>1834</v>
      </c>
      <c r="G651" t="s">
        <v>2140</v>
      </c>
      <c r="H651" t="s">
        <v>2315</v>
      </c>
      <c r="I651" t="s">
        <v>2317</v>
      </c>
      <c r="J651" t="s">
        <v>2319</v>
      </c>
      <c r="K651" t="s">
        <v>2319</v>
      </c>
      <c r="L651">
        <v>201096</v>
      </c>
      <c r="M651" t="s">
        <v>2329</v>
      </c>
      <c r="N651" t="s">
        <v>2655</v>
      </c>
      <c r="O651" t="s">
        <v>3054</v>
      </c>
      <c r="P651" t="s">
        <v>3064</v>
      </c>
      <c r="Q651" t="s">
        <v>3560</v>
      </c>
      <c r="R651">
        <v>193.85</v>
      </c>
      <c r="S651">
        <v>2</v>
      </c>
      <c r="T651">
        <v>0.2</v>
      </c>
      <c r="U651">
        <v>14.99</v>
      </c>
    </row>
    <row r="652" spans="1:21" x14ac:dyDescent="0.3">
      <c r="A652">
        <v>651</v>
      </c>
      <c r="B652" t="s">
        <v>671</v>
      </c>
      <c r="C652" s="2">
        <v>45639</v>
      </c>
      <c r="D652" s="2">
        <v>45642</v>
      </c>
      <c r="E652" t="s">
        <v>1524</v>
      </c>
      <c r="F652" t="s">
        <v>1817</v>
      </c>
      <c r="G652" t="s">
        <v>2248</v>
      </c>
      <c r="H652" t="s">
        <v>2316</v>
      </c>
      <c r="I652" t="s">
        <v>2317</v>
      </c>
      <c r="J652" t="s">
        <v>2322</v>
      </c>
      <c r="K652" t="s">
        <v>2322</v>
      </c>
      <c r="L652">
        <v>171540</v>
      </c>
      <c r="M652" t="s">
        <v>2331</v>
      </c>
      <c r="N652" t="s">
        <v>2480</v>
      </c>
      <c r="O652" t="s">
        <v>3054</v>
      </c>
      <c r="P652" t="s">
        <v>3058</v>
      </c>
      <c r="Q652" t="s">
        <v>3561</v>
      </c>
      <c r="R652">
        <v>66.95</v>
      </c>
      <c r="S652">
        <v>3</v>
      </c>
      <c r="T652">
        <v>0.1</v>
      </c>
      <c r="U652">
        <v>14.6</v>
      </c>
    </row>
    <row r="653" spans="1:21" x14ac:dyDescent="0.3">
      <c r="A653">
        <v>652</v>
      </c>
      <c r="B653" t="s">
        <v>672</v>
      </c>
      <c r="C653" s="2">
        <v>45481</v>
      </c>
      <c r="D653" s="2">
        <v>45484</v>
      </c>
      <c r="E653" t="s">
        <v>1523</v>
      </c>
      <c r="F653" t="s">
        <v>1847</v>
      </c>
      <c r="G653" t="s">
        <v>2114</v>
      </c>
      <c r="H653" t="s">
        <v>2315</v>
      </c>
      <c r="I653" t="s">
        <v>2317</v>
      </c>
      <c r="J653" t="s">
        <v>2327</v>
      </c>
      <c r="K653" t="s">
        <v>2327</v>
      </c>
      <c r="L653">
        <v>741067</v>
      </c>
      <c r="M653" t="s">
        <v>2330</v>
      </c>
      <c r="N653" t="s">
        <v>2782</v>
      </c>
      <c r="O653" t="s">
        <v>3053</v>
      </c>
      <c r="P653" t="s">
        <v>3066</v>
      </c>
      <c r="Q653" t="s">
        <v>3562</v>
      </c>
      <c r="R653">
        <v>165.1</v>
      </c>
      <c r="S653">
        <v>4</v>
      </c>
      <c r="T653">
        <v>0.1</v>
      </c>
      <c r="U653">
        <v>32.06</v>
      </c>
    </row>
    <row r="654" spans="1:21" x14ac:dyDescent="0.3">
      <c r="A654">
        <v>653</v>
      </c>
      <c r="B654" t="s">
        <v>673</v>
      </c>
      <c r="C654" s="2">
        <v>45796</v>
      </c>
      <c r="D654" s="2">
        <v>45797</v>
      </c>
      <c r="E654" t="s">
        <v>1523</v>
      </c>
      <c r="F654" t="s">
        <v>1728</v>
      </c>
      <c r="G654" t="s">
        <v>2151</v>
      </c>
      <c r="H654" t="s">
        <v>2314</v>
      </c>
      <c r="I654" t="s">
        <v>2317</v>
      </c>
      <c r="J654" t="s">
        <v>2318</v>
      </c>
      <c r="K654" t="s">
        <v>2318</v>
      </c>
      <c r="L654">
        <v>768646</v>
      </c>
      <c r="M654" t="s">
        <v>2328</v>
      </c>
      <c r="N654" t="s">
        <v>2783</v>
      </c>
      <c r="O654" t="s">
        <v>3054</v>
      </c>
      <c r="P654" t="s">
        <v>3057</v>
      </c>
      <c r="Q654" t="s">
        <v>3368</v>
      </c>
      <c r="R654">
        <v>174.99</v>
      </c>
      <c r="S654">
        <v>2</v>
      </c>
      <c r="T654">
        <v>0.15</v>
      </c>
      <c r="U654">
        <v>7.15</v>
      </c>
    </row>
    <row r="655" spans="1:21" x14ac:dyDescent="0.3">
      <c r="A655">
        <v>654</v>
      </c>
      <c r="B655" t="s">
        <v>674</v>
      </c>
      <c r="C655" s="2">
        <v>45482</v>
      </c>
      <c r="D655" s="2">
        <v>45486</v>
      </c>
      <c r="E655" t="s">
        <v>1521</v>
      </c>
      <c r="F655" t="s">
        <v>1852</v>
      </c>
      <c r="G655" t="s">
        <v>2008</v>
      </c>
      <c r="H655" t="s">
        <v>2314</v>
      </c>
      <c r="I655" t="s">
        <v>2317</v>
      </c>
      <c r="J655" t="s">
        <v>2321</v>
      </c>
      <c r="K655" t="s">
        <v>2321</v>
      </c>
      <c r="L655">
        <v>811045</v>
      </c>
      <c r="M655" t="s">
        <v>2329</v>
      </c>
      <c r="N655" t="s">
        <v>2583</v>
      </c>
      <c r="O655" t="s">
        <v>3054</v>
      </c>
      <c r="P655" t="s">
        <v>3057</v>
      </c>
      <c r="Q655" t="s">
        <v>3563</v>
      </c>
      <c r="R655">
        <v>97.23</v>
      </c>
      <c r="S655">
        <v>1</v>
      </c>
      <c r="T655">
        <v>0.2</v>
      </c>
      <c r="U655">
        <v>3.19</v>
      </c>
    </row>
    <row r="656" spans="1:21" x14ac:dyDescent="0.3">
      <c r="A656">
        <v>655</v>
      </c>
      <c r="B656" t="s">
        <v>675</v>
      </c>
      <c r="C656" s="2">
        <v>45799</v>
      </c>
      <c r="D656" s="2">
        <v>45802</v>
      </c>
      <c r="E656" t="s">
        <v>1524</v>
      </c>
      <c r="F656" t="s">
        <v>1726</v>
      </c>
      <c r="G656" t="s">
        <v>2249</v>
      </c>
      <c r="H656" t="s">
        <v>2315</v>
      </c>
      <c r="I656" t="s">
        <v>2317</v>
      </c>
      <c r="J656" t="s">
        <v>2319</v>
      </c>
      <c r="K656" t="s">
        <v>2319</v>
      </c>
      <c r="L656">
        <v>820643</v>
      </c>
      <c r="M656" t="s">
        <v>2329</v>
      </c>
      <c r="N656" t="s">
        <v>2784</v>
      </c>
      <c r="O656" t="s">
        <v>3054</v>
      </c>
      <c r="P656" t="s">
        <v>3058</v>
      </c>
      <c r="Q656" t="s">
        <v>3564</v>
      </c>
      <c r="R656">
        <v>47.86</v>
      </c>
      <c r="S656">
        <v>4</v>
      </c>
      <c r="T656">
        <v>0.1</v>
      </c>
      <c r="U656">
        <v>22.45</v>
      </c>
    </row>
    <row r="657" spans="1:21" x14ac:dyDescent="0.3">
      <c r="A657">
        <v>656</v>
      </c>
      <c r="B657" t="s">
        <v>676</v>
      </c>
      <c r="C657" s="2">
        <v>45660</v>
      </c>
      <c r="D657" s="2">
        <v>45663</v>
      </c>
      <c r="E657" t="s">
        <v>1523</v>
      </c>
      <c r="F657" t="s">
        <v>1572</v>
      </c>
      <c r="G657" t="s">
        <v>2250</v>
      </c>
      <c r="H657" t="s">
        <v>2315</v>
      </c>
      <c r="I657" t="s">
        <v>2317</v>
      </c>
      <c r="J657" t="s">
        <v>2324</v>
      </c>
      <c r="K657" t="s">
        <v>2324</v>
      </c>
      <c r="L657">
        <v>273285</v>
      </c>
      <c r="M657" t="s">
        <v>2330</v>
      </c>
      <c r="N657" t="s">
        <v>2762</v>
      </c>
      <c r="O657" t="s">
        <v>3054</v>
      </c>
      <c r="P657" t="s">
        <v>3063</v>
      </c>
      <c r="Q657" t="s">
        <v>3565</v>
      </c>
      <c r="R657">
        <v>179.66</v>
      </c>
      <c r="S657">
        <v>9</v>
      </c>
      <c r="T657">
        <v>0.1</v>
      </c>
      <c r="U657">
        <v>43.78</v>
      </c>
    </row>
    <row r="658" spans="1:21" x14ac:dyDescent="0.3">
      <c r="A658">
        <v>657</v>
      </c>
      <c r="B658" t="s">
        <v>677</v>
      </c>
      <c r="C658" s="2">
        <v>45700</v>
      </c>
      <c r="D658" s="2">
        <v>45703</v>
      </c>
      <c r="E658" t="s">
        <v>1521</v>
      </c>
      <c r="F658" t="s">
        <v>1577</v>
      </c>
      <c r="G658" t="s">
        <v>2172</v>
      </c>
      <c r="H658" t="s">
        <v>2315</v>
      </c>
      <c r="I658" t="s">
        <v>2317</v>
      </c>
      <c r="J658" t="s">
        <v>2318</v>
      </c>
      <c r="K658" t="s">
        <v>2318</v>
      </c>
      <c r="L658">
        <v>461995</v>
      </c>
      <c r="M658" t="s">
        <v>2328</v>
      </c>
      <c r="N658" t="s">
        <v>2785</v>
      </c>
      <c r="O658" t="s">
        <v>3055</v>
      </c>
      <c r="P658" t="s">
        <v>3059</v>
      </c>
      <c r="Q658" t="s">
        <v>3424</v>
      </c>
      <c r="R658">
        <v>257.05</v>
      </c>
      <c r="S658">
        <v>2</v>
      </c>
      <c r="T658">
        <v>0.1</v>
      </c>
      <c r="U658">
        <v>9.5</v>
      </c>
    </row>
    <row r="659" spans="1:21" x14ac:dyDescent="0.3">
      <c r="A659">
        <v>658</v>
      </c>
      <c r="B659" t="s">
        <v>678</v>
      </c>
      <c r="C659" s="2">
        <v>45408</v>
      </c>
      <c r="D659" s="2">
        <v>45409</v>
      </c>
      <c r="E659" t="s">
        <v>1522</v>
      </c>
      <c r="F659" t="s">
        <v>1829</v>
      </c>
      <c r="G659" t="s">
        <v>2216</v>
      </c>
      <c r="H659" t="s">
        <v>2316</v>
      </c>
      <c r="I659" t="s">
        <v>2317</v>
      </c>
      <c r="J659" t="s">
        <v>2325</v>
      </c>
      <c r="K659" t="s">
        <v>2325</v>
      </c>
      <c r="L659">
        <v>762600</v>
      </c>
      <c r="M659" t="s">
        <v>2332</v>
      </c>
      <c r="N659" t="s">
        <v>2633</v>
      </c>
      <c r="O659" t="s">
        <v>3055</v>
      </c>
      <c r="P659" t="s">
        <v>3060</v>
      </c>
      <c r="Q659" t="s">
        <v>3566</v>
      </c>
      <c r="R659">
        <v>120.87</v>
      </c>
      <c r="S659">
        <v>7</v>
      </c>
      <c r="T659">
        <v>0.1</v>
      </c>
      <c r="U659">
        <v>5.96</v>
      </c>
    </row>
    <row r="660" spans="1:21" x14ac:dyDescent="0.3">
      <c r="A660">
        <v>659</v>
      </c>
      <c r="B660" t="s">
        <v>679</v>
      </c>
      <c r="C660" s="2">
        <v>45425</v>
      </c>
      <c r="D660" s="2">
        <v>45427</v>
      </c>
      <c r="E660" t="s">
        <v>1524</v>
      </c>
      <c r="F660" t="s">
        <v>1816</v>
      </c>
      <c r="G660" t="s">
        <v>2251</v>
      </c>
      <c r="H660" t="s">
        <v>2315</v>
      </c>
      <c r="I660" t="s">
        <v>2317</v>
      </c>
      <c r="J660" t="s">
        <v>2322</v>
      </c>
      <c r="K660" t="s">
        <v>2322</v>
      </c>
      <c r="L660">
        <v>185687</v>
      </c>
      <c r="M660" t="s">
        <v>2331</v>
      </c>
      <c r="N660" t="s">
        <v>2786</v>
      </c>
      <c r="O660" t="s">
        <v>3055</v>
      </c>
      <c r="P660" t="s">
        <v>3067</v>
      </c>
      <c r="Q660" t="s">
        <v>3211</v>
      </c>
      <c r="R660">
        <v>434.68</v>
      </c>
      <c r="S660">
        <v>6</v>
      </c>
      <c r="T660">
        <v>0.05</v>
      </c>
      <c r="U660">
        <v>61.29</v>
      </c>
    </row>
    <row r="661" spans="1:21" x14ac:dyDescent="0.3">
      <c r="A661">
        <v>660</v>
      </c>
      <c r="B661" t="s">
        <v>680</v>
      </c>
      <c r="C661" s="2">
        <v>45349</v>
      </c>
      <c r="D661" s="2">
        <v>45352</v>
      </c>
      <c r="E661" t="s">
        <v>1523</v>
      </c>
      <c r="F661" t="s">
        <v>1582</v>
      </c>
      <c r="G661" t="s">
        <v>1946</v>
      </c>
      <c r="H661" t="s">
        <v>2316</v>
      </c>
      <c r="I661" t="s">
        <v>2317</v>
      </c>
      <c r="J661" t="s">
        <v>2319</v>
      </c>
      <c r="K661" t="s">
        <v>2319</v>
      </c>
      <c r="L661">
        <v>493650</v>
      </c>
      <c r="M661" t="s">
        <v>2329</v>
      </c>
      <c r="N661" t="s">
        <v>2643</v>
      </c>
      <c r="O661" t="s">
        <v>3053</v>
      </c>
      <c r="P661" t="s">
        <v>3056</v>
      </c>
      <c r="Q661" t="s">
        <v>3567</v>
      </c>
      <c r="R661">
        <v>388.66</v>
      </c>
      <c r="S661">
        <v>3</v>
      </c>
      <c r="T661">
        <v>0.1</v>
      </c>
      <c r="U661">
        <v>19.34</v>
      </c>
    </row>
    <row r="662" spans="1:21" x14ac:dyDescent="0.3">
      <c r="A662">
        <v>661</v>
      </c>
      <c r="B662" t="s">
        <v>681</v>
      </c>
      <c r="C662" s="2">
        <v>45847</v>
      </c>
      <c r="D662" s="2">
        <v>45848</v>
      </c>
      <c r="E662" t="s">
        <v>1523</v>
      </c>
      <c r="F662" t="s">
        <v>1853</v>
      </c>
      <c r="G662" t="s">
        <v>2144</v>
      </c>
      <c r="H662" t="s">
        <v>2314</v>
      </c>
      <c r="I662" t="s">
        <v>2317</v>
      </c>
      <c r="J662" t="s">
        <v>2326</v>
      </c>
      <c r="K662" t="s">
        <v>2326</v>
      </c>
      <c r="L662">
        <v>553885</v>
      </c>
      <c r="M662" t="s">
        <v>2331</v>
      </c>
      <c r="N662" t="s">
        <v>2787</v>
      </c>
      <c r="O662" t="s">
        <v>3054</v>
      </c>
      <c r="P662" t="s">
        <v>3058</v>
      </c>
      <c r="Q662" t="s">
        <v>3320</v>
      </c>
      <c r="R662">
        <v>30.64</v>
      </c>
      <c r="S662">
        <v>5</v>
      </c>
      <c r="T662">
        <v>0.1</v>
      </c>
      <c r="U662">
        <v>30.28</v>
      </c>
    </row>
    <row r="663" spans="1:21" x14ac:dyDescent="0.3">
      <c r="A663">
        <v>662</v>
      </c>
      <c r="B663" t="s">
        <v>682</v>
      </c>
      <c r="C663" s="2">
        <v>45976</v>
      </c>
      <c r="D663" s="2">
        <v>45977</v>
      </c>
      <c r="E663" t="s">
        <v>1524</v>
      </c>
      <c r="F663" t="s">
        <v>1756</v>
      </c>
      <c r="G663" t="s">
        <v>2098</v>
      </c>
      <c r="H663" t="s">
        <v>2316</v>
      </c>
      <c r="I663" t="s">
        <v>2317</v>
      </c>
      <c r="J663" t="s">
        <v>2320</v>
      </c>
      <c r="K663" t="s">
        <v>2320</v>
      </c>
      <c r="L663">
        <v>695350</v>
      </c>
      <c r="M663" t="s">
        <v>2330</v>
      </c>
      <c r="N663" t="s">
        <v>2788</v>
      </c>
      <c r="O663" t="s">
        <v>3053</v>
      </c>
      <c r="P663" t="s">
        <v>3056</v>
      </c>
      <c r="Q663" t="s">
        <v>3568</v>
      </c>
      <c r="R663">
        <v>75.290000000000006</v>
      </c>
      <c r="S663">
        <v>2</v>
      </c>
      <c r="T663">
        <v>0</v>
      </c>
      <c r="U663">
        <v>26.68</v>
      </c>
    </row>
    <row r="664" spans="1:21" x14ac:dyDescent="0.3">
      <c r="A664">
        <v>663</v>
      </c>
      <c r="B664" t="s">
        <v>683</v>
      </c>
      <c r="C664" s="2">
        <v>45963</v>
      </c>
      <c r="D664" s="2">
        <v>45964</v>
      </c>
      <c r="E664" t="s">
        <v>1524</v>
      </c>
      <c r="F664" t="s">
        <v>1854</v>
      </c>
      <c r="G664" t="s">
        <v>1943</v>
      </c>
      <c r="H664" t="s">
        <v>2315</v>
      </c>
      <c r="I664" t="s">
        <v>2317</v>
      </c>
      <c r="J664" t="s">
        <v>2320</v>
      </c>
      <c r="K664" t="s">
        <v>2320</v>
      </c>
      <c r="L664">
        <v>702288</v>
      </c>
      <c r="M664" t="s">
        <v>2330</v>
      </c>
      <c r="N664" t="s">
        <v>2353</v>
      </c>
      <c r="O664" t="s">
        <v>3055</v>
      </c>
      <c r="P664" t="s">
        <v>3060</v>
      </c>
      <c r="Q664" t="s">
        <v>3569</v>
      </c>
      <c r="R664">
        <v>523.4</v>
      </c>
      <c r="S664">
        <v>8</v>
      </c>
      <c r="T664">
        <v>0.15</v>
      </c>
      <c r="U664">
        <v>49.45</v>
      </c>
    </row>
    <row r="665" spans="1:21" x14ac:dyDescent="0.3">
      <c r="A665">
        <v>664</v>
      </c>
      <c r="B665" t="s">
        <v>684</v>
      </c>
      <c r="C665" s="2">
        <v>45464</v>
      </c>
      <c r="D665" s="2">
        <v>45469</v>
      </c>
      <c r="E665" t="s">
        <v>1522</v>
      </c>
      <c r="F665" t="s">
        <v>1767</v>
      </c>
      <c r="G665" t="s">
        <v>2252</v>
      </c>
      <c r="H665" t="s">
        <v>2314</v>
      </c>
      <c r="I665" t="s">
        <v>2317</v>
      </c>
      <c r="J665" t="s">
        <v>2321</v>
      </c>
      <c r="K665" t="s">
        <v>2321</v>
      </c>
      <c r="L665">
        <v>924965</v>
      </c>
      <c r="M665" t="s">
        <v>2329</v>
      </c>
      <c r="N665" t="s">
        <v>2789</v>
      </c>
      <c r="O665" t="s">
        <v>3054</v>
      </c>
      <c r="P665" t="s">
        <v>3057</v>
      </c>
      <c r="Q665" t="s">
        <v>3563</v>
      </c>
      <c r="R665">
        <v>36.25</v>
      </c>
      <c r="S665">
        <v>7</v>
      </c>
      <c r="T665">
        <v>0.15</v>
      </c>
      <c r="U665">
        <v>-25.58</v>
      </c>
    </row>
    <row r="666" spans="1:21" x14ac:dyDescent="0.3">
      <c r="A666">
        <v>665</v>
      </c>
      <c r="B666" t="s">
        <v>685</v>
      </c>
      <c r="C666" s="2">
        <v>45440</v>
      </c>
      <c r="D666" s="2">
        <v>45441</v>
      </c>
      <c r="E666" t="s">
        <v>1522</v>
      </c>
      <c r="F666" t="s">
        <v>1855</v>
      </c>
      <c r="G666" t="s">
        <v>2120</v>
      </c>
      <c r="H666" t="s">
        <v>2315</v>
      </c>
      <c r="I666" t="s">
        <v>2317</v>
      </c>
      <c r="J666" t="s">
        <v>2324</v>
      </c>
      <c r="K666" t="s">
        <v>2324</v>
      </c>
      <c r="L666">
        <v>552436</v>
      </c>
      <c r="M666" t="s">
        <v>2330</v>
      </c>
      <c r="N666" t="s">
        <v>2408</v>
      </c>
      <c r="O666" t="s">
        <v>3053</v>
      </c>
      <c r="P666" t="s">
        <v>3066</v>
      </c>
      <c r="Q666" t="s">
        <v>3570</v>
      </c>
      <c r="R666">
        <v>566.02</v>
      </c>
      <c r="S666">
        <v>5</v>
      </c>
      <c r="T666">
        <v>0.15</v>
      </c>
      <c r="U666">
        <v>3.57</v>
      </c>
    </row>
    <row r="667" spans="1:21" x14ac:dyDescent="0.3">
      <c r="A667">
        <v>666</v>
      </c>
      <c r="B667" t="s">
        <v>686</v>
      </c>
      <c r="C667" s="2">
        <v>45371</v>
      </c>
      <c r="D667" s="2">
        <v>45374</v>
      </c>
      <c r="E667" t="s">
        <v>1524</v>
      </c>
      <c r="F667" t="s">
        <v>1856</v>
      </c>
      <c r="G667" t="s">
        <v>2115</v>
      </c>
      <c r="H667" t="s">
        <v>2316</v>
      </c>
      <c r="I667" t="s">
        <v>2317</v>
      </c>
      <c r="J667" t="s">
        <v>2321</v>
      </c>
      <c r="K667" t="s">
        <v>2321</v>
      </c>
      <c r="L667">
        <v>881627</v>
      </c>
      <c r="M667" t="s">
        <v>2329</v>
      </c>
      <c r="N667" t="s">
        <v>2790</v>
      </c>
      <c r="O667" t="s">
        <v>3055</v>
      </c>
      <c r="P667" t="s">
        <v>3067</v>
      </c>
      <c r="Q667" t="s">
        <v>3571</v>
      </c>
      <c r="R667">
        <v>380.48</v>
      </c>
      <c r="S667">
        <v>2</v>
      </c>
      <c r="T667">
        <v>0.15</v>
      </c>
      <c r="U667">
        <v>14.7</v>
      </c>
    </row>
    <row r="668" spans="1:21" x14ac:dyDescent="0.3">
      <c r="A668">
        <v>667</v>
      </c>
      <c r="B668" t="s">
        <v>687</v>
      </c>
      <c r="C668" s="2">
        <v>45504</v>
      </c>
      <c r="D668" s="2">
        <v>45507</v>
      </c>
      <c r="E668" t="s">
        <v>1522</v>
      </c>
      <c r="F668" t="s">
        <v>1852</v>
      </c>
      <c r="G668" t="s">
        <v>2106</v>
      </c>
      <c r="H668" t="s">
        <v>2315</v>
      </c>
      <c r="I668" t="s">
        <v>2317</v>
      </c>
      <c r="J668" t="s">
        <v>2326</v>
      </c>
      <c r="K668" t="s">
        <v>2326</v>
      </c>
      <c r="L668">
        <v>452594</v>
      </c>
      <c r="M668" t="s">
        <v>2331</v>
      </c>
      <c r="N668" t="s">
        <v>2409</v>
      </c>
      <c r="O668" t="s">
        <v>3053</v>
      </c>
      <c r="P668" t="s">
        <v>3062</v>
      </c>
      <c r="Q668" t="s">
        <v>3526</v>
      </c>
      <c r="R668">
        <v>156.62</v>
      </c>
      <c r="S668">
        <v>4</v>
      </c>
      <c r="T668">
        <v>0.1</v>
      </c>
      <c r="U668">
        <v>-14.16</v>
      </c>
    </row>
    <row r="669" spans="1:21" x14ac:dyDescent="0.3">
      <c r="A669">
        <v>668</v>
      </c>
      <c r="B669" t="s">
        <v>688</v>
      </c>
      <c r="C669" s="2">
        <v>45494</v>
      </c>
      <c r="D669" s="2">
        <v>45495</v>
      </c>
      <c r="E669" t="s">
        <v>1524</v>
      </c>
      <c r="F669" t="s">
        <v>1823</v>
      </c>
      <c r="G669" t="s">
        <v>2184</v>
      </c>
      <c r="H669" t="s">
        <v>2316</v>
      </c>
      <c r="I669" t="s">
        <v>2317</v>
      </c>
      <c r="J669" t="s">
        <v>2327</v>
      </c>
      <c r="K669" t="s">
        <v>2327</v>
      </c>
      <c r="L669">
        <v>934395</v>
      </c>
      <c r="M669" t="s">
        <v>2330</v>
      </c>
      <c r="N669" t="s">
        <v>2791</v>
      </c>
      <c r="O669" t="s">
        <v>3053</v>
      </c>
      <c r="P669" t="s">
        <v>3062</v>
      </c>
      <c r="Q669" t="s">
        <v>3572</v>
      </c>
      <c r="R669">
        <v>109.5</v>
      </c>
      <c r="S669">
        <v>4</v>
      </c>
      <c r="T669">
        <v>0.2</v>
      </c>
      <c r="U669">
        <v>-2.2999999999999998</v>
      </c>
    </row>
    <row r="670" spans="1:21" x14ac:dyDescent="0.3">
      <c r="A670">
        <v>669</v>
      </c>
      <c r="B670" t="s">
        <v>689</v>
      </c>
      <c r="C670" s="2">
        <v>45520</v>
      </c>
      <c r="D670" s="2">
        <v>45523</v>
      </c>
      <c r="E670" t="s">
        <v>1524</v>
      </c>
      <c r="F670" t="s">
        <v>1665</v>
      </c>
      <c r="G670" t="s">
        <v>2058</v>
      </c>
      <c r="H670" t="s">
        <v>2315</v>
      </c>
      <c r="I670" t="s">
        <v>2317</v>
      </c>
      <c r="J670" t="s">
        <v>2324</v>
      </c>
      <c r="K670" t="s">
        <v>2324</v>
      </c>
      <c r="L670">
        <v>446655</v>
      </c>
      <c r="M670" t="s">
        <v>2330</v>
      </c>
      <c r="N670" t="s">
        <v>2792</v>
      </c>
      <c r="O670" t="s">
        <v>3054</v>
      </c>
      <c r="P670" t="s">
        <v>3064</v>
      </c>
      <c r="Q670" t="s">
        <v>3573</v>
      </c>
      <c r="R670">
        <v>81.78</v>
      </c>
      <c r="S670">
        <v>4</v>
      </c>
      <c r="T670">
        <v>0.4</v>
      </c>
      <c r="U670">
        <v>14.35</v>
      </c>
    </row>
    <row r="671" spans="1:21" x14ac:dyDescent="0.3">
      <c r="A671">
        <v>670</v>
      </c>
      <c r="B671" t="s">
        <v>690</v>
      </c>
      <c r="C671" s="2">
        <v>45967</v>
      </c>
      <c r="D671" s="2">
        <v>45970</v>
      </c>
      <c r="E671" t="s">
        <v>1523</v>
      </c>
      <c r="F671" t="s">
        <v>1585</v>
      </c>
      <c r="G671" t="s">
        <v>1991</v>
      </c>
      <c r="H671" t="s">
        <v>2315</v>
      </c>
      <c r="I671" t="s">
        <v>2317</v>
      </c>
      <c r="J671" t="s">
        <v>2323</v>
      </c>
      <c r="K671" t="s">
        <v>2323</v>
      </c>
      <c r="L671">
        <v>678078</v>
      </c>
      <c r="M671" t="s">
        <v>2328</v>
      </c>
      <c r="N671" t="s">
        <v>2714</v>
      </c>
      <c r="O671" t="s">
        <v>3055</v>
      </c>
      <c r="P671" t="s">
        <v>3059</v>
      </c>
      <c r="Q671" t="s">
        <v>3574</v>
      </c>
      <c r="R671">
        <v>239.67</v>
      </c>
      <c r="S671">
        <v>6</v>
      </c>
      <c r="T671">
        <v>0.1</v>
      </c>
      <c r="U671">
        <v>8.86</v>
      </c>
    </row>
    <row r="672" spans="1:21" x14ac:dyDescent="0.3">
      <c r="A672">
        <v>671</v>
      </c>
      <c r="B672" t="s">
        <v>691</v>
      </c>
      <c r="C672" s="2">
        <v>45518</v>
      </c>
      <c r="D672" s="2">
        <v>45520</v>
      </c>
      <c r="E672" t="s">
        <v>1522</v>
      </c>
      <c r="F672" t="s">
        <v>1652</v>
      </c>
      <c r="G672" t="s">
        <v>1984</v>
      </c>
      <c r="H672" t="s">
        <v>2314</v>
      </c>
      <c r="I672" t="s">
        <v>2317</v>
      </c>
      <c r="J672" t="s">
        <v>2327</v>
      </c>
      <c r="K672" t="s">
        <v>2327</v>
      </c>
      <c r="L672">
        <v>897051</v>
      </c>
      <c r="M672" t="s">
        <v>2330</v>
      </c>
      <c r="N672" t="s">
        <v>2793</v>
      </c>
      <c r="O672" t="s">
        <v>3055</v>
      </c>
      <c r="P672" t="s">
        <v>3061</v>
      </c>
      <c r="Q672" t="s">
        <v>3575</v>
      </c>
      <c r="R672">
        <v>1876.67</v>
      </c>
      <c r="S672">
        <v>8</v>
      </c>
      <c r="T672">
        <v>0.15</v>
      </c>
      <c r="U672">
        <v>112.19</v>
      </c>
    </row>
    <row r="673" spans="1:21" x14ac:dyDescent="0.3">
      <c r="A673">
        <v>672</v>
      </c>
      <c r="B673" t="s">
        <v>692</v>
      </c>
      <c r="C673" s="2">
        <v>45950</v>
      </c>
      <c r="D673" s="2">
        <v>45954</v>
      </c>
      <c r="E673" t="s">
        <v>1524</v>
      </c>
      <c r="F673" t="s">
        <v>1540</v>
      </c>
      <c r="G673" t="s">
        <v>2053</v>
      </c>
      <c r="H673" t="s">
        <v>2315</v>
      </c>
      <c r="I673" t="s">
        <v>2317</v>
      </c>
      <c r="J673" t="s">
        <v>2324</v>
      </c>
      <c r="K673" t="s">
        <v>2324</v>
      </c>
      <c r="L673">
        <v>931219</v>
      </c>
      <c r="M673" t="s">
        <v>2330</v>
      </c>
      <c r="N673" t="s">
        <v>2770</v>
      </c>
      <c r="O673" t="s">
        <v>3053</v>
      </c>
      <c r="P673" t="s">
        <v>3056</v>
      </c>
      <c r="Q673" t="s">
        <v>3576</v>
      </c>
      <c r="R673">
        <v>96.6</v>
      </c>
      <c r="S673">
        <v>4</v>
      </c>
      <c r="T673">
        <v>0.1</v>
      </c>
      <c r="U673">
        <v>49.16</v>
      </c>
    </row>
    <row r="674" spans="1:21" x14ac:dyDescent="0.3">
      <c r="A674">
        <v>673</v>
      </c>
      <c r="B674" t="s">
        <v>693</v>
      </c>
      <c r="C674" s="2">
        <v>45823</v>
      </c>
      <c r="D674" s="2">
        <v>45826</v>
      </c>
      <c r="E674" t="s">
        <v>1521</v>
      </c>
      <c r="F674" t="s">
        <v>1631</v>
      </c>
      <c r="G674" t="s">
        <v>1979</v>
      </c>
      <c r="H674" t="s">
        <v>2314</v>
      </c>
      <c r="I674" t="s">
        <v>2317</v>
      </c>
      <c r="J674" t="s">
        <v>2324</v>
      </c>
      <c r="K674" t="s">
        <v>2324</v>
      </c>
      <c r="L674">
        <v>380444</v>
      </c>
      <c r="M674" t="s">
        <v>2330</v>
      </c>
      <c r="N674" t="s">
        <v>2598</v>
      </c>
      <c r="O674" t="s">
        <v>3055</v>
      </c>
      <c r="P674" t="s">
        <v>3059</v>
      </c>
      <c r="Q674" t="s">
        <v>3577</v>
      </c>
      <c r="R674">
        <v>139.72999999999999</v>
      </c>
      <c r="S674">
        <v>4</v>
      </c>
      <c r="T674">
        <v>0.4</v>
      </c>
      <c r="U674">
        <v>-0.6</v>
      </c>
    </row>
    <row r="675" spans="1:21" x14ac:dyDescent="0.3">
      <c r="A675">
        <v>674</v>
      </c>
      <c r="B675" t="s">
        <v>694</v>
      </c>
      <c r="C675" s="2">
        <v>45732</v>
      </c>
      <c r="D675" s="2">
        <v>45735</v>
      </c>
      <c r="E675" t="s">
        <v>1524</v>
      </c>
      <c r="F675" t="s">
        <v>1724</v>
      </c>
      <c r="G675" t="s">
        <v>2215</v>
      </c>
      <c r="H675" t="s">
        <v>2316</v>
      </c>
      <c r="I675" t="s">
        <v>2317</v>
      </c>
      <c r="J675" t="s">
        <v>2326</v>
      </c>
      <c r="K675" t="s">
        <v>2326</v>
      </c>
      <c r="L675">
        <v>620919</v>
      </c>
      <c r="M675" t="s">
        <v>2331</v>
      </c>
      <c r="N675" t="s">
        <v>2794</v>
      </c>
      <c r="O675" t="s">
        <v>3054</v>
      </c>
      <c r="P675" t="s">
        <v>3064</v>
      </c>
      <c r="Q675" t="s">
        <v>3578</v>
      </c>
      <c r="R675">
        <v>230.26</v>
      </c>
      <c r="S675">
        <v>7</v>
      </c>
      <c r="T675">
        <v>0.05</v>
      </c>
      <c r="U675">
        <v>41.02</v>
      </c>
    </row>
    <row r="676" spans="1:21" x14ac:dyDescent="0.3">
      <c r="A676">
        <v>675</v>
      </c>
      <c r="B676" t="s">
        <v>695</v>
      </c>
      <c r="C676" s="2">
        <v>45693</v>
      </c>
      <c r="D676" s="2">
        <v>45696</v>
      </c>
      <c r="E676" t="s">
        <v>1523</v>
      </c>
      <c r="F676" t="s">
        <v>1797</v>
      </c>
      <c r="G676" t="s">
        <v>2131</v>
      </c>
      <c r="H676" t="s">
        <v>2314</v>
      </c>
      <c r="I676" t="s">
        <v>2317</v>
      </c>
      <c r="J676" t="s">
        <v>2325</v>
      </c>
      <c r="K676" t="s">
        <v>2325</v>
      </c>
      <c r="L676">
        <v>265369</v>
      </c>
      <c r="M676" t="s">
        <v>2332</v>
      </c>
      <c r="N676" t="s">
        <v>2359</v>
      </c>
      <c r="O676" t="s">
        <v>3053</v>
      </c>
      <c r="P676" t="s">
        <v>3066</v>
      </c>
      <c r="Q676" t="s">
        <v>3579</v>
      </c>
      <c r="R676">
        <v>162.78</v>
      </c>
      <c r="S676">
        <v>2</v>
      </c>
      <c r="T676">
        <v>0.1</v>
      </c>
      <c r="U676">
        <v>-17.68</v>
      </c>
    </row>
    <row r="677" spans="1:21" x14ac:dyDescent="0.3">
      <c r="A677">
        <v>676</v>
      </c>
      <c r="B677" t="s">
        <v>696</v>
      </c>
      <c r="C677" s="2">
        <v>45338</v>
      </c>
      <c r="D677" s="2">
        <v>45342</v>
      </c>
      <c r="E677" t="s">
        <v>1522</v>
      </c>
      <c r="F677" t="s">
        <v>1741</v>
      </c>
      <c r="G677" t="s">
        <v>2002</v>
      </c>
      <c r="H677" t="s">
        <v>2315</v>
      </c>
      <c r="I677" t="s">
        <v>2317</v>
      </c>
      <c r="J677" t="s">
        <v>2326</v>
      </c>
      <c r="K677" t="s">
        <v>2326</v>
      </c>
      <c r="L677">
        <v>159263</v>
      </c>
      <c r="M677" t="s">
        <v>2331</v>
      </c>
      <c r="N677" t="s">
        <v>2795</v>
      </c>
      <c r="O677" t="s">
        <v>3053</v>
      </c>
      <c r="P677" t="s">
        <v>3056</v>
      </c>
      <c r="Q677" t="s">
        <v>3580</v>
      </c>
      <c r="R677">
        <v>238.38</v>
      </c>
      <c r="S677">
        <v>6</v>
      </c>
      <c r="T677">
        <v>0.15</v>
      </c>
      <c r="U677">
        <v>-29.9</v>
      </c>
    </row>
    <row r="678" spans="1:21" x14ac:dyDescent="0.3">
      <c r="A678">
        <v>677</v>
      </c>
      <c r="B678" t="s">
        <v>697</v>
      </c>
      <c r="C678" s="2">
        <v>45524</v>
      </c>
      <c r="D678" s="2">
        <v>45526</v>
      </c>
      <c r="E678" t="s">
        <v>1521</v>
      </c>
      <c r="F678" t="s">
        <v>1803</v>
      </c>
      <c r="G678" t="s">
        <v>2253</v>
      </c>
      <c r="H678" t="s">
        <v>2316</v>
      </c>
      <c r="I678" t="s">
        <v>2317</v>
      </c>
      <c r="J678" t="s">
        <v>2324</v>
      </c>
      <c r="K678" t="s">
        <v>2324</v>
      </c>
      <c r="L678">
        <v>311087</v>
      </c>
      <c r="M678" t="s">
        <v>2330</v>
      </c>
      <c r="N678" t="s">
        <v>2559</v>
      </c>
      <c r="O678" t="s">
        <v>3054</v>
      </c>
      <c r="P678" t="s">
        <v>3057</v>
      </c>
      <c r="Q678" t="s">
        <v>3581</v>
      </c>
      <c r="R678">
        <v>88.99</v>
      </c>
      <c r="S678">
        <v>9</v>
      </c>
      <c r="T678">
        <v>0.2</v>
      </c>
      <c r="U678">
        <v>14.37</v>
      </c>
    </row>
    <row r="679" spans="1:21" x14ac:dyDescent="0.3">
      <c r="A679">
        <v>678</v>
      </c>
      <c r="B679" t="s">
        <v>698</v>
      </c>
      <c r="C679" s="2">
        <v>45596</v>
      </c>
      <c r="D679" s="2">
        <v>45602</v>
      </c>
      <c r="E679" t="s">
        <v>1524</v>
      </c>
      <c r="F679" t="s">
        <v>1857</v>
      </c>
      <c r="G679" t="s">
        <v>2132</v>
      </c>
      <c r="H679" t="s">
        <v>2315</v>
      </c>
      <c r="I679" t="s">
        <v>2317</v>
      </c>
      <c r="J679" t="s">
        <v>2319</v>
      </c>
      <c r="K679" t="s">
        <v>2319</v>
      </c>
      <c r="L679">
        <v>907662</v>
      </c>
      <c r="M679" t="s">
        <v>2329</v>
      </c>
      <c r="N679" t="s">
        <v>2760</v>
      </c>
      <c r="O679" t="s">
        <v>3054</v>
      </c>
      <c r="P679" t="s">
        <v>3064</v>
      </c>
      <c r="Q679" t="s">
        <v>3582</v>
      </c>
      <c r="R679">
        <v>65.48</v>
      </c>
      <c r="S679">
        <v>2</v>
      </c>
      <c r="T679">
        <v>0.15</v>
      </c>
      <c r="U679">
        <v>54.98</v>
      </c>
    </row>
    <row r="680" spans="1:21" x14ac:dyDescent="0.3">
      <c r="A680">
        <v>679</v>
      </c>
      <c r="B680" t="s">
        <v>699</v>
      </c>
      <c r="C680" s="2">
        <v>45817</v>
      </c>
      <c r="D680" s="2">
        <v>45819</v>
      </c>
      <c r="E680" t="s">
        <v>1522</v>
      </c>
      <c r="F680" t="s">
        <v>1858</v>
      </c>
      <c r="G680" t="s">
        <v>1939</v>
      </c>
      <c r="H680" t="s">
        <v>2315</v>
      </c>
      <c r="I680" t="s">
        <v>2317</v>
      </c>
      <c r="J680" t="s">
        <v>2327</v>
      </c>
      <c r="K680" t="s">
        <v>2327</v>
      </c>
      <c r="L680">
        <v>598185</v>
      </c>
      <c r="M680" t="s">
        <v>2330</v>
      </c>
      <c r="N680" t="s">
        <v>2796</v>
      </c>
      <c r="O680" t="s">
        <v>3055</v>
      </c>
      <c r="P680" t="s">
        <v>3067</v>
      </c>
      <c r="Q680" t="s">
        <v>3583</v>
      </c>
      <c r="R680">
        <v>159.38999999999999</v>
      </c>
      <c r="S680">
        <v>5</v>
      </c>
      <c r="T680">
        <v>0.15</v>
      </c>
      <c r="U680">
        <v>21.83</v>
      </c>
    </row>
    <row r="681" spans="1:21" x14ac:dyDescent="0.3">
      <c r="A681">
        <v>680</v>
      </c>
      <c r="B681" t="s">
        <v>700</v>
      </c>
      <c r="C681" s="2">
        <v>45434</v>
      </c>
      <c r="D681" s="2">
        <v>45437</v>
      </c>
      <c r="E681" t="s">
        <v>1524</v>
      </c>
      <c r="F681" t="s">
        <v>1740</v>
      </c>
      <c r="G681" t="s">
        <v>2073</v>
      </c>
      <c r="H681" t="s">
        <v>2314</v>
      </c>
      <c r="I681" t="s">
        <v>2317</v>
      </c>
      <c r="J681" t="s">
        <v>2326</v>
      </c>
      <c r="K681" t="s">
        <v>2326</v>
      </c>
      <c r="L681">
        <v>832119</v>
      </c>
      <c r="M681" t="s">
        <v>2331</v>
      </c>
      <c r="N681" t="s">
        <v>2464</v>
      </c>
      <c r="O681" t="s">
        <v>3053</v>
      </c>
      <c r="P681" t="s">
        <v>3056</v>
      </c>
      <c r="Q681" t="s">
        <v>3584</v>
      </c>
      <c r="R681">
        <v>96.3</v>
      </c>
      <c r="S681">
        <v>9</v>
      </c>
      <c r="T681">
        <v>0</v>
      </c>
      <c r="U681">
        <v>30.57</v>
      </c>
    </row>
    <row r="682" spans="1:21" x14ac:dyDescent="0.3">
      <c r="A682">
        <v>681</v>
      </c>
      <c r="B682" t="s">
        <v>701</v>
      </c>
      <c r="C682" s="2">
        <v>45706</v>
      </c>
      <c r="D682" s="2">
        <v>45708</v>
      </c>
      <c r="E682" t="s">
        <v>1522</v>
      </c>
      <c r="F682" t="s">
        <v>1527</v>
      </c>
      <c r="G682" t="s">
        <v>2254</v>
      </c>
      <c r="H682" t="s">
        <v>2314</v>
      </c>
      <c r="I682" t="s">
        <v>2317</v>
      </c>
      <c r="J682" t="s">
        <v>2325</v>
      </c>
      <c r="K682" t="s">
        <v>2325</v>
      </c>
      <c r="L682">
        <v>961525</v>
      </c>
      <c r="M682" t="s">
        <v>2332</v>
      </c>
      <c r="N682" t="s">
        <v>2797</v>
      </c>
      <c r="O682" t="s">
        <v>3054</v>
      </c>
      <c r="P682" t="s">
        <v>3063</v>
      </c>
      <c r="Q682" t="s">
        <v>3585</v>
      </c>
      <c r="R682">
        <v>96.42</v>
      </c>
      <c r="S682">
        <v>7</v>
      </c>
      <c r="T682">
        <v>0.05</v>
      </c>
      <c r="U682">
        <v>38.299999999999997</v>
      </c>
    </row>
    <row r="683" spans="1:21" x14ac:dyDescent="0.3">
      <c r="A683">
        <v>682</v>
      </c>
      <c r="B683" t="s">
        <v>702</v>
      </c>
      <c r="C683" s="2">
        <v>45804</v>
      </c>
      <c r="D683" s="2">
        <v>45806</v>
      </c>
      <c r="E683" t="s">
        <v>1523</v>
      </c>
      <c r="F683" t="s">
        <v>1846</v>
      </c>
      <c r="G683" t="s">
        <v>2255</v>
      </c>
      <c r="H683" t="s">
        <v>2315</v>
      </c>
      <c r="I683" t="s">
        <v>2317</v>
      </c>
      <c r="J683" t="s">
        <v>2322</v>
      </c>
      <c r="K683" t="s">
        <v>2322</v>
      </c>
      <c r="L683">
        <v>187745</v>
      </c>
      <c r="M683" t="s">
        <v>2331</v>
      </c>
      <c r="N683" t="s">
        <v>2798</v>
      </c>
      <c r="O683" t="s">
        <v>3054</v>
      </c>
      <c r="P683" t="s">
        <v>3063</v>
      </c>
      <c r="Q683" t="s">
        <v>3586</v>
      </c>
      <c r="R683">
        <v>33.49</v>
      </c>
      <c r="S683">
        <v>6</v>
      </c>
      <c r="T683">
        <v>0.3</v>
      </c>
      <c r="U683">
        <v>-13.23</v>
      </c>
    </row>
    <row r="684" spans="1:21" x14ac:dyDescent="0.3">
      <c r="A684">
        <v>683</v>
      </c>
      <c r="B684" t="s">
        <v>703</v>
      </c>
      <c r="C684" s="2">
        <v>45664</v>
      </c>
      <c r="D684" s="2">
        <v>45668</v>
      </c>
      <c r="E684" t="s">
        <v>1521</v>
      </c>
      <c r="F684" t="s">
        <v>1786</v>
      </c>
      <c r="G684" t="s">
        <v>2256</v>
      </c>
      <c r="H684" t="s">
        <v>2316</v>
      </c>
      <c r="I684" t="s">
        <v>2317</v>
      </c>
      <c r="J684" t="s">
        <v>2321</v>
      </c>
      <c r="K684" t="s">
        <v>2321</v>
      </c>
      <c r="L684">
        <v>787055</v>
      </c>
      <c r="M684" t="s">
        <v>2329</v>
      </c>
      <c r="N684" t="s">
        <v>2799</v>
      </c>
      <c r="O684" t="s">
        <v>3055</v>
      </c>
      <c r="P684" t="s">
        <v>3067</v>
      </c>
      <c r="Q684" t="s">
        <v>3437</v>
      </c>
      <c r="R684">
        <v>312.29000000000002</v>
      </c>
      <c r="S684">
        <v>7</v>
      </c>
      <c r="T684">
        <v>0.1</v>
      </c>
      <c r="U684">
        <v>30.41</v>
      </c>
    </row>
    <row r="685" spans="1:21" x14ac:dyDescent="0.3">
      <c r="A685">
        <v>684</v>
      </c>
      <c r="B685" t="s">
        <v>704</v>
      </c>
      <c r="C685" s="2">
        <v>45857</v>
      </c>
      <c r="D685" s="2">
        <v>45859</v>
      </c>
      <c r="E685" t="s">
        <v>1521</v>
      </c>
      <c r="F685" t="s">
        <v>1709</v>
      </c>
      <c r="G685" t="s">
        <v>2006</v>
      </c>
      <c r="H685" t="s">
        <v>2315</v>
      </c>
      <c r="I685" t="s">
        <v>2317</v>
      </c>
      <c r="J685" t="s">
        <v>2324</v>
      </c>
      <c r="K685" t="s">
        <v>2324</v>
      </c>
      <c r="L685">
        <v>197555</v>
      </c>
      <c r="M685" t="s">
        <v>2330</v>
      </c>
      <c r="N685" t="s">
        <v>2800</v>
      </c>
      <c r="O685" t="s">
        <v>3054</v>
      </c>
      <c r="P685" t="s">
        <v>3058</v>
      </c>
      <c r="Q685" t="s">
        <v>3587</v>
      </c>
      <c r="R685">
        <v>44.98</v>
      </c>
      <c r="S685">
        <v>9</v>
      </c>
      <c r="T685">
        <v>0</v>
      </c>
      <c r="U685">
        <v>-7.52</v>
      </c>
    </row>
    <row r="686" spans="1:21" x14ac:dyDescent="0.3">
      <c r="A686">
        <v>685</v>
      </c>
      <c r="B686" t="s">
        <v>705</v>
      </c>
      <c r="C686" s="2">
        <v>45550</v>
      </c>
      <c r="D686" s="2">
        <v>45552</v>
      </c>
      <c r="E686" t="s">
        <v>1523</v>
      </c>
      <c r="F686" t="s">
        <v>1616</v>
      </c>
      <c r="G686" t="s">
        <v>2175</v>
      </c>
      <c r="H686" t="s">
        <v>2316</v>
      </c>
      <c r="I686" t="s">
        <v>2317</v>
      </c>
      <c r="J686" t="s">
        <v>2323</v>
      </c>
      <c r="K686" t="s">
        <v>2323</v>
      </c>
      <c r="L686">
        <v>607745</v>
      </c>
      <c r="M686" t="s">
        <v>2328</v>
      </c>
      <c r="N686" t="s">
        <v>2801</v>
      </c>
      <c r="O686" t="s">
        <v>3053</v>
      </c>
      <c r="P686" t="s">
        <v>3062</v>
      </c>
      <c r="Q686" t="s">
        <v>3143</v>
      </c>
      <c r="R686">
        <v>76.680000000000007</v>
      </c>
      <c r="S686">
        <v>8</v>
      </c>
      <c r="T686">
        <v>0.15</v>
      </c>
      <c r="U686">
        <v>-31.39</v>
      </c>
    </row>
    <row r="687" spans="1:21" x14ac:dyDescent="0.3">
      <c r="A687">
        <v>686</v>
      </c>
      <c r="B687" t="s">
        <v>706</v>
      </c>
      <c r="C687" s="2">
        <v>45947</v>
      </c>
      <c r="D687" s="2">
        <v>45950</v>
      </c>
      <c r="E687" t="s">
        <v>1524</v>
      </c>
      <c r="F687" t="s">
        <v>1626</v>
      </c>
      <c r="G687" t="s">
        <v>2104</v>
      </c>
      <c r="H687" t="s">
        <v>2316</v>
      </c>
      <c r="I687" t="s">
        <v>2317</v>
      </c>
      <c r="J687" t="s">
        <v>2322</v>
      </c>
      <c r="K687" t="s">
        <v>2322</v>
      </c>
      <c r="L687">
        <v>605533</v>
      </c>
      <c r="M687" t="s">
        <v>2331</v>
      </c>
      <c r="N687" t="s">
        <v>2802</v>
      </c>
      <c r="O687" t="s">
        <v>3055</v>
      </c>
      <c r="P687" t="s">
        <v>3061</v>
      </c>
      <c r="Q687" t="s">
        <v>3305</v>
      </c>
      <c r="R687">
        <v>159.52000000000001</v>
      </c>
      <c r="S687">
        <v>2</v>
      </c>
      <c r="T687">
        <v>0.2</v>
      </c>
      <c r="U687">
        <v>-6.17</v>
      </c>
    </row>
    <row r="688" spans="1:21" x14ac:dyDescent="0.3">
      <c r="A688">
        <v>687</v>
      </c>
      <c r="B688" t="s">
        <v>707</v>
      </c>
      <c r="C688" s="2">
        <v>45762</v>
      </c>
      <c r="D688" s="2">
        <v>45766</v>
      </c>
      <c r="E688" t="s">
        <v>1523</v>
      </c>
      <c r="F688" t="s">
        <v>1734</v>
      </c>
      <c r="G688" t="s">
        <v>2124</v>
      </c>
      <c r="H688" t="s">
        <v>2316</v>
      </c>
      <c r="I688" t="s">
        <v>2317</v>
      </c>
      <c r="J688" t="s">
        <v>2320</v>
      </c>
      <c r="K688" t="s">
        <v>2320</v>
      </c>
      <c r="L688">
        <v>178591</v>
      </c>
      <c r="M688" t="s">
        <v>2330</v>
      </c>
      <c r="N688" t="s">
        <v>2572</v>
      </c>
      <c r="O688" t="s">
        <v>3055</v>
      </c>
      <c r="P688" t="s">
        <v>3059</v>
      </c>
      <c r="Q688" t="s">
        <v>3588</v>
      </c>
      <c r="R688">
        <v>406.06</v>
      </c>
      <c r="S688">
        <v>8</v>
      </c>
      <c r="T688">
        <v>0</v>
      </c>
      <c r="U688">
        <v>49.6</v>
      </c>
    </row>
    <row r="689" spans="1:21" x14ac:dyDescent="0.3">
      <c r="A689">
        <v>688</v>
      </c>
      <c r="B689" t="s">
        <v>708</v>
      </c>
      <c r="C689" s="2">
        <v>45303</v>
      </c>
      <c r="D689" s="2">
        <v>45305</v>
      </c>
      <c r="E689" t="s">
        <v>1521</v>
      </c>
      <c r="F689" t="s">
        <v>1645</v>
      </c>
      <c r="G689" t="s">
        <v>2067</v>
      </c>
      <c r="H689" t="s">
        <v>2316</v>
      </c>
      <c r="I689" t="s">
        <v>2317</v>
      </c>
      <c r="J689" t="s">
        <v>2318</v>
      </c>
      <c r="K689" t="s">
        <v>2318</v>
      </c>
      <c r="L689">
        <v>867248</v>
      </c>
      <c r="M689" t="s">
        <v>2328</v>
      </c>
      <c r="N689" t="s">
        <v>2803</v>
      </c>
      <c r="O689" t="s">
        <v>3055</v>
      </c>
      <c r="P689" t="s">
        <v>3059</v>
      </c>
      <c r="Q689" t="s">
        <v>3133</v>
      </c>
      <c r="R689">
        <v>186.19</v>
      </c>
      <c r="S689">
        <v>4</v>
      </c>
      <c r="T689">
        <v>0.2</v>
      </c>
      <c r="U689">
        <v>19.93</v>
      </c>
    </row>
    <row r="690" spans="1:21" x14ac:dyDescent="0.3">
      <c r="A690">
        <v>689</v>
      </c>
      <c r="B690" t="s">
        <v>709</v>
      </c>
      <c r="C690" s="2">
        <v>45621</v>
      </c>
      <c r="D690" s="2">
        <v>45624</v>
      </c>
      <c r="E690" t="s">
        <v>1522</v>
      </c>
      <c r="F690" t="s">
        <v>1859</v>
      </c>
      <c r="G690" t="s">
        <v>2209</v>
      </c>
      <c r="H690" t="s">
        <v>2315</v>
      </c>
      <c r="I690" t="s">
        <v>2317</v>
      </c>
      <c r="J690" t="s">
        <v>2325</v>
      </c>
      <c r="K690" t="s">
        <v>2325</v>
      </c>
      <c r="L690">
        <v>227129</v>
      </c>
      <c r="M690" t="s">
        <v>2332</v>
      </c>
      <c r="N690" t="s">
        <v>2658</v>
      </c>
      <c r="O690" t="s">
        <v>3054</v>
      </c>
      <c r="P690" t="s">
        <v>3057</v>
      </c>
      <c r="Q690" t="s">
        <v>3145</v>
      </c>
      <c r="R690">
        <v>42.1</v>
      </c>
      <c r="S690">
        <v>9</v>
      </c>
      <c r="T690">
        <v>0.2</v>
      </c>
      <c r="U690">
        <v>21.48</v>
      </c>
    </row>
    <row r="691" spans="1:21" x14ac:dyDescent="0.3">
      <c r="A691">
        <v>690</v>
      </c>
      <c r="B691" t="s">
        <v>710</v>
      </c>
      <c r="C691" s="2">
        <v>45649</v>
      </c>
      <c r="D691" s="2">
        <v>45654</v>
      </c>
      <c r="E691" t="s">
        <v>1523</v>
      </c>
      <c r="F691" t="s">
        <v>1839</v>
      </c>
      <c r="G691" t="s">
        <v>2131</v>
      </c>
      <c r="H691" t="s">
        <v>2314</v>
      </c>
      <c r="I691" t="s">
        <v>2317</v>
      </c>
      <c r="J691" t="s">
        <v>2323</v>
      </c>
      <c r="K691" t="s">
        <v>2323</v>
      </c>
      <c r="L691">
        <v>971612</v>
      </c>
      <c r="M691" t="s">
        <v>2328</v>
      </c>
      <c r="N691" t="s">
        <v>2804</v>
      </c>
      <c r="O691" t="s">
        <v>3055</v>
      </c>
      <c r="P691" t="s">
        <v>3067</v>
      </c>
      <c r="Q691" t="s">
        <v>3589</v>
      </c>
      <c r="R691">
        <v>966.6</v>
      </c>
      <c r="S691">
        <v>9</v>
      </c>
      <c r="T691">
        <v>0</v>
      </c>
      <c r="U691">
        <v>154.04</v>
      </c>
    </row>
    <row r="692" spans="1:21" x14ac:dyDescent="0.3">
      <c r="A692">
        <v>691</v>
      </c>
      <c r="B692" t="s">
        <v>711</v>
      </c>
      <c r="C692" s="2">
        <v>45699</v>
      </c>
      <c r="D692" s="2">
        <v>45703</v>
      </c>
      <c r="E692" t="s">
        <v>1521</v>
      </c>
      <c r="F692" t="s">
        <v>1860</v>
      </c>
      <c r="G692" t="s">
        <v>2073</v>
      </c>
      <c r="H692" t="s">
        <v>2314</v>
      </c>
      <c r="I692" t="s">
        <v>2317</v>
      </c>
      <c r="J692" t="s">
        <v>2318</v>
      </c>
      <c r="K692" t="s">
        <v>2318</v>
      </c>
      <c r="L692">
        <v>371380</v>
      </c>
      <c r="M692" t="s">
        <v>2328</v>
      </c>
      <c r="N692" t="s">
        <v>2805</v>
      </c>
      <c r="O692" t="s">
        <v>3055</v>
      </c>
      <c r="P692" t="s">
        <v>3060</v>
      </c>
      <c r="Q692" t="s">
        <v>3590</v>
      </c>
      <c r="R692">
        <v>609.02</v>
      </c>
      <c r="S692">
        <v>2</v>
      </c>
      <c r="T692">
        <v>0.2</v>
      </c>
      <c r="U692">
        <v>30.57</v>
      </c>
    </row>
    <row r="693" spans="1:21" x14ac:dyDescent="0.3">
      <c r="A693">
        <v>692</v>
      </c>
      <c r="B693" t="s">
        <v>712</v>
      </c>
      <c r="C693" s="2">
        <v>45959</v>
      </c>
      <c r="D693" s="2">
        <v>45961</v>
      </c>
      <c r="E693" t="s">
        <v>1522</v>
      </c>
      <c r="F693" t="s">
        <v>1657</v>
      </c>
      <c r="G693" t="s">
        <v>2257</v>
      </c>
      <c r="H693" t="s">
        <v>2315</v>
      </c>
      <c r="I693" t="s">
        <v>2317</v>
      </c>
      <c r="J693" t="s">
        <v>2325</v>
      </c>
      <c r="K693" t="s">
        <v>2325</v>
      </c>
      <c r="L693">
        <v>400646</v>
      </c>
      <c r="M693" t="s">
        <v>2332</v>
      </c>
      <c r="N693" t="s">
        <v>2806</v>
      </c>
      <c r="O693" t="s">
        <v>3054</v>
      </c>
      <c r="P693" t="s">
        <v>3057</v>
      </c>
      <c r="Q693" t="s">
        <v>3235</v>
      </c>
      <c r="R693">
        <v>156.63</v>
      </c>
      <c r="S693">
        <v>9</v>
      </c>
      <c r="T693">
        <v>0.05</v>
      </c>
      <c r="U693">
        <v>10.85</v>
      </c>
    </row>
    <row r="694" spans="1:21" x14ac:dyDescent="0.3">
      <c r="A694">
        <v>693</v>
      </c>
      <c r="B694" t="s">
        <v>713</v>
      </c>
      <c r="C694" s="2">
        <v>45664</v>
      </c>
      <c r="D694" s="2">
        <v>45669</v>
      </c>
      <c r="E694" t="s">
        <v>1524</v>
      </c>
      <c r="F694" t="s">
        <v>1857</v>
      </c>
      <c r="G694" t="s">
        <v>1999</v>
      </c>
      <c r="H694" t="s">
        <v>2315</v>
      </c>
      <c r="I694" t="s">
        <v>2317</v>
      </c>
      <c r="J694" t="s">
        <v>2319</v>
      </c>
      <c r="K694" t="s">
        <v>2319</v>
      </c>
      <c r="L694">
        <v>918718</v>
      </c>
      <c r="M694" t="s">
        <v>2329</v>
      </c>
      <c r="N694" t="s">
        <v>2807</v>
      </c>
      <c r="O694" t="s">
        <v>3053</v>
      </c>
      <c r="P694" t="s">
        <v>3065</v>
      </c>
      <c r="Q694" t="s">
        <v>3591</v>
      </c>
      <c r="R694">
        <v>108.37</v>
      </c>
      <c r="S694">
        <v>1</v>
      </c>
      <c r="T694">
        <v>0.15</v>
      </c>
      <c r="U694">
        <v>47.19</v>
      </c>
    </row>
    <row r="695" spans="1:21" x14ac:dyDescent="0.3">
      <c r="A695">
        <v>694</v>
      </c>
      <c r="B695" t="s">
        <v>714</v>
      </c>
      <c r="C695" s="2">
        <v>45299</v>
      </c>
      <c r="D695" s="2">
        <v>45301</v>
      </c>
      <c r="E695" t="s">
        <v>1521</v>
      </c>
      <c r="F695" t="s">
        <v>1795</v>
      </c>
      <c r="G695" t="s">
        <v>2258</v>
      </c>
      <c r="H695" t="s">
        <v>2314</v>
      </c>
      <c r="I695" t="s">
        <v>2317</v>
      </c>
      <c r="J695" t="s">
        <v>2321</v>
      </c>
      <c r="K695" t="s">
        <v>2321</v>
      </c>
      <c r="L695">
        <v>699262</v>
      </c>
      <c r="M695" t="s">
        <v>2329</v>
      </c>
      <c r="N695" t="s">
        <v>2404</v>
      </c>
      <c r="O695" t="s">
        <v>3055</v>
      </c>
      <c r="P695" t="s">
        <v>3059</v>
      </c>
      <c r="Q695" t="s">
        <v>3557</v>
      </c>
      <c r="R695">
        <v>1066.77</v>
      </c>
      <c r="S695">
        <v>3</v>
      </c>
      <c r="T695">
        <v>0.2</v>
      </c>
      <c r="U695">
        <v>81.819999999999993</v>
      </c>
    </row>
    <row r="696" spans="1:21" x14ac:dyDescent="0.3">
      <c r="A696">
        <v>695</v>
      </c>
      <c r="B696" t="s">
        <v>715</v>
      </c>
      <c r="C696" s="2">
        <v>45413</v>
      </c>
      <c r="D696" s="2">
        <v>45415</v>
      </c>
      <c r="E696" t="s">
        <v>1522</v>
      </c>
      <c r="F696" t="s">
        <v>1736</v>
      </c>
      <c r="G696" t="s">
        <v>2025</v>
      </c>
      <c r="H696" t="s">
        <v>2315</v>
      </c>
      <c r="I696" t="s">
        <v>2317</v>
      </c>
      <c r="J696" t="s">
        <v>2322</v>
      </c>
      <c r="K696" t="s">
        <v>2322</v>
      </c>
      <c r="L696">
        <v>631992</v>
      </c>
      <c r="M696" t="s">
        <v>2331</v>
      </c>
      <c r="N696" t="s">
        <v>2429</v>
      </c>
      <c r="O696" t="s">
        <v>3055</v>
      </c>
      <c r="P696" t="s">
        <v>3067</v>
      </c>
      <c r="Q696" t="s">
        <v>3592</v>
      </c>
      <c r="R696">
        <v>201.06</v>
      </c>
      <c r="S696">
        <v>4</v>
      </c>
      <c r="T696">
        <v>0.1</v>
      </c>
      <c r="U696">
        <v>30.83</v>
      </c>
    </row>
    <row r="697" spans="1:21" x14ac:dyDescent="0.3">
      <c r="A697">
        <v>696</v>
      </c>
      <c r="B697" t="s">
        <v>716</v>
      </c>
      <c r="C697" s="2">
        <v>45639</v>
      </c>
      <c r="D697" s="2">
        <v>45640</v>
      </c>
      <c r="E697" t="s">
        <v>1524</v>
      </c>
      <c r="F697" t="s">
        <v>1610</v>
      </c>
      <c r="G697" t="s">
        <v>2128</v>
      </c>
      <c r="H697" t="s">
        <v>2316</v>
      </c>
      <c r="I697" t="s">
        <v>2317</v>
      </c>
      <c r="J697" t="s">
        <v>2327</v>
      </c>
      <c r="K697" t="s">
        <v>2327</v>
      </c>
      <c r="L697">
        <v>739411</v>
      </c>
      <c r="M697" t="s">
        <v>2330</v>
      </c>
      <c r="N697" t="s">
        <v>2633</v>
      </c>
      <c r="O697" t="s">
        <v>3055</v>
      </c>
      <c r="P697" t="s">
        <v>3061</v>
      </c>
      <c r="Q697" t="s">
        <v>3319</v>
      </c>
      <c r="R697">
        <v>363.31</v>
      </c>
      <c r="S697">
        <v>9</v>
      </c>
      <c r="T697">
        <v>0.2</v>
      </c>
      <c r="U697">
        <v>31.71</v>
      </c>
    </row>
    <row r="698" spans="1:21" x14ac:dyDescent="0.3">
      <c r="A698">
        <v>697</v>
      </c>
      <c r="B698" t="s">
        <v>717</v>
      </c>
      <c r="C698" s="2">
        <v>45967</v>
      </c>
      <c r="D698" s="2">
        <v>45969</v>
      </c>
      <c r="E698" t="s">
        <v>1523</v>
      </c>
      <c r="F698" t="s">
        <v>1766</v>
      </c>
      <c r="G698" t="s">
        <v>2024</v>
      </c>
      <c r="H698" t="s">
        <v>2315</v>
      </c>
      <c r="I698" t="s">
        <v>2317</v>
      </c>
      <c r="J698" t="s">
        <v>2325</v>
      </c>
      <c r="K698" t="s">
        <v>2325</v>
      </c>
      <c r="L698">
        <v>456737</v>
      </c>
      <c r="M698" t="s">
        <v>2332</v>
      </c>
      <c r="N698" t="s">
        <v>2808</v>
      </c>
      <c r="O698" t="s">
        <v>3055</v>
      </c>
      <c r="P698" t="s">
        <v>3067</v>
      </c>
      <c r="Q698" t="s">
        <v>3137</v>
      </c>
      <c r="R698">
        <v>375.5</v>
      </c>
      <c r="S698">
        <v>1</v>
      </c>
      <c r="T698">
        <v>0.15</v>
      </c>
      <c r="U698">
        <v>64.739999999999995</v>
      </c>
    </row>
    <row r="699" spans="1:21" x14ac:dyDescent="0.3">
      <c r="A699">
        <v>698</v>
      </c>
      <c r="B699" t="s">
        <v>718</v>
      </c>
      <c r="C699" s="2">
        <v>45381</v>
      </c>
      <c r="D699" s="2">
        <v>45384</v>
      </c>
      <c r="E699" t="s">
        <v>1522</v>
      </c>
      <c r="F699" t="s">
        <v>1795</v>
      </c>
      <c r="G699" t="s">
        <v>1955</v>
      </c>
      <c r="H699" t="s">
        <v>2316</v>
      </c>
      <c r="I699" t="s">
        <v>2317</v>
      </c>
      <c r="J699" t="s">
        <v>2327</v>
      </c>
      <c r="K699" t="s">
        <v>2327</v>
      </c>
      <c r="L699">
        <v>419349</v>
      </c>
      <c r="M699" t="s">
        <v>2330</v>
      </c>
      <c r="N699" t="s">
        <v>2809</v>
      </c>
      <c r="O699" t="s">
        <v>3054</v>
      </c>
      <c r="P699" t="s">
        <v>3058</v>
      </c>
      <c r="Q699" t="s">
        <v>3195</v>
      </c>
      <c r="R699">
        <v>169.9</v>
      </c>
      <c r="S699">
        <v>2</v>
      </c>
      <c r="T699">
        <v>0.05</v>
      </c>
      <c r="U699">
        <v>25.36</v>
      </c>
    </row>
    <row r="700" spans="1:21" x14ac:dyDescent="0.3">
      <c r="A700">
        <v>699</v>
      </c>
      <c r="B700" t="s">
        <v>719</v>
      </c>
      <c r="C700" s="2">
        <v>45939</v>
      </c>
      <c r="D700" s="2">
        <v>45941</v>
      </c>
      <c r="E700" t="s">
        <v>1522</v>
      </c>
      <c r="F700" t="s">
        <v>1705</v>
      </c>
      <c r="G700" t="s">
        <v>2240</v>
      </c>
      <c r="H700" t="s">
        <v>2314</v>
      </c>
      <c r="I700" t="s">
        <v>2317</v>
      </c>
      <c r="J700" t="s">
        <v>2321</v>
      </c>
      <c r="K700" t="s">
        <v>2321</v>
      </c>
      <c r="L700">
        <v>469068</v>
      </c>
      <c r="M700" t="s">
        <v>2329</v>
      </c>
      <c r="N700" t="s">
        <v>2810</v>
      </c>
      <c r="O700" t="s">
        <v>3055</v>
      </c>
      <c r="P700" t="s">
        <v>3061</v>
      </c>
      <c r="Q700" t="s">
        <v>3535</v>
      </c>
      <c r="R700">
        <v>499.79</v>
      </c>
      <c r="S700">
        <v>3</v>
      </c>
      <c r="T700">
        <v>0.1</v>
      </c>
      <c r="U700">
        <v>55.71</v>
      </c>
    </row>
    <row r="701" spans="1:21" x14ac:dyDescent="0.3">
      <c r="A701">
        <v>700</v>
      </c>
      <c r="B701" t="s">
        <v>720</v>
      </c>
      <c r="C701" s="2">
        <v>45989</v>
      </c>
      <c r="D701" s="2">
        <v>45991</v>
      </c>
      <c r="E701" t="s">
        <v>1521</v>
      </c>
      <c r="F701" t="s">
        <v>1662</v>
      </c>
      <c r="G701" t="s">
        <v>2031</v>
      </c>
      <c r="H701" t="s">
        <v>2314</v>
      </c>
      <c r="I701" t="s">
        <v>2317</v>
      </c>
      <c r="J701" t="s">
        <v>2324</v>
      </c>
      <c r="K701" t="s">
        <v>2324</v>
      </c>
      <c r="L701">
        <v>178930</v>
      </c>
      <c r="M701" t="s">
        <v>2330</v>
      </c>
      <c r="N701" t="s">
        <v>2414</v>
      </c>
      <c r="O701" t="s">
        <v>3055</v>
      </c>
      <c r="P701" t="s">
        <v>3067</v>
      </c>
      <c r="Q701" t="s">
        <v>3593</v>
      </c>
      <c r="R701">
        <v>391.9</v>
      </c>
      <c r="S701">
        <v>2</v>
      </c>
      <c r="T701">
        <v>0.15</v>
      </c>
      <c r="U701">
        <v>14.92</v>
      </c>
    </row>
    <row r="702" spans="1:21" x14ac:dyDescent="0.3">
      <c r="A702">
        <v>701</v>
      </c>
      <c r="B702" t="s">
        <v>721</v>
      </c>
      <c r="C702" s="2">
        <v>45607</v>
      </c>
      <c r="D702" s="2">
        <v>45609</v>
      </c>
      <c r="E702" t="s">
        <v>1524</v>
      </c>
      <c r="F702" t="s">
        <v>1651</v>
      </c>
      <c r="G702" t="s">
        <v>2245</v>
      </c>
      <c r="H702" t="s">
        <v>2314</v>
      </c>
      <c r="I702" t="s">
        <v>2317</v>
      </c>
      <c r="J702" t="s">
        <v>2320</v>
      </c>
      <c r="K702" t="s">
        <v>2320</v>
      </c>
      <c r="L702">
        <v>371479</v>
      </c>
      <c r="M702" t="s">
        <v>2330</v>
      </c>
      <c r="N702" t="s">
        <v>2466</v>
      </c>
      <c r="O702" t="s">
        <v>3054</v>
      </c>
      <c r="P702" t="s">
        <v>3058</v>
      </c>
      <c r="Q702" t="s">
        <v>3157</v>
      </c>
      <c r="R702">
        <v>249.11</v>
      </c>
      <c r="S702">
        <v>6</v>
      </c>
      <c r="T702">
        <v>0.1</v>
      </c>
      <c r="U702">
        <v>-19.059999999999999</v>
      </c>
    </row>
    <row r="703" spans="1:21" x14ac:dyDescent="0.3">
      <c r="A703">
        <v>702</v>
      </c>
      <c r="B703" t="s">
        <v>722</v>
      </c>
      <c r="C703" s="2">
        <v>45469</v>
      </c>
      <c r="D703" s="2">
        <v>45471</v>
      </c>
      <c r="E703" t="s">
        <v>1522</v>
      </c>
      <c r="F703" t="s">
        <v>1693</v>
      </c>
      <c r="G703" t="s">
        <v>2259</v>
      </c>
      <c r="H703" t="s">
        <v>2314</v>
      </c>
      <c r="I703" t="s">
        <v>2317</v>
      </c>
      <c r="J703" t="s">
        <v>2322</v>
      </c>
      <c r="K703" t="s">
        <v>2322</v>
      </c>
      <c r="L703">
        <v>187110</v>
      </c>
      <c r="M703" t="s">
        <v>2331</v>
      </c>
      <c r="N703" t="s">
        <v>2811</v>
      </c>
      <c r="O703" t="s">
        <v>3054</v>
      </c>
      <c r="P703" t="s">
        <v>3064</v>
      </c>
      <c r="Q703" t="s">
        <v>3594</v>
      </c>
      <c r="R703">
        <v>60.25</v>
      </c>
      <c r="S703">
        <v>2</v>
      </c>
      <c r="T703">
        <v>0.15</v>
      </c>
      <c r="U703">
        <v>32.08</v>
      </c>
    </row>
    <row r="704" spans="1:21" x14ac:dyDescent="0.3">
      <c r="A704">
        <v>703</v>
      </c>
      <c r="B704" t="s">
        <v>723</v>
      </c>
      <c r="C704" s="2">
        <v>45831</v>
      </c>
      <c r="D704" s="2">
        <v>45833</v>
      </c>
      <c r="E704" t="s">
        <v>1522</v>
      </c>
      <c r="F704" t="s">
        <v>1538</v>
      </c>
      <c r="G704" t="s">
        <v>2260</v>
      </c>
      <c r="H704" t="s">
        <v>2316</v>
      </c>
      <c r="I704" t="s">
        <v>2317</v>
      </c>
      <c r="J704" t="s">
        <v>2321</v>
      </c>
      <c r="K704" t="s">
        <v>2321</v>
      </c>
      <c r="L704">
        <v>636932</v>
      </c>
      <c r="M704" t="s">
        <v>2329</v>
      </c>
      <c r="N704" t="s">
        <v>2454</v>
      </c>
      <c r="O704" t="s">
        <v>3053</v>
      </c>
      <c r="P704" t="s">
        <v>3066</v>
      </c>
      <c r="Q704" t="s">
        <v>3595</v>
      </c>
      <c r="R704">
        <v>561.72</v>
      </c>
      <c r="S704">
        <v>9</v>
      </c>
      <c r="T704">
        <v>0.15</v>
      </c>
      <c r="U704">
        <v>20.16</v>
      </c>
    </row>
    <row r="705" spans="1:21" x14ac:dyDescent="0.3">
      <c r="A705">
        <v>704</v>
      </c>
      <c r="B705" t="s">
        <v>724</v>
      </c>
      <c r="C705" s="2">
        <v>45332</v>
      </c>
      <c r="D705" s="2">
        <v>45335</v>
      </c>
      <c r="E705" t="s">
        <v>1521</v>
      </c>
      <c r="F705" t="s">
        <v>1593</v>
      </c>
      <c r="G705" t="s">
        <v>2050</v>
      </c>
      <c r="H705" t="s">
        <v>2315</v>
      </c>
      <c r="I705" t="s">
        <v>2317</v>
      </c>
      <c r="J705" t="s">
        <v>2321</v>
      </c>
      <c r="K705" t="s">
        <v>2321</v>
      </c>
      <c r="L705">
        <v>919115</v>
      </c>
      <c r="M705" t="s">
        <v>2329</v>
      </c>
      <c r="N705" t="s">
        <v>2812</v>
      </c>
      <c r="O705" t="s">
        <v>3053</v>
      </c>
      <c r="P705" t="s">
        <v>3062</v>
      </c>
      <c r="Q705" t="s">
        <v>3596</v>
      </c>
      <c r="R705">
        <v>113.3</v>
      </c>
      <c r="S705">
        <v>8</v>
      </c>
      <c r="T705">
        <v>0.15</v>
      </c>
      <c r="U705">
        <v>-18.260000000000002</v>
      </c>
    </row>
    <row r="706" spans="1:21" x14ac:dyDescent="0.3">
      <c r="A706">
        <v>705</v>
      </c>
      <c r="B706" t="s">
        <v>725</v>
      </c>
      <c r="C706" s="2">
        <v>45995</v>
      </c>
      <c r="D706" s="2">
        <v>45999</v>
      </c>
      <c r="E706" t="s">
        <v>1522</v>
      </c>
      <c r="F706" t="s">
        <v>1861</v>
      </c>
      <c r="G706" t="s">
        <v>1992</v>
      </c>
      <c r="H706" t="s">
        <v>2314</v>
      </c>
      <c r="I706" t="s">
        <v>2317</v>
      </c>
      <c r="J706" t="s">
        <v>2319</v>
      </c>
      <c r="K706" t="s">
        <v>2319</v>
      </c>
      <c r="L706">
        <v>633609</v>
      </c>
      <c r="M706" t="s">
        <v>2329</v>
      </c>
      <c r="N706" t="s">
        <v>2431</v>
      </c>
      <c r="O706" t="s">
        <v>3053</v>
      </c>
      <c r="P706" t="s">
        <v>3066</v>
      </c>
      <c r="Q706" t="s">
        <v>3461</v>
      </c>
      <c r="R706">
        <v>73.5</v>
      </c>
      <c r="S706">
        <v>2</v>
      </c>
      <c r="T706">
        <v>0</v>
      </c>
      <c r="U706">
        <v>30.93</v>
      </c>
    </row>
    <row r="707" spans="1:21" x14ac:dyDescent="0.3">
      <c r="A707">
        <v>706</v>
      </c>
      <c r="B707" t="s">
        <v>726</v>
      </c>
      <c r="C707" s="2">
        <v>45793</v>
      </c>
      <c r="D707" s="2">
        <v>45797</v>
      </c>
      <c r="E707" t="s">
        <v>1523</v>
      </c>
      <c r="F707" t="s">
        <v>1862</v>
      </c>
      <c r="G707" t="s">
        <v>2261</v>
      </c>
      <c r="H707" t="s">
        <v>2315</v>
      </c>
      <c r="I707" t="s">
        <v>2317</v>
      </c>
      <c r="J707" t="s">
        <v>2318</v>
      </c>
      <c r="K707" t="s">
        <v>2318</v>
      </c>
      <c r="L707">
        <v>651764</v>
      </c>
      <c r="M707" t="s">
        <v>2328</v>
      </c>
      <c r="N707" t="s">
        <v>2813</v>
      </c>
      <c r="O707" t="s">
        <v>3053</v>
      </c>
      <c r="P707" t="s">
        <v>3062</v>
      </c>
      <c r="Q707" t="s">
        <v>3359</v>
      </c>
      <c r="R707">
        <v>176.43</v>
      </c>
      <c r="S707">
        <v>4</v>
      </c>
      <c r="T707">
        <v>0.05</v>
      </c>
      <c r="U707">
        <v>38.58</v>
      </c>
    </row>
    <row r="708" spans="1:21" x14ac:dyDescent="0.3">
      <c r="A708">
        <v>707</v>
      </c>
      <c r="B708" t="s">
        <v>727</v>
      </c>
      <c r="C708" s="2">
        <v>45436</v>
      </c>
      <c r="D708" s="2">
        <v>45439</v>
      </c>
      <c r="E708" t="s">
        <v>1524</v>
      </c>
      <c r="F708" t="s">
        <v>1760</v>
      </c>
      <c r="G708" t="s">
        <v>1974</v>
      </c>
      <c r="H708" t="s">
        <v>2314</v>
      </c>
      <c r="I708" t="s">
        <v>2317</v>
      </c>
      <c r="J708" t="s">
        <v>2320</v>
      </c>
      <c r="K708" t="s">
        <v>2320</v>
      </c>
      <c r="L708">
        <v>792642</v>
      </c>
      <c r="M708" t="s">
        <v>2330</v>
      </c>
      <c r="N708" t="s">
        <v>2814</v>
      </c>
      <c r="O708" t="s">
        <v>3053</v>
      </c>
      <c r="P708" t="s">
        <v>3066</v>
      </c>
      <c r="Q708" t="s">
        <v>3597</v>
      </c>
      <c r="R708">
        <v>96.36</v>
      </c>
      <c r="S708">
        <v>5</v>
      </c>
      <c r="T708">
        <v>0.1</v>
      </c>
      <c r="U708">
        <v>32.47</v>
      </c>
    </row>
    <row r="709" spans="1:21" x14ac:dyDescent="0.3">
      <c r="A709">
        <v>708</v>
      </c>
      <c r="B709" t="s">
        <v>728</v>
      </c>
      <c r="C709" s="2">
        <v>45492</v>
      </c>
      <c r="D709" s="2">
        <v>45495</v>
      </c>
      <c r="E709" t="s">
        <v>1522</v>
      </c>
      <c r="F709" t="s">
        <v>1863</v>
      </c>
      <c r="G709" t="s">
        <v>2224</v>
      </c>
      <c r="H709" t="s">
        <v>2315</v>
      </c>
      <c r="I709" t="s">
        <v>2317</v>
      </c>
      <c r="J709" t="s">
        <v>2322</v>
      </c>
      <c r="K709" t="s">
        <v>2322</v>
      </c>
      <c r="L709">
        <v>727326</v>
      </c>
      <c r="M709" t="s">
        <v>2331</v>
      </c>
      <c r="N709" t="s">
        <v>2358</v>
      </c>
      <c r="O709" t="s">
        <v>3053</v>
      </c>
      <c r="P709" t="s">
        <v>3062</v>
      </c>
      <c r="Q709" t="s">
        <v>3598</v>
      </c>
      <c r="R709">
        <v>179.22</v>
      </c>
      <c r="S709">
        <v>9</v>
      </c>
      <c r="T709">
        <v>0.2</v>
      </c>
      <c r="U709">
        <v>-28.83</v>
      </c>
    </row>
    <row r="710" spans="1:21" x14ac:dyDescent="0.3">
      <c r="A710">
        <v>709</v>
      </c>
      <c r="B710" t="s">
        <v>729</v>
      </c>
      <c r="C710" s="2">
        <v>46015</v>
      </c>
      <c r="D710" s="2">
        <v>46018</v>
      </c>
      <c r="E710" t="s">
        <v>1521</v>
      </c>
      <c r="F710" t="s">
        <v>1864</v>
      </c>
      <c r="G710" t="s">
        <v>2262</v>
      </c>
      <c r="H710" t="s">
        <v>2315</v>
      </c>
      <c r="I710" t="s">
        <v>2317</v>
      </c>
      <c r="J710" t="s">
        <v>2324</v>
      </c>
      <c r="K710" t="s">
        <v>2324</v>
      </c>
      <c r="L710">
        <v>211597</v>
      </c>
      <c r="M710" t="s">
        <v>2330</v>
      </c>
      <c r="N710" t="s">
        <v>2386</v>
      </c>
      <c r="O710" t="s">
        <v>3054</v>
      </c>
      <c r="P710" t="s">
        <v>3064</v>
      </c>
      <c r="Q710" t="s">
        <v>3427</v>
      </c>
      <c r="R710">
        <v>264.56</v>
      </c>
      <c r="S710">
        <v>2</v>
      </c>
      <c r="T710">
        <v>0.05</v>
      </c>
      <c r="U710">
        <v>62.81</v>
      </c>
    </row>
    <row r="711" spans="1:21" x14ac:dyDescent="0.3">
      <c r="A711">
        <v>710</v>
      </c>
      <c r="B711" t="s">
        <v>730</v>
      </c>
      <c r="C711" s="2">
        <v>45752</v>
      </c>
      <c r="D711" s="2">
        <v>45755</v>
      </c>
      <c r="E711" t="s">
        <v>1521</v>
      </c>
      <c r="F711" t="s">
        <v>1800</v>
      </c>
      <c r="G711" t="s">
        <v>1983</v>
      </c>
      <c r="H711" t="s">
        <v>2314</v>
      </c>
      <c r="I711" t="s">
        <v>2317</v>
      </c>
      <c r="J711" t="s">
        <v>2324</v>
      </c>
      <c r="K711" t="s">
        <v>2324</v>
      </c>
      <c r="L711">
        <v>294202</v>
      </c>
      <c r="M711" t="s">
        <v>2330</v>
      </c>
      <c r="N711" t="s">
        <v>2535</v>
      </c>
      <c r="O711" t="s">
        <v>3055</v>
      </c>
      <c r="P711" t="s">
        <v>3067</v>
      </c>
      <c r="Q711" t="s">
        <v>3599</v>
      </c>
      <c r="R711">
        <v>587.35</v>
      </c>
      <c r="S711">
        <v>4</v>
      </c>
      <c r="T711">
        <v>0.3</v>
      </c>
      <c r="U711">
        <v>38.659999999999997</v>
      </c>
    </row>
    <row r="712" spans="1:21" x14ac:dyDescent="0.3">
      <c r="A712">
        <v>711</v>
      </c>
      <c r="B712" t="s">
        <v>731</v>
      </c>
      <c r="C712" s="2">
        <v>45849</v>
      </c>
      <c r="D712" s="2">
        <v>45852</v>
      </c>
      <c r="E712" t="s">
        <v>1522</v>
      </c>
      <c r="F712" t="s">
        <v>1766</v>
      </c>
      <c r="G712" t="s">
        <v>2263</v>
      </c>
      <c r="H712" t="s">
        <v>2314</v>
      </c>
      <c r="I712" t="s">
        <v>2317</v>
      </c>
      <c r="J712" t="s">
        <v>2326</v>
      </c>
      <c r="K712" t="s">
        <v>2326</v>
      </c>
      <c r="L712">
        <v>156690</v>
      </c>
      <c r="M712" t="s">
        <v>2331</v>
      </c>
      <c r="N712" t="s">
        <v>2815</v>
      </c>
      <c r="O712" t="s">
        <v>3054</v>
      </c>
      <c r="P712" t="s">
        <v>3057</v>
      </c>
      <c r="Q712" t="s">
        <v>3521</v>
      </c>
      <c r="R712">
        <v>165.78</v>
      </c>
      <c r="S712">
        <v>6</v>
      </c>
      <c r="T712">
        <v>0.3</v>
      </c>
      <c r="U712">
        <v>41.73</v>
      </c>
    </row>
    <row r="713" spans="1:21" x14ac:dyDescent="0.3">
      <c r="A713">
        <v>712</v>
      </c>
      <c r="B713" t="s">
        <v>732</v>
      </c>
      <c r="C713" s="2">
        <v>45838</v>
      </c>
      <c r="D713" s="2">
        <v>45841</v>
      </c>
      <c r="E713" t="s">
        <v>1524</v>
      </c>
      <c r="F713" t="s">
        <v>1829</v>
      </c>
      <c r="G713" t="s">
        <v>1953</v>
      </c>
      <c r="H713" t="s">
        <v>2314</v>
      </c>
      <c r="I713" t="s">
        <v>2317</v>
      </c>
      <c r="J713" t="s">
        <v>2321</v>
      </c>
      <c r="K713" t="s">
        <v>2321</v>
      </c>
      <c r="L713">
        <v>829422</v>
      </c>
      <c r="M713" t="s">
        <v>2329</v>
      </c>
      <c r="N713" t="s">
        <v>2578</v>
      </c>
      <c r="O713" t="s">
        <v>3055</v>
      </c>
      <c r="P713" t="s">
        <v>3061</v>
      </c>
      <c r="Q713" t="s">
        <v>3600</v>
      </c>
      <c r="R713">
        <v>801.72</v>
      </c>
      <c r="S713">
        <v>7</v>
      </c>
      <c r="T713">
        <v>0.05</v>
      </c>
      <c r="U713">
        <v>168.08</v>
      </c>
    </row>
    <row r="714" spans="1:21" x14ac:dyDescent="0.3">
      <c r="A714">
        <v>713</v>
      </c>
      <c r="B714" t="s">
        <v>733</v>
      </c>
      <c r="C714" s="2">
        <v>45544</v>
      </c>
      <c r="D714" s="2">
        <v>45547</v>
      </c>
      <c r="E714" t="s">
        <v>1522</v>
      </c>
      <c r="F714" t="s">
        <v>1561</v>
      </c>
      <c r="G714" t="s">
        <v>2162</v>
      </c>
      <c r="H714" t="s">
        <v>2316</v>
      </c>
      <c r="I714" t="s">
        <v>2317</v>
      </c>
      <c r="J714" t="s">
        <v>2325</v>
      </c>
      <c r="K714" t="s">
        <v>2325</v>
      </c>
      <c r="L714">
        <v>590847</v>
      </c>
      <c r="M714" t="s">
        <v>2332</v>
      </c>
      <c r="N714" t="s">
        <v>2625</v>
      </c>
      <c r="O714" t="s">
        <v>3054</v>
      </c>
      <c r="P714" t="s">
        <v>3058</v>
      </c>
      <c r="Q714" t="s">
        <v>3587</v>
      </c>
      <c r="R714">
        <v>110</v>
      </c>
      <c r="S714">
        <v>3</v>
      </c>
      <c r="T714">
        <v>0.1</v>
      </c>
      <c r="U714">
        <v>5.33</v>
      </c>
    </row>
    <row r="715" spans="1:21" x14ac:dyDescent="0.3">
      <c r="A715">
        <v>714</v>
      </c>
      <c r="B715" t="s">
        <v>734</v>
      </c>
      <c r="C715" s="2">
        <v>45681</v>
      </c>
      <c r="D715" s="2">
        <v>45684</v>
      </c>
      <c r="E715" t="s">
        <v>1522</v>
      </c>
      <c r="F715" t="s">
        <v>1665</v>
      </c>
      <c r="G715" t="s">
        <v>2098</v>
      </c>
      <c r="H715" t="s">
        <v>2316</v>
      </c>
      <c r="I715" t="s">
        <v>2317</v>
      </c>
      <c r="J715" t="s">
        <v>2319</v>
      </c>
      <c r="K715" t="s">
        <v>2319</v>
      </c>
      <c r="L715">
        <v>411493</v>
      </c>
      <c r="M715" t="s">
        <v>2329</v>
      </c>
      <c r="N715" t="s">
        <v>2694</v>
      </c>
      <c r="O715" t="s">
        <v>3054</v>
      </c>
      <c r="P715" t="s">
        <v>3057</v>
      </c>
      <c r="Q715" t="s">
        <v>3601</v>
      </c>
      <c r="R715">
        <v>78.22</v>
      </c>
      <c r="S715">
        <v>7</v>
      </c>
      <c r="T715">
        <v>0.15</v>
      </c>
      <c r="U715">
        <v>30.27</v>
      </c>
    </row>
    <row r="716" spans="1:21" x14ac:dyDescent="0.3">
      <c r="A716">
        <v>715</v>
      </c>
      <c r="B716" t="s">
        <v>735</v>
      </c>
      <c r="C716" s="2">
        <v>45885</v>
      </c>
      <c r="D716" s="2">
        <v>45888</v>
      </c>
      <c r="E716" t="s">
        <v>1523</v>
      </c>
      <c r="F716" t="s">
        <v>1651</v>
      </c>
      <c r="G716" t="s">
        <v>1991</v>
      </c>
      <c r="H716" t="s">
        <v>2314</v>
      </c>
      <c r="I716" t="s">
        <v>2317</v>
      </c>
      <c r="J716" t="s">
        <v>2320</v>
      </c>
      <c r="K716" t="s">
        <v>2320</v>
      </c>
      <c r="L716">
        <v>828229</v>
      </c>
      <c r="M716" t="s">
        <v>2330</v>
      </c>
      <c r="N716" t="s">
        <v>2517</v>
      </c>
      <c r="O716" t="s">
        <v>3054</v>
      </c>
      <c r="P716" t="s">
        <v>3063</v>
      </c>
      <c r="Q716" t="s">
        <v>3602</v>
      </c>
      <c r="R716">
        <v>138.85</v>
      </c>
      <c r="S716">
        <v>1</v>
      </c>
      <c r="T716">
        <v>0.4</v>
      </c>
      <c r="U716">
        <v>10.65</v>
      </c>
    </row>
    <row r="717" spans="1:21" x14ac:dyDescent="0.3">
      <c r="A717">
        <v>716</v>
      </c>
      <c r="B717" t="s">
        <v>736</v>
      </c>
      <c r="C717" s="2">
        <v>45547</v>
      </c>
      <c r="D717" s="2">
        <v>45550</v>
      </c>
      <c r="E717" t="s">
        <v>1521</v>
      </c>
      <c r="F717" t="s">
        <v>1865</v>
      </c>
      <c r="G717" t="s">
        <v>2158</v>
      </c>
      <c r="H717" t="s">
        <v>2316</v>
      </c>
      <c r="I717" t="s">
        <v>2317</v>
      </c>
      <c r="J717" t="s">
        <v>2324</v>
      </c>
      <c r="K717" t="s">
        <v>2324</v>
      </c>
      <c r="L717">
        <v>685233</v>
      </c>
      <c r="M717" t="s">
        <v>2330</v>
      </c>
      <c r="N717" t="s">
        <v>2687</v>
      </c>
      <c r="O717" t="s">
        <v>3055</v>
      </c>
      <c r="P717" t="s">
        <v>3067</v>
      </c>
      <c r="Q717" t="s">
        <v>3603</v>
      </c>
      <c r="R717">
        <v>336.56</v>
      </c>
      <c r="S717">
        <v>8</v>
      </c>
      <c r="T717">
        <v>0.1</v>
      </c>
      <c r="U717">
        <v>52.49</v>
      </c>
    </row>
    <row r="718" spans="1:21" x14ac:dyDescent="0.3">
      <c r="A718">
        <v>717</v>
      </c>
      <c r="B718" t="s">
        <v>737</v>
      </c>
      <c r="C718" s="2">
        <v>46000</v>
      </c>
      <c r="D718" s="2">
        <v>46002</v>
      </c>
      <c r="E718" t="s">
        <v>1521</v>
      </c>
      <c r="F718" t="s">
        <v>1753</v>
      </c>
      <c r="G718" t="s">
        <v>2264</v>
      </c>
      <c r="H718" t="s">
        <v>2314</v>
      </c>
      <c r="I718" t="s">
        <v>2317</v>
      </c>
      <c r="J718" t="s">
        <v>2322</v>
      </c>
      <c r="K718" t="s">
        <v>2322</v>
      </c>
      <c r="L718">
        <v>676070</v>
      </c>
      <c r="M718" t="s">
        <v>2331</v>
      </c>
      <c r="N718" t="s">
        <v>2733</v>
      </c>
      <c r="O718" t="s">
        <v>3053</v>
      </c>
      <c r="P718" t="s">
        <v>3066</v>
      </c>
      <c r="Q718" t="s">
        <v>3604</v>
      </c>
      <c r="R718">
        <v>103.5</v>
      </c>
      <c r="S718">
        <v>1</v>
      </c>
      <c r="T718">
        <v>0.15</v>
      </c>
      <c r="U718">
        <v>57.51</v>
      </c>
    </row>
    <row r="719" spans="1:21" x14ac:dyDescent="0.3">
      <c r="A719">
        <v>718</v>
      </c>
      <c r="B719" t="s">
        <v>738</v>
      </c>
      <c r="C719" s="2">
        <v>45741</v>
      </c>
      <c r="D719" s="2">
        <v>45743</v>
      </c>
      <c r="E719" t="s">
        <v>1524</v>
      </c>
      <c r="F719" t="s">
        <v>1646</v>
      </c>
      <c r="G719" t="s">
        <v>2265</v>
      </c>
      <c r="H719" t="s">
        <v>2316</v>
      </c>
      <c r="I719" t="s">
        <v>2317</v>
      </c>
      <c r="J719" t="s">
        <v>2326</v>
      </c>
      <c r="K719" t="s">
        <v>2326</v>
      </c>
      <c r="L719">
        <v>480703</v>
      </c>
      <c r="M719" t="s">
        <v>2331</v>
      </c>
      <c r="N719" t="s">
        <v>2816</v>
      </c>
      <c r="O719" t="s">
        <v>3053</v>
      </c>
      <c r="P719" t="s">
        <v>3056</v>
      </c>
      <c r="Q719" t="s">
        <v>3258</v>
      </c>
      <c r="R719">
        <v>241.05</v>
      </c>
      <c r="S719">
        <v>6</v>
      </c>
      <c r="T719">
        <v>0.1</v>
      </c>
      <c r="U719">
        <v>2.76</v>
      </c>
    </row>
    <row r="720" spans="1:21" x14ac:dyDescent="0.3">
      <c r="A720">
        <v>719</v>
      </c>
      <c r="B720" t="s">
        <v>739</v>
      </c>
      <c r="C720" s="2">
        <v>45301</v>
      </c>
      <c r="D720" s="2">
        <v>45302</v>
      </c>
      <c r="E720" t="s">
        <v>1524</v>
      </c>
      <c r="F720" t="s">
        <v>1866</v>
      </c>
      <c r="G720" t="s">
        <v>2103</v>
      </c>
      <c r="H720" t="s">
        <v>2315</v>
      </c>
      <c r="I720" t="s">
        <v>2317</v>
      </c>
      <c r="J720" t="s">
        <v>2322</v>
      </c>
      <c r="K720" t="s">
        <v>2322</v>
      </c>
      <c r="L720">
        <v>728556</v>
      </c>
      <c r="M720" t="s">
        <v>2331</v>
      </c>
      <c r="N720" t="s">
        <v>2817</v>
      </c>
      <c r="O720" t="s">
        <v>3054</v>
      </c>
      <c r="P720" t="s">
        <v>3063</v>
      </c>
      <c r="Q720" t="s">
        <v>3545</v>
      </c>
      <c r="R720">
        <v>76.790000000000006</v>
      </c>
      <c r="S720">
        <v>3</v>
      </c>
      <c r="T720">
        <v>0.2</v>
      </c>
      <c r="U720">
        <v>18.350000000000001</v>
      </c>
    </row>
    <row r="721" spans="1:21" x14ac:dyDescent="0.3">
      <c r="A721">
        <v>720</v>
      </c>
      <c r="B721" t="s">
        <v>740</v>
      </c>
      <c r="C721" s="2">
        <v>45533</v>
      </c>
      <c r="D721" s="2">
        <v>45538</v>
      </c>
      <c r="E721" t="s">
        <v>1521</v>
      </c>
      <c r="F721" t="s">
        <v>1645</v>
      </c>
      <c r="G721" t="s">
        <v>2163</v>
      </c>
      <c r="H721" t="s">
        <v>2316</v>
      </c>
      <c r="I721" t="s">
        <v>2317</v>
      </c>
      <c r="J721" t="s">
        <v>2319</v>
      </c>
      <c r="K721" t="s">
        <v>2319</v>
      </c>
      <c r="L721">
        <v>817804</v>
      </c>
      <c r="M721" t="s">
        <v>2329</v>
      </c>
      <c r="N721" t="s">
        <v>2818</v>
      </c>
      <c r="O721" t="s">
        <v>3053</v>
      </c>
      <c r="P721" t="s">
        <v>3062</v>
      </c>
      <c r="Q721" t="s">
        <v>3605</v>
      </c>
      <c r="R721">
        <v>572.79</v>
      </c>
      <c r="S721">
        <v>8</v>
      </c>
      <c r="T721">
        <v>0.1</v>
      </c>
      <c r="U721">
        <v>51.39</v>
      </c>
    </row>
    <row r="722" spans="1:21" x14ac:dyDescent="0.3">
      <c r="A722">
        <v>721</v>
      </c>
      <c r="B722" t="s">
        <v>741</v>
      </c>
      <c r="C722" s="2">
        <v>45542</v>
      </c>
      <c r="D722" s="2">
        <v>45543</v>
      </c>
      <c r="E722" t="s">
        <v>1524</v>
      </c>
      <c r="F722" t="s">
        <v>1867</v>
      </c>
      <c r="G722" t="s">
        <v>2168</v>
      </c>
      <c r="H722" t="s">
        <v>2315</v>
      </c>
      <c r="I722" t="s">
        <v>2317</v>
      </c>
      <c r="J722" t="s">
        <v>2325</v>
      </c>
      <c r="K722" t="s">
        <v>2325</v>
      </c>
      <c r="L722">
        <v>825903</v>
      </c>
      <c r="M722" t="s">
        <v>2332</v>
      </c>
      <c r="N722" t="s">
        <v>2819</v>
      </c>
      <c r="O722" t="s">
        <v>3053</v>
      </c>
      <c r="P722" t="s">
        <v>3065</v>
      </c>
      <c r="Q722" t="s">
        <v>3245</v>
      </c>
      <c r="R722">
        <v>320.7</v>
      </c>
      <c r="S722">
        <v>3</v>
      </c>
      <c r="T722">
        <v>0.15</v>
      </c>
      <c r="U722">
        <v>9.98</v>
      </c>
    </row>
    <row r="723" spans="1:21" x14ac:dyDescent="0.3">
      <c r="A723">
        <v>722</v>
      </c>
      <c r="B723" t="s">
        <v>742</v>
      </c>
      <c r="C723" s="2">
        <v>45296</v>
      </c>
      <c r="D723" s="2">
        <v>45301</v>
      </c>
      <c r="E723" t="s">
        <v>1523</v>
      </c>
      <c r="F723" t="s">
        <v>1615</v>
      </c>
      <c r="G723" t="s">
        <v>2051</v>
      </c>
      <c r="H723" t="s">
        <v>2315</v>
      </c>
      <c r="I723" t="s">
        <v>2317</v>
      </c>
      <c r="J723" t="s">
        <v>2326</v>
      </c>
      <c r="K723" t="s">
        <v>2326</v>
      </c>
      <c r="L723">
        <v>662464</v>
      </c>
      <c r="M723" t="s">
        <v>2331</v>
      </c>
      <c r="N723" t="s">
        <v>2444</v>
      </c>
      <c r="O723" t="s">
        <v>3053</v>
      </c>
      <c r="P723" t="s">
        <v>3062</v>
      </c>
      <c r="Q723" t="s">
        <v>3606</v>
      </c>
      <c r="R723">
        <v>692.61</v>
      </c>
      <c r="S723">
        <v>9</v>
      </c>
      <c r="T723">
        <v>0</v>
      </c>
      <c r="U723">
        <v>46.54</v>
      </c>
    </row>
    <row r="724" spans="1:21" x14ac:dyDescent="0.3">
      <c r="A724">
        <v>723</v>
      </c>
      <c r="B724" t="s">
        <v>743</v>
      </c>
      <c r="C724" s="2">
        <v>45410</v>
      </c>
      <c r="D724" s="2">
        <v>45413</v>
      </c>
      <c r="E724" t="s">
        <v>1523</v>
      </c>
      <c r="F724" t="s">
        <v>1671</v>
      </c>
      <c r="G724" t="s">
        <v>1948</v>
      </c>
      <c r="H724" t="s">
        <v>2314</v>
      </c>
      <c r="I724" t="s">
        <v>2317</v>
      </c>
      <c r="J724" t="s">
        <v>2326</v>
      </c>
      <c r="K724" t="s">
        <v>2326</v>
      </c>
      <c r="L724">
        <v>152756</v>
      </c>
      <c r="M724" t="s">
        <v>2331</v>
      </c>
      <c r="N724" t="s">
        <v>2820</v>
      </c>
      <c r="O724" t="s">
        <v>3053</v>
      </c>
      <c r="P724" t="s">
        <v>3066</v>
      </c>
      <c r="Q724" t="s">
        <v>3178</v>
      </c>
      <c r="R724">
        <v>227.63</v>
      </c>
      <c r="S724">
        <v>8</v>
      </c>
      <c r="T724">
        <v>0.2</v>
      </c>
      <c r="U724">
        <v>19.5</v>
      </c>
    </row>
    <row r="725" spans="1:21" x14ac:dyDescent="0.3">
      <c r="A725">
        <v>724</v>
      </c>
      <c r="B725" t="s">
        <v>744</v>
      </c>
      <c r="C725" s="2">
        <v>45665</v>
      </c>
      <c r="D725" s="2">
        <v>45669</v>
      </c>
      <c r="E725" t="s">
        <v>1521</v>
      </c>
      <c r="F725" t="s">
        <v>1816</v>
      </c>
      <c r="G725" t="s">
        <v>2154</v>
      </c>
      <c r="H725" t="s">
        <v>2314</v>
      </c>
      <c r="I725" t="s">
        <v>2317</v>
      </c>
      <c r="J725" t="s">
        <v>2318</v>
      </c>
      <c r="K725" t="s">
        <v>2318</v>
      </c>
      <c r="L725">
        <v>106402</v>
      </c>
      <c r="M725" t="s">
        <v>2328</v>
      </c>
      <c r="N725" t="s">
        <v>2474</v>
      </c>
      <c r="O725" t="s">
        <v>3053</v>
      </c>
      <c r="P725" t="s">
        <v>3065</v>
      </c>
      <c r="Q725" t="s">
        <v>3510</v>
      </c>
      <c r="R725">
        <v>176</v>
      </c>
      <c r="S725">
        <v>5</v>
      </c>
      <c r="T725">
        <v>0.15</v>
      </c>
      <c r="U725">
        <v>33.4</v>
      </c>
    </row>
    <row r="726" spans="1:21" x14ac:dyDescent="0.3">
      <c r="A726">
        <v>725</v>
      </c>
      <c r="B726" t="s">
        <v>745</v>
      </c>
      <c r="C726" s="2">
        <v>45356</v>
      </c>
      <c r="D726" s="2">
        <v>45359</v>
      </c>
      <c r="E726" t="s">
        <v>1523</v>
      </c>
      <c r="F726" t="s">
        <v>1834</v>
      </c>
      <c r="G726" t="s">
        <v>2013</v>
      </c>
      <c r="H726" t="s">
        <v>2315</v>
      </c>
      <c r="I726" t="s">
        <v>2317</v>
      </c>
      <c r="J726" t="s">
        <v>2320</v>
      </c>
      <c r="K726" t="s">
        <v>2320</v>
      </c>
      <c r="L726">
        <v>443190</v>
      </c>
      <c r="M726" t="s">
        <v>2330</v>
      </c>
      <c r="N726" t="s">
        <v>2821</v>
      </c>
      <c r="O726" t="s">
        <v>3055</v>
      </c>
      <c r="P726" t="s">
        <v>3059</v>
      </c>
      <c r="Q726" t="s">
        <v>3607</v>
      </c>
      <c r="R726">
        <v>188.01</v>
      </c>
      <c r="S726">
        <v>6</v>
      </c>
      <c r="T726">
        <v>0.1</v>
      </c>
      <c r="U726">
        <v>-33.31</v>
      </c>
    </row>
    <row r="727" spans="1:21" x14ac:dyDescent="0.3">
      <c r="A727">
        <v>726</v>
      </c>
      <c r="B727" t="s">
        <v>746</v>
      </c>
      <c r="C727" s="2">
        <v>45437</v>
      </c>
      <c r="D727" s="2">
        <v>45438</v>
      </c>
      <c r="E727" t="s">
        <v>1524</v>
      </c>
      <c r="F727" t="s">
        <v>1614</v>
      </c>
      <c r="G727" t="s">
        <v>2040</v>
      </c>
      <c r="H727" t="s">
        <v>2316</v>
      </c>
      <c r="I727" t="s">
        <v>2317</v>
      </c>
      <c r="J727" t="s">
        <v>2326</v>
      </c>
      <c r="K727" t="s">
        <v>2326</v>
      </c>
      <c r="L727">
        <v>775087</v>
      </c>
      <c r="M727" t="s">
        <v>2331</v>
      </c>
      <c r="N727" t="s">
        <v>2705</v>
      </c>
      <c r="O727" t="s">
        <v>3054</v>
      </c>
      <c r="P727" t="s">
        <v>3063</v>
      </c>
      <c r="Q727" t="s">
        <v>3238</v>
      </c>
      <c r="R727">
        <v>41.03</v>
      </c>
      <c r="S727">
        <v>5</v>
      </c>
      <c r="T727">
        <v>0.05</v>
      </c>
      <c r="U727">
        <v>15</v>
      </c>
    </row>
    <row r="728" spans="1:21" x14ac:dyDescent="0.3">
      <c r="A728">
        <v>727</v>
      </c>
      <c r="B728" t="s">
        <v>747</v>
      </c>
      <c r="C728" s="2">
        <v>45515</v>
      </c>
      <c r="D728" s="2">
        <v>45519</v>
      </c>
      <c r="E728" t="s">
        <v>1521</v>
      </c>
      <c r="F728" t="s">
        <v>1868</v>
      </c>
      <c r="G728" t="s">
        <v>2150</v>
      </c>
      <c r="H728" t="s">
        <v>2316</v>
      </c>
      <c r="I728" t="s">
        <v>2317</v>
      </c>
      <c r="J728" t="s">
        <v>2318</v>
      </c>
      <c r="K728" t="s">
        <v>2318</v>
      </c>
      <c r="L728">
        <v>520515</v>
      </c>
      <c r="M728" t="s">
        <v>2328</v>
      </c>
      <c r="N728" t="s">
        <v>2822</v>
      </c>
      <c r="O728" t="s">
        <v>3054</v>
      </c>
      <c r="P728" t="s">
        <v>3063</v>
      </c>
      <c r="Q728" t="s">
        <v>3136</v>
      </c>
      <c r="R728">
        <v>120.4</v>
      </c>
      <c r="S728">
        <v>2</v>
      </c>
      <c r="T728">
        <v>0.05</v>
      </c>
      <c r="U728">
        <v>-15.37</v>
      </c>
    </row>
    <row r="729" spans="1:21" x14ac:dyDescent="0.3">
      <c r="A729">
        <v>728</v>
      </c>
      <c r="B729" t="s">
        <v>748</v>
      </c>
      <c r="C729" s="2">
        <v>45530</v>
      </c>
      <c r="D729" s="2">
        <v>45531</v>
      </c>
      <c r="E729" t="s">
        <v>1522</v>
      </c>
      <c r="F729" t="s">
        <v>1567</v>
      </c>
      <c r="G729" t="s">
        <v>2077</v>
      </c>
      <c r="H729" t="s">
        <v>2314</v>
      </c>
      <c r="I729" t="s">
        <v>2317</v>
      </c>
      <c r="J729" t="s">
        <v>2318</v>
      </c>
      <c r="K729" t="s">
        <v>2318</v>
      </c>
      <c r="L729">
        <v>255647</v>
      </c>
      <c r="M729" t="s">
        <v>2328</v>
      </c>
      <c r="N729" t="s">
        <v>2754</v>
      </c>
      <c r="O729" t="s">
        <v>3054</v>
      </c>
      <c r="P729" t="s">
        <v>3058</v>
      </c>
      <c r="Q729" t="s">
        <v>3364</v>
      </c>
      <c r="R729">
        <v>49.16</v>
      </c>
      <c r="S729">
        <v>3</v>
      </c>
      <c r="T729">
        <v>0.15</v>
      </c>
      <c r="U729">
        <v>33.479999999999997</v>
      </c>
    </row>
    <row r="730" spans="1:21" x14ac:dyDescent="0.3">
      <c r="A730">
        <v>729</v>
      </c>
      <c r="B730" t="s">
        <v>749</v>
      </c>
      <c r="C730" s="2">
        <v>45468</v>
      </c>
      <c r="D730" s="2">
        <v>45471</v>
      </c>
      <c r="E730" t="s">
        <v>1522</v>
      </c>
      <c r="F730" t="s">
        <v>1869</v>
      </c>
      <c r="G730" t="s">
        <v>2210</v>
      </c>
      <c r="H730" t="s">
        <v>2315</v>
      </c>
      <c r="I730" t="s">
        <v>2317</v>
      </c>
      <c r="J730" t="s">
        <v>2319</v>
      </c>
      <c r="K730" t="s">
        <v>2319</v>
      </c>
      <c r="L730">
        <v>181551</v>
      </c>
      <c r="M730" t="s">
        <v>2329</v>
      </c>
      <c r="N730" t="s">
        <v>2823</v>
      </c>
      <c r="O730" t="s">
        <v>3055</v>
      </c>
      <c r="P730" t="s">
        <v>3060</v>
      </c>
      <c r="Q730" t="s">
        <v>3608</v>
      </c>
      <c r="R730">
        <v>233.25</v>
      </c>
      <c r="S730">
        <v>8</v>
      </c>
      <c r="T730">
        <v>0.15</v>
      </c>
      <c r="U730">
        <v>-9.94</v>
      </c>
    </row>
    <row r="731" spans="1:21" x14ac:dyDescent="0.3">
      <c r="A731">
        <v>730</v>
      </c>
      <c r="B731" t="s">
        <v>750</v>
      </c>
      <c r="C731" s="2">
        <v>45573</v>
      </c>
      <c r="D731" s="2">
        <v>45576</v>
      </c>
      <c r="E731" t="s">
        <v>1523</v>
      </c>
      <c r="F731" t="s">
        <v>1870</v>
      </c>
      <c r="G731" t="s">
        <v>2084</v>
      </c>
      <c r="H731" t="s">
        <v>2314</v>
      </c>
      <c r="I731" t="s">
        <v>2317</v>
      </c>
      <c r="J731" t="s">
        <v>2327</v>
      </c>
      <c r="K731" t="s">
        <v>2327</v>
      </c>
      <c r="L731">
        <v>348751</v>
      </c>
      <c r="M731" t="s">
        <v>2330</v>
      </c>
      <c r="N731" t="s">
        <v>2824</v>
      </c>
      <c r="O731" t="s">
        <v>3054</v>
      </c>
      <c r="P731" t="s">
        <v>3058</v>
      </c>
      <c r="Q731" t="s">
        <v>3508</v>
      </c>
      <c r="R731">
        <v>112.63</v>
      </c>
      <c r="S731">
        <v>3</v>
      </c>
      <c r="T731">
        <v>0.15</v>
      </c>
      <c r="U731">
        <v>-18.57</v>
      </c>
    </row>
    <row r="732" spans="1:21" x14ac:dyDescent="0.3">
      <c r="A732">
        <v>731</v>
      </c>
      <c r="B732" t="s">
        <v>751</v>
      </c>
      <c r="C732" s="2">
        <v>45354</v>
      </c>
      <c r="D732" s="2">
        <v>45356</v>
      </c>
      <c r="E732" t="s">
        <v>1522</v>
      </c>
      <c r="F732" t="s">
        <v>1870</v>
      </c>
      <c r="G732" t="s">
        <v>2070</v>
      </c>
      <c r="H732" t="s">
        <v>2315</v>
      </c>
      <c r="I732" t="s">
        <v>2317</v>
      </c>
      <c r="J732" t="s">
        <v>2322</v>
      </c>
      <c r="K732" t="s">
        <v>2322</v>
      </c>
      <c r="L732">
        <v>941774</v>
      </c>
      <c r="M732" t="s">
        <v>2331</v>
      </c>
      <c r="N732" t="s">
        <v>2434</v>
      </c>
      <c r="O732" t="s">
        <v>3054</v>
      </c>
      <c r="P732" t="s">
        <v>3064</v>
      </c>
      <c r="Q732" t="s">
        <v>3609</v>
      </c>
      <c r="R732">
        <v>179.44</v>
      </c>
      <c r="S732">
        <v>7</v>
      </c>
      <c r="T732">
        <v>0.05</v>
      </c>
      <c r="U732">
        <v>67.81</v>
      </c>
    </row>
    <row r="733" spans="1:21" x14ac:dyDescent="0.3">
      <c r="A733">
        <v>732</v>
      </c>
      <c r="B733" t="s">
        <v>752</v>
      </c>
      <c r="C733" s="2">
        <v>45508</v>
      </c>
      <c r="D733" s="2">
        <v>45512</v>
      </c>
      <c r="E733" t="s">
        <v>1522</v>
      </c>
      <c r="F733" t="s">
        <v>1808</v>
      </c>
      <c r="G733" t="s">
        <v>2259</v>
      </c>
      <c r="H733" t="s">
        <v>2315</v>
      </c>
      <c r="I733" t="s">
        <v>2317</v>
      </c>
      <c r="J733" t="s">
        <v>2325</v>
      </c>
      <c r="K733" t="s">
        <v>2325</v>
      </c>
      <c r="L733">
        <v>220388</v>
      </c>
      <c r="M733" t="s">
        <v>2332</v>
      </c>
      <c r="N733" t="s">
        <v>2499</v>
      </c>
      <c r="O733" t="s">
        <v>3054</v>
      </c>
      <c r="P733" t="s">
        <v>3057</v>
      </c>
      <c r="Q733" t="s">
        <v>3225</v>
      </c>
      <c r="R733">
        <v>86.51</v>
      </c>
      <c r="S733">
        <v>2</v>
      </c>
      <c r="T733">
        <v>0.15</v>
      </c>
      <c r="U733">
        <v>-39.520000000000003</v>
      </c>
    </row>
    <row r="734" spans="1:21" x14ac:dyDescent="0.3">
      <c r="A734">
        <v>733</v>
      </c>
      <c r="B734" t="s">
        <v>753</v>
      </c>
      <c r="C734" s="2">
        <v>45980</v>
      </c>
      <c r="D734" s="2">
        <v>45983</v>
      </c>
      <c r="E734" t="s">
        <v>1522</v>
      </c>
      <c r="F734" t="s">
        <v>1871</v>
      </c>
      <c r="G734" t="s">
        <v>2266</v>
      </c>
      <c r="H734" t="s">
        <v>2316</v>
      </c>
      <c r="I734" t="s">
        <v>2317</v>
      </c>
      <c r="J734" t="s">
        <v>2323</v>
      </c>
      <c r="K734" t="s">
        <v>2323</v>
      </c>
      <c r="L734">
        <v>993850</v>
      </c>
      <c r="M734" t="s">
        <v>2328</v>
      </c>
      <c r="N734" t="s">
        <v>2669</v>
      </c>
      <c r="O734" t="s">
        <v>3054</v>
      </c>
      <c r="P734" t="s">
        <v>3058</v>
      </c>
      <c r="Q734" t="s">
        <v>3610</v>
      </c>
      <c r="R734">
        <v>41.45</v>
      </c>
      <c r="S734">
        <v>8</v>
      </c>
      <c r="T734">
        <v>0.2</v>
      </c>
      <c r="U734">
        <v>-5.3</v>
      </c>
    </row>
    <row r="735" spans="1:21" x14ac:dyDescent="0.3">
      <c r="A735">
        <v>734</v>
      </c>
      <c r="B735" t="s">
        <v>754</v>
      </c>
      <c r="C735" s="2">
        <v>45752</v>
      </c>
      <c r="D735" s="2">
        <v>45755</v>
      </c>
      <c r="E735" t="s">
        <v>1521</v>
      </c>
      <c r="F735" t="s">
        <v>1588</v>
      </c>
      <c r="G735" t="s">
        <v>2260</v>
      </c>
      <c r="H735" t="s">
        <v>2315</v>
      </c>
      <c r="I735" t="s">
        <v>2317</v>
      </c>
      <c r="J735" t="s">
        <v>2322</v>
      </c>
      <c r="K735" t="s">
        <v>2322</v>
      </c>
      <c r="L735">
        <v>159547</v>
      </c>
      <c r="M735" t="s">
        <v>2331</v>
      </c>
      <c r="N735" t="s">
        <v>2825</v>
      </c>
      <c r="O735" t="s">
        <v>3053</v>
      </c>
      <c r="P735" t="s">
        <v>3066</v>
      </c>
      <c r="Q735" t="s">
        <v>3595</v>
      </c>
      <c r="R735">
        <v>350.92</v>
      </c>
      <c r="S735">
        <v>5</v>
      </c>
      <c r="T735">
        <v>0.1</v>
      </c>
      <c r="U735">
        <v>16.28</v>
      </c>
    </row>
    <row r="736" spans="1:21" x14ac:dyDescent="0.3">
      <c r="A736">
        <v>735</v>
      </c>
      <c r="B736" t="s">
        <v>755</v>
      </c>
      <c r="C736" s="2">
        <v>45901</v>
      </c>
      <c r="D736" s="2">
        <v>45903</v>
      </c>
      <c r="E736" t="s">
        <v>1524</v>
      </c>
      <c r="F736" t="s">
        <v>1868</v>
      </c>
      <c r="G736" t="s">
        <v>1942</v>
      </c>
      <c r="H736" t="s">
        <v>2314</v>
      </c>
      <c r="I736" t="s">
        <v>2317</v>
      </c>
      <c r="J736" t="s">
        <v>2326</v>
      </c>
      <c r="K736" t="s">
        <v>2326</v>
      </c>
      <c r="L736">
        <v>985486</v>
      </c>
      <c r="M736" t="s">
        <v>2331</v>
      </c>
      <c r="N736" t="s">
        <v>2826</v>
      </c>
      <c r="O736" t="s">
        <v>3054</v>
      </c>
      <c r="P736" t="s">
        <v>3064</v>
      </c>
      <c r="Q736" t="s">
        <v>3394</v>
      </c>
      <c r="R736">
        <v>197.73</v>
      </c>
      <c r="S736">
        <v>8</v>
      </c>
      <c r="T736">
        <v>0.15</v>
      </c>
      <c r="U736">
        <v>12.24</v>
      </c>
    </row>
    <row r="737" spans="1:21" x14ac:dyDescent="0.3">
      <c r="A737">
        <v>736</v>
      </c>
      <c r="B737" t="s">
        <v>756</v>
      </c>
      <c r="C737" s="2">
        <v>45396</v>
      </c>
      <c r="D737" s="2">
        <v>45401</v>
      </c>
      <c r="E737" t="s">
        <v>1523</v>
      </c>
      <c r="F737" t="s">
        <v>1590</v>
      </c>
      <c r="G737" t="s">
        <v>2058</v>
      </c>
      <c r="H737" t="s">
        <v>2316</v>
      </c>
      <c r="I737" t="s">
        <v>2317</v>
      </c>
      <c r="J737" t="s">
        <v>2325</v>
      </c>
      <c r="K737" t="s">
        <v>2325</v>
      </c>
      <c r="L737">
        <v>131786</v>
      </c>
      <c r="M737" t="s">
        <v>2332</v>
      </c>
      <c r="N737" t="s">
        <v>2827</v>
      </c>
      <c r="O737" t="s">
        <v>3053</v>
      </c>
      <c r="P737" t="s">
        <v>3066</v>
      </c>
      <c r="Q737" t="s">
        <v>3468</v>
      </c>
      <c r="R737">
        <v>69.709999999999994</v>
      </c>
      <c r="S737">
        <v>6</v>
      </c>
      <c r="T737">
        <v>0.1</v>
      </c>
      <c r="U737">
        <v>-3.68</v>
      </c>
    </row>
    <row r="738" spans="1:21" x14ac:dyDescent="0.3">
      <c r="A738">
        <v>737</v>
      </c>
      <c r="B738" t="s">
        <v>757</v>
      </c>
      <c r="C738" s="2">
        <v>45390</v>
      </c>
      <c r="D738" s="2">
        <v>45393</v>
      </c>
      <c r="E738" t="s">
        <v>1524</v>
      </c>
      <c r="F738" t="s">
        <v>1553</v>
      </c>
      <c r="G738" t="s">
        <v>2081</v>
      </c>
      <c r="H738" t="s">
        <v>2315</v>
      </c>
      <c r="I738" t="s">
        <v>2317</v>
      </c>
      <c r="J738" t="s">
        <v>2324</v>
      </c>
      <c r="K738" t="s">
        <v>2324</v>
      </c>
      <c r="L738">
        <v>828468</v>
      </c>
      <c r="M738" t="s">
        <v>2330</v>
      </c>
      <c r="N738" t="s">
        <v>2828</v>
      </c>
      <c r="O738" t="s">
        <v>3055</v>
      </c>
      <c r="P738" t="s">
        <v>3061</v>
      </c>
      <c r="Q738" t="s">
        <v>3611</v>
      </c>
      <c r="R738">
        <v>450.97</v>
      </c>
      <c r="S738">
        <v>6</v>
      </c>
      <c r="T738">
        <v>0.4</v>
      </c>
      <c r="U738">
        <v>-25.08</v>
      </c>
    </row>
    <row r="739" spans="1:21" x14ac:dyDescent="0.3">
      <c r="A739">
        <v>738</v>
      </c>
      <c r="B739" t="s">
        <v>758</v>
      </c>
      <c r="C739" s="2">
        <v>45802</v>
      </c>
      <c r="D739" s="2">
        <v>45805</v>
      </c>
      <c r="E739" t="s">
        <v>1524</v>
      </c>
      <c r="F739" t="s">
        <v>1865</v>
      </c>
      <c r="G739" t="s">
        <v>2182</v>
      </c>
      <c r="H739" t="s">
        <v>2314</v>
      </c>
      <c r="I739" t="s">
        <v>2317</v>
      </c>
      <c r="J739" t="s">
        <v>2327</v>
      </c>
      <c r="K739" t="s">
        <v>2327</v>
      </c>
      <c r="L739">
        <v>279243</v>
      </c>
      <c r="M739" t="s">
        <v>2330</v>
      </c>
      <c r="N739" t="s">
        <v>2829</v>
      </c>
      <c r="O739" t="s">
        <v>3053</v>
      </c>
      <c r="P739" t="s">
        <v>3066</v>
      </c>
      <c r="Q739" t="s">
        <v>3612</v>
      </c>
      <c r="R739">
        <v>166.56</v>
      </c>
      <c r="S739">
        <v>9</v>
      </c>
      <c r="T739">
        <v>0.2</v>
      </c>
      <c r="U739">
        <v>-2.2999999999999998</v>
      </c>
    </row>
    <row r="740" spans="1:21" x14ac:dyDescent="0.3">
      <c r="A740">
        <v>739</v>
      </c>
      <c r="B740" t="s">
        <v>759</v>
      </c>
      <c r="C740" s="2">
        <v>45676</v>
      </c>
      <c r="D740" s="2">
        <v>45678</v>
      </c>
      <c r="E740" t="s">
        <v>1523</v>
      </c>
      <c r="F740" t="s">
        <v>1535</v>
      </c>
      <c r="G740" t="s">
        <v>1999</v>
      </c>
      <c r="H740" t="s">
        <v>2314</v>
      </c>
      <c r="I740" t="s">
        <v>2317</v>
      </c>
      <c r="J740" t="s">
        <v>2324</v>
      </c>
      <c r="K740" t="s">
        <v>2324</v>
      </c>
      <c r="L740">
        <v>483898</v>
      </c>
      <c r="M740" t="s">
        <v>2330</v>
      </c>
      <c r="N740" t="s">
        <v>2830</v>
      </c>
      <c r="O740" t="s">
        <v>3054</v>
      </c>
      <c r="P740" t="s">
        <v>3064</v>
      </c>
      <c r="Q740" t="s">
        <v>3613</v>
      </c>
      <c r="R740">
        <v>74.16</v>
      </c>
      <c r="S740">
        <v>5</v>
      </c>
      <c r="T740">
        <v>0.05</v>
      </c>
      <c r="U740">
        <v>16.66</v>
      </c>
    </row>
    <row r="741" spans="1:21" x14ac:dyDescent="0.3">
      <c r="A741">
        <v>740</v>
      </c>
      <c r="B741" t="s">
        <v>760</v>
      </c>
      <c r="C741" s="2">
        <v>45696</v>
      </c>
      <c r="D741" s="2">
        <v>45699</v>
      </c>
      <c r="E741" t="s">
        <v>1523</v>
      </c>
      <c r="F741" t="s">
        <v>1872</v>
      </c>
      <c r="G741" t="s">
        <v>2267</v>
      </c>
      <c r="H741" t="s">
        <v>2314</v>
      </c>
      <c r="I741" t="s">
        <v>2317</v>
      </c>
      <c r="J741" t="s">
        <v>2324</v>
      </c>
      <c r="K741" t="s">
        <v>2324</v>
      </c>
      <c r="L741">
        <v>685619</v>
      </c>
      <c r="M741" t="s">
        <v>2330</v>
      </c>
      <c r="N741" t="s">
        <v>2395</v>
      </c>
      <c r="O741" t="s">
        <v>3054</v>
      </c>
      <c r="P741" t="s">
        <v>3058</v>
      </c>
      <c r="Q741" t="s">
        <v>3135</v>
      </c>
      <c r="R741">
        <v>107.12</v>
      </c>
      <c r="S741">
        <v>3</v>
      </c>
      <c r="T741">
        <v>0.3</v>
      </c>
      <c r="U741">
        <v>-18.78</v>
      </c>
    </row>
    <row r="742" spans="1:21" x14ac:dyDescent="0.3">
      <c r="A742">
        <v>741</v>
      </c>
      <c r="B742" t="s">
        <v>761</v>
      </c>
      <c r="C742" s="2">
        <v>45809</v>
      </c>
      <c r="D742" s="2">
        <v>45812</v>
      </c>
      <c r="E742" t="s">
        <v>1524</v>
      </c>
      <c r="F742" t="s">
        <v>1550</v>
      </c>
      <c r="G742" t="s">
        <v>2266</v>
      </c>
      <c r="H742" t="s">
        <v>2316</v>
      </c>
      <c r="I742" t="s">
        <v>2317</v>
      </c>
      <c r="J742" t="s">
        <v>2320</v>
      </c>
      <c r="K742" t="s">
        <v>2320</v>
      </c>
      <c r="L742">
        <v>970142</v>
      </c>
      <c r="M742" t="s">
        <v>2330</v>
      </c>
      <c r="N742" t="s">
        <v>2548</v>
      </c>
      <c r="O742" t="s">
        <v>3054</v>
      </c>
      <c r="P742" t="s">
        <v>3058</v>
      </c>
      <c r="Q742" t="s">
        <v>3614</v>
      </c>
      <c r="R742">
        <v>125.83</v>
      </c>
      <c r="S742">
        <v>4</v>
      </c>
      <c r="T742">
        <v>0.1</v>
      </c>
      <c r="U742">
        <v>56.88</v>
      </c>
    </row>
    <row r="743" spans="1:21" x14ac:dyDescent="0.3">
      <c r="A743">
        <v>742</v>
      </c>
      <c r="B743" t="s">
        <v>762</v>
      </c>
      <c r="C743" s="2">
        <v>45767</v>
      </c>
      <c r="D743" s="2">
        <v>45770</v>
      </c>
      <c r="E743" t="s">
        <v>1521</v>
      </c>
      <c r="F743" t="s">
        <v>1863</v>
      </c>
      <c r="G743" t="s">
        <v>2091</v>
      </c>
      <c r="H743" t="s">
        <v>2315</v>
      </c>
      <c r="I743" t="s">
        <v>2317</v>
      </c>
      <c r="J743" t="s">
        <v>2322</v>
      </c>
      <c r="K743" t="s">
        <v>2322</v>
      </c>
      <c r="L743">
        <v>556339</v>
      </c>
      <c r="M743" t="s">
        <v>2331</v>
      </c>
      <c r="N743" t="s">
        <v>2566</v>
      </c>
      <c r="O743" t="s">
        <v>3054</v>
      </c>
      <c r="P743" t="s">
        <v>3057</v>
      </c>
      <c r="Q743" t="s">
        <v>3353</v>
      </c>
      <c r="R743">
        <v>64.41</v>
      </c>
      <c r="S743">
        <v>6</v>
      </c>
      <c r="T743">
        <v>0.05</v>
      </c>
      <c r="U743">
        <v>-25.68</v>
      </c>
    </row>
    <row r="744" spans="1:21" x14ac:dyDescent="0.3">
      <c r="A744">
        <v>743</v>
      </c>
      <c r="B744" t="s">
        <v>763</v>
      </c>
      <c r="C744" s="2">
        <v>46000</v>
      </c>
      <c r="D744" s="2">
        <v>46001</v>
      </c>
      <c r="E744" t="s">
        <v>1524</v>
      </c>
      <c r="F744" t="s">
        <v>1686</v>
      </c>
      <c r="G744" t="s">
        <v>2143</v>
      </c>
      <c r="H744" t="s">
        <v>2315</v>
      </c>
      <c r="I744" t="s">
        <v>2317</v>
      </c>
      <c r="J744" t="s">
        <v>2323</v>
      </c>
      <c r="K744" t="s">
        <v>2323</v>
      </c>
      <c r="L744">
        <v>154306</v>
      </c>
      <c r="M744" t="s">
        <v>2328</v>
      </c>
      <c r="N744" t="s">
        <v>2669</v>
      </c>
      <c r="O744" t="s">
        <v>3055</v>
      </c>
      <c r="P744" t="s">
        <v>3067</v>
      </c>
      <c r="Q744" t="s">
        <v>3615</v>
      </c>
      <c r="R744">
        <v>528.17999999999995</v>
      </c>
      <c r="S744">
        <v>5</v>
      </c>
      <c r="T744">
        <v>0.1</v>
      </c>
      <c r="U744">
        <v>75.680000000000007</v>
      </c>
    </row>
    <row r="745" spans="1:21" x14ac:dyDescent="0.3">
      <c r="A745">
        <v>744</v>
      </c>
      <c r="B745" t="s">
        <v>764</v>
      </c>
      <c r="C745" s="2">
        <v>45936</v>
      </c>
      <c r="D745" s="2">
        <v>45937</v>
      </c>
      <c r="E745" t="s">
        <v>1523</v>
      </c>
      <c r="F745" t="s">
        <v>1557</v>
      </c>
      <c r="G745" t="s">
        <v>2143</v>
      </c>
      <c r="H745" t="s">
        <v>2316</v>
      </c>
      <c r="I745" t="s">
        <v>2317</v>
      </c>
      <c r="J745" t="s">
        <v>2319</v>
      </c>
      <c r="K745" t="s">
        <v>2319</v>
      </c>
      <c r="L745">
        <v>468225</v>
      </c>
      <c r="M745" t="s">
        <v>2329</v>
      </c>
      <c r="N745" t="s">
        <v>2831</v>
      </c>
      <c r="O745" t="s">
        <v>3055</v>
      </c>
      <c r="P745" t="s">
        <v>3061</v>
      </c>
      <c r="Q745" t="s">
        <v>3301</v>
      </c>
      <c r="R745">
        <v>786.84</v>
      </c>
      <c r="S745">
        <v>5</v>
      </c>
      <c r="T745">
        <v>0.3</v>
      </c>
      <c r="U745">
        <v>12.09</v>
      </c>
    </row>
    <row r="746" spans="1:21" x14ac:dyDescent="0.3">
      <c r="A746">
        <v>745</v>
      </c>
      <c r="B746" t="s">
        <v>765</v>
      </c>
      <c r="C746" s="2">
        <v>45728</v>
      </c>
      <c r="D746" s="2">
        <v>45733</v>
      </c>
      <c r="E746" t="s">
        <v>1522</v>
      </c>
      <c r="F746" t="s">
        <v>1755</v>
      </c>
      <c r="G746" t="s">
        <v>2195</v>
      </c>
      <c r="H746" t="s">
        <v>2315</v>
      </c>
      <c r="I746" t="s">
        <v>2317</v>
      </c>
      <c r="J746" t="s">
        <v>2323</v>
      </c>
      <c r="K746" t="s">
        <v>2323</v>
      </c>
      <c r="L746">
        <v>771367</v>
      </c>
      <c r="M746" t="s">
        <v>2328</v>
      </c>
      <c r="N746" t="s">
        <v>2560</v>
      </c>
      <c r="O746" t="s">
        <v>3055</v>
      </c>
      <c r="P746" t="s">
        <v>3061</v>
      </c>
      <c r="Q746" t="s">
        <v>3329</v>
      </c>
      <c r="R746">
        <v>245.72</v>
      </c>
      <c r="S746">
        <v>3</v>
      </c>
      <c r="T746">
        <v>0.2</v>
      </c>
      <c r="U746">
        <v>30.94</v>
      </c>
    </row>
    <row r="747" spans="1:21" x14ac:dyDescent="0.3">
      <c r="A747">
        <v>746</v>
      </c>
      <c r="B747" t="s">
        <v>766</v>
      </c>
      <c r="C747" s="2">
        <v>45314</v>
      </c>
      <c r="D747" s="2">
        <v>45317</v>
      </c>
      <c r="E747" t="s">
        <v>1524</v>
      </c>
      <c r="F747" t="s">
        <v>1759</v>
      </c>
      <c r="G747" t="s">
        <v>2022</v>
      </c>
      <c r="H747" t="s">
        <v>2315</v>
      </c>
      <c r="I747" t="s">
        <v>2317</v>
      </c>
      <c r="J747" t="s">
        <v>2324</v>
      </c>
      <c r="K747" t="s">
        <v>2324</v>
      </c>
      <c r="L747">
        <v>928424</v>
      </c>
      <c r="M747" t="s">
        <v>2330</v>
      </c>
      <c r="N747" t="s">
        <v>2396</v>
      </c>
      <c r="O747" t="s">
        <v>3055</v>
      </c>
      <c r="P747" t="s">
        <v>3061</v>
      </c>
      <c r="Q747" t="s">
        <v>3503</v>
      </c>
      <c r="R747">
        <v>1138.04</v>
      </c>
      <c r="S747">
        <v>8</v>
      </c>
      <c r="T747">
        <v>0.2</v>
      </c>
      <c r="U747">
        <v>58.98</v>
      </c>
    </row>
    <row r="748" spans="1:21" x14ac:dyDescent="0.3">
      <c r="A748">
        <v>747</v>
      </c>
      <c r="B748" t="s">
        <v>767</v>
      </c>
      <c r="C748" s="2">
        <v>45856</v>
      </c>
      <c r="D748" s="2">
        <v>45858</v>
      </c>
      <c r="E748" t="s">
        <v>1524</v>
      </c>
      <c r="F748" t="s">
        <v>1669</v>
      </c>
      <c r="G748" t="s">
        <v>2112</v>
      </c>
      <c r="H748" t="s">
        <v>2315</v>
      </c>
      <c r="I748" t="s">
        <v>2317</v>
      </c>
      <c r="J748" t="s">
        <v>2326</v>
      </c>
      <c r="K748" t="s">
        <v>2326</v>
      </c>
      <c r="L748">
        <v>406489</v>
      </c>
      <c r="M748" t="s">
        <v>2331</v>
      </c>
      <c r="N748" t="s">
        <v>2832</v>
      </c>
      <c r="O748" t="s">
        <v>3053</v>
      </c>
      <c r="P748" t="s">
        <v>3056</v>
      </c>
      <c r="Q748" t="s">
        <v>3616</v>
      </c>
      <c r="R748">
        <v>339.41</v>
      </c>
      <c r="S748">
        <v>5</v>
      </c>
      <c r="T748">
        <v>0.2</v>
      </c>
      <c r="U748">
        <v>-38.630000000000003</v>
      </c>
    </row>
    <row r="749" spans="1:21" x14ac:dyDescent="0.3">
      <c r="A749">
        <v>748</v>
      </c>
      <c r="B749" t="s">
        <v>768</v>
      </c>
      <c r="C749" s="2">
        <v>45968</v>
      </c>
      <c r="D749" s="2">
        <v>45970</v>
      </c>
      <c r="E749" t="s">
        <v>1523</v>
      </c>
      <c r="F749" t="s">
        <v>1873</v>
      </c>
      <c r="G749" t="s">
        <v>2026</v>
      </c>
      <c r="H749" t="s">
        <v>2315</v>
      </c>
      <c r="I749" t="s">
        <v>2317</v>
      </c>
      <c r="J749" t="s">
        <v>2327</v>
      </c>
      <c r="K749" t="s">
        <v>2327</v>
      </c>
      <c r="L749">
        <v>638921</v>
      </c>
      <c r="M749" t="s">
        <v>2330</v>
      </c>
      <c r="N749" t="s">
        <v>2563</v>
      </c>
      <c r="O749" t="s">
        <v>3055</v>
      </c>
      <c r="P749" t="s">
        <v>3067</v>
      </c>
      <c r="Q749" t="s">
        <v>3129</v>
      </c>
      <c r="R749">
        <v>378.09</v>
      </c>
      <c r="S749">
        <v>6</v>
      </c>
      <c r="T749">
        <v>0.1</v>
      </c>
      <c r="U749">
        <v>18.55</v>
      </c>
    </row>
    <row r="750" spans="1:21" x14ac:dyDescent="0.3">
      <c r="A750">
        <v>749</v>
      </c>
      <c r="B750" t="s">
        <v>769</v>
      </c>
      <c r="C750" s="2">
        <v>46005</v>
      </c>
      <c r="D750" s="2">
        <v>46007</v>
      </c>
      <c r="E750" t="s">
        <v>1523</v>
      </c>
      <c r="F750" t="s">
        <v>1562</v>
      </c>
      <c r="G750" t="s">
        <v>2239</v>
      </c>
      <c r="H750" t="s">
        <v>2314</v>
      </c>
      <c r="I750" t="s">
        <v>2317</v>
      </c>
      <c r="J750" t="s">
        <v>2321</v>
      </c>
      <c r="K750" t="s">
        <v>2321</v>
      </c>
      <c r="L750">
        <v>630704</v>
      </c>
      <c r="M750" t="s">
        <v>2329</v>
      </c>
      <c r="N750" t="s">
        <v>2523</v>
      </c>
      <c r="O750" t="s">
        <v>3053</v>
      </c>
      <c r="P750" t="s">
        <v>3066</v>
      </c>
      <c r="Q750" t="s">
        <v>3141</v>
      </c>
      <c r="R750">
        <v>636.55999999999995</v>
      </c>
      <c r="S750">
        <v>4</v>
      </c>
      <c r="T750">
        <v>0.15</v>
      </c>
      <c r="U750">
        <v>9.16</v>
      </c>
    </row>
    <row r="751" spans="1:21" x14ac:dyDescent="0.3">
      <c r="A751">
        <v>750</v>
      </c>
      <c r="B751" t="s">
        <v>770</v>
      </c>
      <c r="C751" s="2">
        <v>45749</v>
      </c>
      <c r="D751" s="2">
        <v>45752</v>
      </c>
      <c r="E751" t="s">
        <v>1521</v>
      </c>
      <c r="F751" t="s">
        <v>1638</v>
      </c>
      <c r="G751" t="s">
        <v>2238</v>
      </c>
      <c r="H751" t="s">
        <v>2314</v>
      </c>
      <c r="I751" t="s">
        <v>2317</v>
      </c>
      <c r="J751" t="s">
        <v>2323</v>
      </c>
      <c r="K751" t="s">
        <v>2323</v>
      </c>
      <c r="L751">
        <v>322785</v>
      </c>
      <c r="M751" t="s">
        <v>2328</v>
      </c>
      <c r="N751" t="s">
        <v>2376</v>
      </c>
      <c r="O751" t="s">
        <v>3054</v>
      </c>
      <c r="P751" t="s">
        <v>3064</v>
      </c>
      <c r="Q751" t="s">
        <v>3617</v>
      </c>
      <c r="R751">
        <v>45.39</v>
      </c>
      <c r="S751">
        <v>3</v>
      </c>
      <c r="T751">
        <v>0.1</v>
      </c>
      <c r="U751">
        <v>38.270000000000003</v>
      </c>
    </row>
    <row r="752" spans="1:21" x14ac:dyDescent="0.3">
      <c r="A752">
        <v>751</v>
      </c>
      <c r="B752" t="s">
        <v>771</v>
      </c>
      <c r="C752" s="2">
        <v>45374</v>
      </c>
      <c r="D752" s="2">
        <v>45376</v>
      </c>
      <c r="E752" t="s">
        <v>1522</v>
      </c>
      <c r="F752" t="s">
        <v>1749</v>
      </c>
      <c r="G752" t="s">
        <v>1924</v>
      </c>
      <c r="H752" t="s">
        <v>2316</v>
      </c>
      <c r="I752" t="s">
        <v>2317</v>
      </c>
      <c r="J752" t="s">
        <v>2324</v>
      </c>
      <c r="K752" t="s">
        <v>2324</v>
      </c>
      <c r="L752">
        <v>501702</v>
      </c>
      <c r="M752" t="s">
        <v>2330</v>
      </c>
      <c r="N752" t="s">
        <v>2833</v>
      </c>
      <c r="O752" t="s">
        <v>3053</v>
      </c>
      <c r="P752" t="s">
        <v>3056</v>
      </c>
      <c r="Q752" t="s">
        <v>3618</v>
      </c>
      <c r="R752">
        <v>122.11</v>
      </c>
      <c r="S752">
        <v>6</v>
      </c>
      <c r="T752">
        <v>0.2</v>
      </c>
      <c r="U752">
        <v>8.14</v>
      </c>
    </row>
    <row r="753" spans="1:21" x14ac:dyDescent="0.3">
      <c r="A753">
        <v>752</v>
      </c>
      <c r="B753" t="s">
        <v>772</v>
      </c>
      <c r="C753" s="2">
        <v>45436</v>
      </c>
      <c r="D753" s="2">
        <v>45438</v>
      </c>
      <c r="E753" t="s">
        <v>1521</v>
      </c>
      <c r="F753" t="s">
        <v>1874</v>
      </c>
      <c r="G753" t="s">
        <v>1938</v>
      </c>
      <c r="H753" t="s">
        <v>2316</v>
      </c>
      <c r="I753" t="s">
        <v>2317</v>
      </c>
      <c r="J753" t="s">
        <v>2327</v>
      </c>
      <c r="K753" t="s">
        <v>2327</v>
      </c>
      <c r="L753">
        <v>975475</v>
      </c>
      <c r="M753" t="s">
        <v>2330</v>
      </c>
      <c r="N753" t="s">
        <v>2592</v>
      </c>
      <c r="O753" t="s">
        <v>3054</v>
      </c>
      <c r="P753" t="s">
        <v>3064</v>
      </c>
      <c r="Q753" t="s">
        <v>3619</v>
      </c>
      <c r="R753">
        <v>171.16</v>
      </c>
      <c r="S753">
        <v>9</v>
      </c>
      <c r="T753">
        <v>0.15</v>
      </c>
      <c r="U753">
        <v>9.9</v>
      </c>
    </row>
    <row r="754" spans="1:21" x14ac:dyDescent="0.3">
      <c r="A754">
        <v>753</v>
      </c>
      <c r="B754" t="s">
        <v>773</v>
      </c>
      <c r="C754" s="2">
        <v>45376</v>
      </c>
      <c r="D754" s="2">
        <v>45379</v>
      </c>
      <c r="E754" t="s">
        <v>1524</v>
      </c>
      <c r="F754" t="s">
        <v>1799</v>
      </c>
      <c r="G754" t="s">
        <v>2022</v>
      </c>
      <c r="H754" t="s">
        <v>2316</v>
      </c>
      <c r="I754" t="s">
        <v>2317</v>
      </c>
      <c r="J754" t="s">
        <v>2325</v>
      </c>
      <c r="K754" t="s">
        <v>2325</v>
      </c>
      <c r="L754">
        <v>700322</v>
      </c>
      <c r="M754" t="s">
        <v>2332</v>
      </c>
      <c r="N754" t="s">
        <v>2599</v>
      </c>
      <c r="O754" t="s">
        <v>3054</v>
      </c>
      <c r="P754" t="s">
        <v>3064</v>
      </c>
      <c r="Q754" t="s">
        <v>3620</v>
      </c>
      <c r="R754">
        <v>53.8</v>
      </c>
      <c r="S754">
        <v>4</v>
      </c>
      <c r="T754">
        <v>0.2</v>
      </c>
      <c r="U754">
        <v>10.26</v>
      </c>
    </row>
    <row r="755" spans="1:21" x14ac:dyDescent="0.3">
      <c r="A755">
        <v>754</v>
      </c>
      <c r="B755" t="s">
        <v>774</v>
      </c>
      <c r="C755" s="2">
        <v>45369</v>
      </c>
      <c r="D755" s="2">
        <v>45372</v>
      </c>
      <c r="E755" t="s">
        <v>1522</v>
      </c>
      <c r="F755" t="s">
        <v>1572</v>
      </c>
      <c r="G755" t="s">
        <v>2034</v>
      </c>
      <c r="H755" t="s">
        <v>2316</v>
      </c>
      <c r="I755" t="s">
        <v>2317</v>
      </c>
      <c r="J755" t="s">
        <v>2322</v>
      </c>
      <c r="K755" t="s">
        <v>2322</v>
      </c>
      <c r="L755">
        <v>938884</v>
      </c>
      <c r="M755" t="s">
        <v>2331</v>
      </c>
      <c r="N755" t="s">
        <v>2418</v>
      </c>
      <c r="O755" t="s">
        <v>3055</v>
      </c>
      <c r="P755" t="s">
        <v>3059</v>
      </c>
      <c r="Q755" t="s">
        <v>3621</v>
      </c>
      <c r="R755">
        <v>360.93</v>
      </c>
      <c r="S755">
        <v>1</v>
      </c>
      <c r="T755">
        <v>0.2</v>
      </c>
      <c r="U755">
        <v>35.409999999999997</v>
      </c>
    </row>
    <row r="756" spans="1:21" x14ac:dyDescent="0.3">
      <c r="A756">
        <v>755</v>
      </c>
      <c r="B756" t="s">
        <v>775</v>
      </c>
      <c r="C756" s="2">
        <v>45748</v>
      </c>
      <c r="D756" s="2">
        <v>45751</v>
      </c>
      <c r="E756" t="s">
        <v>1523</v>
      </c>
      <c r="F756" t="s">
        <v>1865</v>
      </c>
      <c r="G756" t="s">
        <v>2268</v>
      </c>
      <c r="H756" t="s">
        <v>2315</v>
      </c>
      <c r="I756" t="s">
        <v>2317</v>
      </c>
      <c r="J756" t="s">
        <v>2318</v>
      </c>
      <c r="K756" t="s">
        <v>2318</v>
      </c>
      <c r="L756">
        <v>115791</v>
      </c>
      <c r="M756" t="s">
        <v>2328</v>
      </c>
      <c r="N756" t="s">
        <v>2834</v>
      </c>
      <c r="O756" t="s">
        <v>3053</v>
      </c>
      <c r="P756" t="s">
        <v>3066</v>
      </c>
      <c r="Q756" t="s">
        <v>3622</v>
      </c>
      <c r="R756">
        <v>180.81</v>
      </c>
      <c r="S756">
        <v>4</v>
      </c>
      <c r="T756">
        <v>0.4</v>
      </c>
      <c r="U756">
        <v>-13.59</v>
      </c>
    </row>
    <row r="757" spans="1:21" x14ac:dyDescent="0.3">
      <c r="A757">
        <v>756</v>
      </c>
      <c r="B757" t="s">
        <v>776</v>
      </c>
      <c r="C757" s="2">
        <v>45292</v>
      </c>
      <c r="D757" s="2">
        <v>45295</v>
      </c>
      <c r="E757" t="s">
        <v>1523</v>
      </c>
      <c r="F757" t="s">
        <v>1681</v>
      </c>
      <c r="G757" t="s">
        <v>2044</v>
      </c>
      <c r="H757" t="s">
        <v>2314</v>
      </c>
      <c r="I757" t="s">
        <v>2317</v>
      </c>
      <c r="J757" t="s">
        <v>2320</v>
      </c>
      <c r="K757" t="s">
        <v>2320</v>
      </c>
      <c r="L757">
        <v>397560</v>
      </c>
      <c r="M757" t="s">
        <v>2330</v>
      </c>
      <c r="N757" t="s">
        <v>2835</v>
      </c>
      <c r="O757" t="s">
        <v>3055</v>
      </c>
      <c r="P757" t="s">
        <v>3067</v>
      </c>
      <c r="Q757" t="s">
        <v>3623</v>
      </c>
      <c r="R757">
        <v>131.65</v>
      </c>
      <c r="S757">
        <v>6</v>
      </c>
      <c r="T757">
        <v>0.15</v>
      </c>
      <c r="U757">
        <v>16.329999999999998</v>
      </c>
    </row>
    <row r="758" spans="1:21" x14ac:dyDescent="0.3">
      <c r="A758">
        <v>757</v>
      </c>
      <c r="B758" t="s">
        <v>777</v>
      </c>
      <c r="C758" s="2">
        <v>45342</v>
      </c>
      <c r="D758" s="2">
        <v>45345</v>
      </c>
      <c r="E758" t="s">
        <v>1523</v>
      </c>
      <c r="F758" t="s">
        <v>1610</v>
      </c>
      <c r="G758" t="s">
        <v>2168</v>
      </c>
      <c r="H758" t="s">
        <v>2315</v>
      </c>
      <c r="I758" t="s">
        <v>2317</v>
      </c>
      <c r="J758" t="s">
        <v>2327</v>
      </c>
      <c r="K758" t="s">
        <v>2327</v>
      </c>
      <c r="L758">
        <v>452171</v>
      </c>
      <c r="M758" t="s">
        <v>2330</v>
      </c>
      <c r="N758" t="s">
        <v>2777</v>
      </c>
      <c r="O758" t="s">
        <v>3053</v>
      </c>
      <c r="P758" t="s">
        <v>3062</v>
      </c>
      <c r="Q758" t="s">
        <v>3624</v>
      </c>
      <c r="R758">
        <v>289.5</v>
      </c>
      <c r="S758">
        <v>2</v>
      </c>
      <c r="T758">
        <v>0</v>
      </c>
      <c r="U758">
        <v>3.63</v>
      </c>
    </row>
    <row r="759" spans="1:21" x14ac:dyDescent="0.3">
      <c r="A759">
        <v>758</v>
      </c>
      <c r="B759" t="s">
        <v>778</v>
      </c>
      <c r="C759" s="2">
        <v>45976</v>
      </c>
      <c r="D759" s="2">
        <v>45979</v>
      </c>
      <c r="E759" t="s">
        <v>1521</v>
      </c>
      <c r="F759" t="s">
        <v>1800</v>
      </c>
      <c r="G759" t="s">
        <v>2055</v>
      </c>
      <c r="H759" t="s">
        <v>2316</v>
      </c>
      <c r="I759" t="s">
        <v>2317</v>
      </c>
      <c r="J759" t="s">
        <v>2326</v>
      </c>
      <c r="K759" t="s">
        <v>2326</v>
      </c>
      <c r="L759">
        <v>522870</v>
      </c>
      <c r="M759" t="s">
        <v>2331</v>
      </c>
      <c r="N759" t="s">
        <v>2836</v>
      </c>
      <c r="O759" t="s">
        <v>3054</v>
      </c>
      <c r="P759" t="s">
        <v>3058</v>
      </c>
      <c r="Q759" t="s">
        <v>3481</v>
      </c>
      <c r="R759">
        <v>71</v>
      </c>
      <c r="S759">
        <v>1</v>
      </c>
      <c r="T759">
        <v>0.15</v>
      </c>
      <c r="U759">
        <v>4.05</v>
      </c>
    </row>
    <row r="760" spans="1:21" x14ac:dyDescent="0.3">
      <c r="A760">
        <v>759</v>
      </c>
      <c r="B760" t="s">
        <v>779</v>
      </c>
      <c r="C760" s="2">
        <v>46008</v>
      </c>
      <c r="D760" s="2">
        <v>46011</v>
      </c>
      <c r="E760" t="s">
        <v>1524</v>
      </c>
      <c r="F760" t="s">
        <v>1644</v>
      </c>
      <c r="G760" t="s">
        <v>2211</v>
      </c>
      <c r="H760" t="s">
        <v>2316</v>
      </c>
      <c r="I760" t="s">
        <v>2317</v>
      </c>
      <c r="J760" t="s">
        <v>2326</v>
      </c>
      <c r="K760" t="s">
        <v>2326</v>
      </c>
      <c r="L760">
        <v>270491</v>
      </c>
      <c r="M760" t="s">
        <v>2331</v>
      </c>
      <c r="N760" t="s">
        <v>2733</v>
      </c>
      <c r="O760" t="s">
        <v>3055</v>
      </c>
      <c r="P760" t="s">
        <v>3059</v>
      </c>
      <c r="Q760" t="s">
        <v>3076</v>
      </c>
      <c r="R760">
        <v>1092.44</v>
      </c>
      <c r="S760">
        <v>6</v>
      </c>
      <c r="T760">
        <v>0.05</v>
      </c>
      <c r="U760">
        <v>130.31</v>
      </c>
    </row>
    <row r="761" spans="1:21" x14ac:dyDescent="0.3">
      <c r="A761">
        <v>760</v>
      </c>
      <c r="B761" t="s">
        <v>780</v>
      </c>
      <c r="C761" s="2">
        <v>45737</v>
      </c>
      <c r="D761" s="2">
        <v>45740</v>
      </c>
      <c r="E761" t="s">
        <v>1521</v>
      </c>
      <c r="F761" t="s">
        <v>1574</v>
      </c>
      <c r="G761" t="s">
        <v>2090</v>
      </c>
      <c r="H761" t="s">
        <v>2316</v>
      </c>
      <c r="I761" t="s">
        <v>2317</v>
      </c>
      <c r="J761" t="s">
        <v>2327</v>
      </c>
      <c r="K761" t="s">
        <v>2327</v>
      </c>
      <c r="L761">
        <v>162969</v>
      </c>
      <c r="M761" t="s">
        <v>2330</v>
      </c>
      <c r="N761" t="s">
        <v>2376</v>
      </c>
      <c r="O761" t="s">
        <v>3055</v>
      </c>
      <c r="P761" t="s">
        <v>3067</v>
      </c>
      <c r="Q761" t="s">
        <v>3625</v>
      </c>
      <c r="R761">
        <v>160.86000000000001</v>
      </c>
      <c r="S761">
        <v>5</v>
      </c>
      <c r="T761">
        <v>0.1</v>
      </c>
      <c r="U761">
        <v>23.75</v>
      </c>
    </row>
    <row r="762" spans="1:21" x14ac:dyDescent="0.3">
      <c r="A762">
        <v>761</v>
      </c>
      <c r="B762" t="s">
        <v>781</v>
      </c>
      <c r="C762" s="2">
        <v>45740</v>
      </c>
      <c r="D762" s="2">
        <v>45743</v>
      </c>
      <c r="E762" t="s">
        <v>1522</v>
      </c>
      <c r="F762" t="s">
        <v>1640</v>
      </c>
      <c r="G762" t="s">
        <v>1966</v>
      </c>
      <c r="H762" t="s">
        <v>2315</v>
      </c>
      <c r="I762" t="s">
        <v>2317</v>
      </c>
      <c r="J762" t="s">
        <v>2326</v>
      </c>
      <c r="K762" t="s">
        <v>2326</v>
      </c>
      <c r="L762">
        <v>567221</v>
      </c>
      <c r="M762" t="s">
        <v>2331</v>
      </c>
      <c r="N762" t="s">
        <v>2512</v>
      </c>
      <c r="O762" t="s">
        <v>3053</v>
      </c>
      <c r="P762" t="s">
        <v>3062</v>
      </c>
      <c r="Q762" t="s">
        <v>3166</v>
      </c>
      <c r="R762">
        <v>537.95000000000005</v>
      </c>
      <c r="S762">
        <v>9</v>
      </c>
      <c r="T762">
        <v>0.15</v>
      </c>
      <c r="U762">
        <v>4.6900000000000004</v>
      </c>
    </row>
    <row r="763" spans="1:21" x14ac:dyDescent="0.3">
      <c r="A763">
        <v>762</v>
      </c>
      <c r="B763" t="s">
        <v>782</v>
      </c>
      <c r="C763" s="2">
        <v>45779</v>
      </c>
      <c r="D763" s="2">
        <v>45782</v>
      </c>
      <c r="E763" t="s">
        <v>1523</v>
      </c>
      <c r="F763" t="s">
        <v>1689</v>
      </c>
      <c r="G763" t="s">
        <v>2177</v>
      </c>
      <c r="H763" t="s">
        <v>2315</v>
      </c>
      <c r="I763" t="s">
        <v>2317</v>
      </c>
      <c r="J763" t="s">
        <v>2322</v>
      </c>
      <c r="K763" t="s">
        <v>2322</v>
      </c>
      <c r="L763">
        <v>785305</v>
      </c>
      <c r="M763" t="s">
        <v>2331</v>
      </c>
      <c r="N763" t="s">
        <v>2387</v>
      </c>
      <c r="O763" t="s">
        <v>3054</v>
      </c>
      <c r="P763" t="s">
        <v>3057</v>
      </c>
      <c r="Q763" t="s">
        <v>3626</v>
      </c>
      <c r="R763">
        <v>99.84</v>
      </c>
      <c r="S763">
        <v>1</v>
      </c>
      <c r="T763">
        <v>0.1</v>
      </c>
      <c r="U763">
        <v>31.07</v>
      </c>
    </row>
    <row r="764" spans="1:21" x14ac:dyDescent="0.3">
      <c r="A764">
        <v>763</v>
      </c>
      <c r="B764" t="s">
        <v>783</v>
      </c>
      <c r="C764" s="2">
        <v>45325</v>
      </c>
      <c r="D764" s="2">
        <v>45329</v>
      </c>
      <c r="E764" t="s">
        <v>1523</v>
      </c>
      <c r="F764" t="s">
        <v>1752</v>
      </c>
      <c r="G764" t="s">
        <v>2233</v>
      </c>
      <c r="H764" t="s">
        <v>2316</v>
      </c>
      <c r="I764" t="s">
        <v>2317</v>
      </c>
      <c r="J764" t="s">
        <v>2326</v>
      </c>
      <c r="K764" t="s">
        <v>2326</v>
      </c>
      <c r="L764">
        <v>509462</v>
      </c>
      <c r="M764" t="s">
        <v>2331</v>
      </c>
      <c r="N764" t="s">
        <v>2363</v>
      </c>
      <c r="O764" t="s">
        <v>3054</v>
      </c>
      <c r="P764" t="s">
        <v>3058</v>
      </c>
      <c r="Q764" t="s">
        <v>3260</v>
      </c>
      <c r="R764">
        <v>160</v>
      </c>
      <c r="S764">
        <v>7</v>
      </c>
      <c r="T764">
        <v>0.1</v>
      </c>
      <c r="U764">
        <v>27.38</v>
      </c>
    </row>
    <row r="765" spans="1:21" x14ac:dyDescent="0.3">
      <c r="A765">
        <v>764</v>
      </c>
      <c r="B765" t="s">
        <v>784</v>
      </c>
      <c r="C765" s="2">
        <v>45639</v>
      </c>
      <c r="D765" s="2">
        <v>45641</v>
      </c>
      <c r="E765" t="s">
        <v>1523</v>
      </c>
      <c r="F765" t="s">
        <v>1875</v>
      </c>
      <c r="G765" t="s">
        <v>2269</v>
      </c>
      <c r="H765" t="s">
        <v>2316</v>
      </c>
      <c r="I765" t="s">
        <v>2317</v>
      </c>
      <c r="J765" t="s">
        <v>2323</v>
      </c>
      <c r="K765" t="s">
        <v>2323</v>
      </c>
      <c r="L765">
        <v>261545</v>
      </c>
      <c r="M765" t="s">
        <v>2328</v>
      </c>
      <c r="N765" t="s">
        <v>2783</v>
      </c>
      <c r="O765" t="s">
        <v>3054</v>
      </c>
      <c r="P765" t="s">
        <v>3057</v>
      </c>
      <c r="Q765" t="s">
        <v>3225</v>
      </c>
      <c r="R765">
        <v>45.2</v>
      </c>
      <c r="S765">
        <v>2</v>
      </c>
      <c r="T765">
        <v>0.1</v>
      </c>
      <c r="U765">
        <v>40.98</v>
      </c>
    </row>
    <row r="766" spans="1:21" x14ac:dyDescent="0.3">
      <c r="A766">
        <v>765</v>
      </c>
      <c r="B766" t="s">
        <v>785</v>
      </c>
      <c r="C766" s="2">
        <v>45386</v>
      </c>
      <c r="D766" s="2">
        <v>45389</v>
      </c>
      <c r="E766" t="s">
        <v>1524</v>
      </c>
      <c r="F766" t="s">
        <v>1876</v>
      </c>
      <c r="G766" t="s">
        <v>2042</v>
      </c>
      <c r="H766" t="s">
        <v>2314</v>
      </c>
      <c r="I766" t="s">
        <v>2317</v>
      </c>
      <c r="J766" t="s">
        <v>2318</v>
      </c>
      <c r="K766" t="s">
        <v>2318</v>
      </c>
      <c r="L766">
        <v>633784</v>
      </c>
      <c r="M766" t="s">
        <v>2328</v>
      </c>
      <c r="N766" t="s">
        <v>2472</v>
      </c>
      <c r="O766" t="s">
        <v>3055</v>
      </c>
      <c r="P766" t="s">
        <v>3067</v>
      </c>
      <c r="Q766" t="s">
        <v>3198</v>
      </c>
      <c r="R766">
        <v>160.51</v>
      </c>
      <c r="S766">
        <v>2</v>
      </c>
      <c r="T766">
        <v>0.1</v>
      </c>
      <c r="U766">
        <v>0.55000000000000004</v>
      </c>
    </row>
    <row r="767" spans="1:21" x14ac:dyDescent="0.3">
      <c r="A767">
        <v>766</v>
      </c>
      <c r="B767" t="s">
        <v>786</v>
      </c>
      <c r="C767" s="2">
        <v>45363</v>
      </c>
      <c r="D767" s="2">
        <v>45365</v>
      </c>
      <c r="E767" t="s">
        <v>1521</v>
      </c>
      <c r="F767" t="s">
        <v>1580</v>
      </c>
      <c r="G767" t="s">
        <v>2270</v>
      </c>
      <c r="H767" t="s">
        <v>2314</v>
      </c>
      <c r="I767" t="s">
        <v>2317</v>
      </c>
      <c r="J767" t="s">
        <v>2326</v>
      </c>
      <c r="K767" t="s">
        <v>2326</v>
      </c>
      <c r="L767">
        <v>163910</v>
      </c>
      <c r="M767" t="s">
        <v>2331</v>
      </c>
      <c r="N767" t="s">
        <v>2837</v>
      </c>
      <c r="O767" t="s">
        <v>3054</v>
      </c>
      <c r="P767" t="s">
        <v>3064</v>
      </c>
      <c r="Q767" t="s">
        <v>3627</v>
      </c>
      <c r="R767">
        <v>141.32</v>
      </c>
      <c r="S767">
        <v>1</v>
      </c>
      <c r="T767">
        <v>0</v>
      </c>
      <c r="U767">
        <v>-13.06</v>
      </c>
    </row>
    <row r="768" spans="1:21" x14ac:dyDescent="0.3">
      <c r="A768">
        <v>767</v>
      </c>
      <c r="B768" t="s">
        <v>787</v>
      </c>
      <c r="C768" s="2">
        <v>45842</v>
      </c>
      <c r="D768" s="2">
        <v>45845</v>
      </c>
      <c r="E768" t="s">
        <v>1523</v>
      </c>
      <c r="F768" t="s">
        <v>1744</v>
      </c>
      <c r="G768" t="s">
        <v>2124</v>
      </c>
      <c r="H768" t="s">
        <v>2316</v>
      </c>
      <c r="I768" t="s">
        <v>2317</v>
      </c>
      <c r="J768" t="s">
        <v>2318</v>
      </c>
      <c r="K768" t="s">
        <v>2318</v>
      </c>
      <c r="L768">
        <v>249138</v>
      </c>
      <c r="M768" t="s">
        <v>2328</v>
      </c>
      <c r="N768" t="s">
        <v>2838</v>
      </c>
      <c r="O768" t="s">
        <v>3054</v>
      </c>
      <c r="P768" t="s">
        <v>3063</v>
      </c>
      <c r="Q768" t="s">
        <v>3628</v>
      </c>
      <c r="R768">
        <v>29.69</v>
      </c>
      <c r="S768">
        <v>7</v>
      </c>
      <c r="T768">
        <v>0.1</v>
      </c>
      <c r="U768">
        <v>7.09</v>
      </c>
    </row>
    <row r="769" spans="1:21" x14ac:dyDescent="0.3">
      <c r="A769">
        <v>768</v>
      </c>
      <c r="B769" t="s">
        <v>788</v>
      </c>
      <c r="C769" s="2">
        <v>45445</v>
      </c>
      <c r="D769" s="2">
        <v>45450</v>
      </c>
      <c r="E769" t="s">
        <v>1521</v>
      </c>
      <c r="F769" t="s">
        <v>1647</v>
      </c>
      <c r="G769" t="s">
        <v>2103</v>
      </c>
      <c r="H769" t="s">
        <v>2316</v>
      </c>
      <c r="I769" t="s">
        <v>2317</v>
      </c>
      <c r="J769" t="s">
        <v>2324</v>
      </c>
      <c r="K769" t="s">
        <v>2324</v>
      </c>
      <c r="L769">
        <v>613271</v>
      </c>
      <c r="M769" t="s">
        <v>2330</v>
      </c>
      <c r="N769" t="s">
        <v>2656</v>
      </c>
      <c r="O769" t="s">
        <v>3054</v>
      </c>
      <c r="P769" t="s">
        <v>3058</v>
      </c>
      <c r="Q769" t="s">
        <v>3629</v>
      </c>
      <c r="R769">
        <v>156.69999999999999</v>
      </c>
      <c r="S769">
        <v>6</v>
      </c>
      <c r="T769">
        <v>0.05</v>
      </c>
      <c r="U769">
        <v>-19.16</v>
      </c>
    </row>
    <row r="770" spans="1:21" x14ac:dyDescent="0.3">
      <c r="A770">
        <v>769</v>
      </c>
      <c r="B770" t="s">
        <v>789</v>
      </c>
      <c r="C770" s="2">
        <v>45541</v>
      </c>
      <c r="D770" s="2">
        <v>45544</v>
      </c>
      <c r="E770" t="s">
        <v>1521</v>
      </c>
      <c r="F770" t="s">
        <v>1855</v>
      </c>
      <c r="G770" t="s">
        <v>2015</v>
      </c>
      <c r="H770" t="s">
        <v>2314</v>
      </c>
      <c r="I770" t="s">
        <v>2317</v>
      </c>
      <c r="J770" t="s">
        <v>2319</v>
      </c>
      <c r="K770" t="s">
        <v>2319</v>
      </c>
      <c r="L770">
        <v>176126</v>
      </c>
      <c r="M770" t="s">
        <v>2329</v>
      </c>
      <c r="N770" t="s">
        <v>2636</v>
      </c>
      <c r="O770" t="s">
        <v>3054</v>
      </c>
      <c r="P770" t="s">
        <v>3063</v>
      </c>
      <c r="Q770" t="s">
        <v>3154</v>
      </c>
      <c r="R770">
        <v>85.31</v>
      </c>
      <c r="S770">
        <v>3</v>
      </c>
      <c r="T770">
        <v>0.1</v>
      </c>
      <c r="U770">
        <v>26.06</v>
      </c>
    </row>
    <row r="771" spans="1:21" x14ac:dyDescent="0.3">
      <c r="A771">
        <v>770</v>
      </c>
      <c r="B771" t="s">
        <v>790</v>
      </c>
      <c r="C771" s="2">
        <v>45965</v>
      </c>
      <c r="D771" s="2">
        <v>45968</v>
      </c>
      <c r="E771" t="s">
        <v>1522</v>
      </c>
      <c r="F771" t="s">
        <v>1673</v>
      </c>
      <c r="G771" t="s">
        <v>2011</v>
      </c>
      <c r="H771" t="s">
        <v>2314</v>
      </c>
      <c r="I771" t="s">
        <v>2317</v>
      </c>
      <c r="J771" t="s">
        <v>2322</v>
      </c>
      <c r="K771" t="s">
        <v>2322</v>
      </c>
      <c r="L771">
        <v>668176</v>
      </c>
      <c r="M771" t="s">
        <v>2331</v>
      </c>
      <c r="N771" t="s">
        <v>2513</v>
      </c>
      <c r="O771" t="s">
        <v>3053</v>
      </c>
      <c r="P771" t="s">
        <v>3056</v>
      </c>
      <c r="Q771" t="s">
        <v>3630</v>
      </c>
      <c r="R771">
        <v>386.33</v>
      </c>
      <c r="S771">
        <v>4</v>
      </c>
      <c r="T771">
        <v>0.15</v>
      </c>
      <c r="U771">
        <v>0.79</v>
      </c>
    </row>
    <row r="772" spans="1:21" x14ac:dyDescent="0.3">
      <c r="A772">
        <v>771</v>
      </c>
      <c r="B772" t="s">
        <v>791</v>
      </c>
      <c r="C772" s="2">
        <v>45729</v>
      </c>
      <c r="D772" s="2">
        <v>45734</v>
      </c>
      <c r="E772" t="s">
        <v>1524</v>
      </c>
      <c r="F772" t="s">
        <v>1877</v>
      </c>
      <c r="G772" t="s">
        <v>2271</v>
      </c>
      <c r="H772" t="s">
        <v>2314</v>
      </c>
      <c r="I772" t="s">
        <v>2317</v>
      </c>
      <c r="J772" t="s">
        <v>2319</v>
      </c>
      <c r="K772" t="s">
        <v>2319</v>
      </c>
      <c r="L772">
        <v>528410</v>
      </c>
      <c r="M772" t="s">
        <v>2329</v>
      </c>
      <c r="N772" t="s">
        <v>2839</v>
      </c>
      <c r="O772" t="s">
        <v>3054</v>
      </c>
      <c r="P772" t="s">
        <v>3063</v>
      </c>
      <c r="Q772" t="s">
        <v>3631</v>
      </c>
      <c r="R772">
        <v>108.19</v>
      </c>
      <c r="S772">
        <v>2</v>
      </c>
      <c r="T772">
        <v>0.1</v>
      </c>
      <c r="U772">
        <v>-6.66</v>
      </c>
    </row>
    <row r="773" spans="1:21" x14ac:dyDescent="0.3">
      <c r="A773">
        <v>772</v>
      </c>
      <c r="B773" t="s">
        <v>792</v>
      </c>
      <c r="C773" s="2">
        <v>45409</v>
      </c>
      <c r="D773" s="2">
        <v>45410</v>
      </c>
      <c r="E773" t="s">
        <v>1522</v>
      </c>
      <c r="F773" t="s">
        <v>1746</v>
      </c>
      <c r="G773" t="s">
        <v>2156</v>
      </c>
      <c r="H773" t="s">
        <v>2315</v>
      </c>
      <c r="I773" t="s">
        <v>2317</v>
      </c>
      <c r="J773" t="s">
        <v>2324</v>
      </c>
      <c r="K773" t="s">
        <v>2324</v>
      </c>
      <c r="L773">
        <v>687453</v>
      </c>
      <c r="M773" t="s">
        <v>2330</v>
      </c>
      <c r="N773" t="s">
        <v>2840</v>
      </c>
      <c r="O773" t="s">
        <v>3054</v>
      </c>
      <c r="P773" t="s">
        <v>3057</v>
      </c>
      <c r="Q773" t="s">
        <v>3632</v>
      </c>
      <c r="R773">
        <v>54.12</v>
      </c>
      <c r="S773">
        <v>4</v>
      </c>
      <c r="T773">
        <v>0.05</v>
      </c>
      <c r="U773">
        <v>37.47</v>
      </c>
    </row>
    <row r="774" spans="1:21" x14ac:dyDescent="0.3">
      <c r="A774">
        <v>773</v>
      </c>
      <c r="B774" t="s">
        <v>793</v>
      </c>
      <c r="C774" s="2">
        <v>45597</v>
      </c>
      <c r="D774" s="2">
        <v>45602</v>
      </c>
      <c r="E774" t="s">
        <v>1524</v>
      </c>
      <c r="F774" t="s">
        <v>1570</v>
      </c>
      <c r="G774" t="s">
        <v>1924</v>
      </c>
      <c r="H774" t="s">
        <v>2316</v>
      </c>
      <c r="I774" t="s">
        <v>2317</v>
      </c>
      <c r="J774" t="s">
        <v>2322</v>
      </c>
      <c r="K774" t="s">
        <v>2322</v>
      </c>
      <c r="L774">
        <v>651614</v>
      </c>
      <c r="M774" t="s">
        <v>2331</v>
      </c>
      <c r="N774" t="s">
        <v>2841</v>
      </c>
      <c r="O774" t="s">
        <v>3055</v>
      </c>
      <c r="P774" t="s">
        <v>3061</v>
      </c>
      <c r="Q774" t="s">
        <v>3420</v>
      </c>
      <c r="R774">
        <v>227.05</v>
      </c>
      <c r="S774">
        <v>6</v>
      </c>
      <c r="T774">
        <v>0</v>
      </c>
      <c r="U774">
        <v>62.96</v>
      </c>
    </row>
    <row r="775" spans="1:21" x14ac:dyDescent="0.3">
      <c r="A775">
        <v>774</v>
      </c>
      <c r="B775" t="s">
        <v>794</v>
      </c>
      <c r="C775" s="2">
        <v>45559</v>
      </c>
      <c r="D775" s="2">
        <v>45562</v>
      </c>
      <c r="E775" t="s">
        <v>1523</v>
      </c>
      <c r="F775" t="s">
        <v>1781</v>
      </c>
      <c r="G775" t="s">
        <v>2009</v>
      </c>
      <c r="H775" t="s">
        <v>2315</v>
      </c>
      <c r="I775" t="s">
        <v>2317</v>
      </c>
      <c r="J775" t="s">
        <v>2327</v>
      </c>
      <c r="K775" t="s">
        <v>2327</v>
      </c>
      <c r="L775">
        <v>444199</v>
      </c>
      <c r="M775" t="s">
        <v>2330</v>
      </c>
      <c r="N775" t="s">
        <v>2415</v>
      </c>
      <c r="O775" t="s">
        <v>3053</v>
      </c>
      <c r="P775" t="s">
        <v>3066</v>
      </c>
      <c r="Q775" t="s">
        <v>3633</v>
      </c>
      <c r="R775">
        <v>93.1</v>
      </c>
      <c r="S775">
        <v>7</v>
      </c>
      <c r="T775">
        <v>0.1</v>
      </c>
      <c r="U775">
        <v>63.13</v>
      </c>
    </row>
    <row r="776" spans="1:21" x14ac:dyDescent="0.3">
      <c r="A776">
        <v>775</v>
      </c>
      <c r="B776" t="s">
        <v>795</v>
      </c>
      <c r="C776" s="2">
        <v>45345</v>
      </c>
      <c r="D776" s="2">
        <v>45347</v>
      </c>
      <c r="E776" t="s">
        <v>1523</v>
      </c>
      <c r="F776" t="s">
        <v>1878</v>
      </c>
      <c r="G776" t="s">
        <v>1983</v>
      </c>
      <c r="H776" t="s">
        <v>2314</v>
      </c>
      <c r="I776" t="s">
        <v>2317</v>
      </c>
      <c r="J776" t="s">
        <v>2327</v>
      </c>
      <c r="K776" t="s">
        <v>2327</v>
      </c>
      <c r="L776">
        <v>581005</v>
      </c>
      <c r="M776" t="s">
        <v>2330</v>
      </c>
      <c r="N776" t="s">
        <v>2437</v>
      </c>
      <c r="O776" t="s">
        <v>3054</v>
      </c>
      <c r="P776" t="s">
        <v>3064</v>
      </c>
      <c r="Q776" t="s">
        <v>3634</v>
      </c>
      <c r="R776">
        <v>157.21</v>
      </c>
      <c r="S776">
        <v>1</v>
      </c>
      <c r="T776">
        <v>0.2</v>
      </c>
      <c r="U776">
        <v>29.85</v>
      </c>
    </row>
    <row r="777" spans="1:21" x14ac:dyDescent="0.3">
      <c r="A777">
        <v>776</v>
      </c>
      <c r="B777" t="s">
        <v>796</v>
      </c>
      <c r="C777" s="2">
        <v>45527</v>
      </c>
      <c r="D777" s="2">
        <v>45531</v>
      </c>
      <c r="E777" t="s">
        <v>1521</v>
      </c>
      <c r="F777" t="s">
        <v>1879</v>
      </c>
      <c r="G777" t="s">
        <v>2047</v>
      </c>
      <c r="H777" t="s">
        <v>2316</v>
      </c>
      <c r="I777" t="s">
        <v>2317</v>
      </c>
      <c r="J777" t="s">
        <v>2318</v>
      </c>
      <c r="K777" t="s">
        <v>2318</v>
      </c>
      <c r="L777">
        <v>925217</v>
      </c>
      <c r="M777" t="s">
        <v>2328</v>
      </c>
      <c r="N777" t="s">
        <v>2842</v>
      </c>
      <c r="O777" t="s">
        <v>3055</v>
      </c>
      <c r="P777" t="s">
        <v>3061</v>
      </c>
      <c r="Q777" t="s">
        <v>3423</v>
      </c>
      <c r="R777">
        <v>168.91</v>
      </c>
      <c r="S777">
        <v>7</v>
      </c>
      <c r="T777">
        <v>0</v>
      </c>
      <c r="U777">
        <v>-15.59</v>
      </c>
    </row>
    <row r="778" spans="1:21" x14ac:dyDescent="0.3">
      <c r="A778">
        <v>777</v>
      </c>
      <c r="B778" t="s">
        <v>797</v>
      </c>
      <c r="C778" s="2">
        <v>45680</v>
      </c>
      <c r="D778" s="2">
        <v>45683</v>
      </c>
      <c r="E778" t="s">
        <v>1523</v>
      </c>
      <c r="F778" t="s">
        <v>1560</v>
      </c>
      <c r="G778" t="s">
        <v>2272</v>
      </c>
      <c r="H778" t="s">
        <v>2316</v>
      </c>
      <c r="I778" t="s">
        <v>2317</v>
      </c>
      <c r="J778" t="s">
        <v>2324</v>
      </c>
      <c r="K778" t="s">
        <v>2324</v>
      </c>
      <c r="L778">
        <v>953933</v>
      </c>
      <c r="M778" t="s">
        <v>2330</v>
      </c>
      <c r="N778" t="s">
        <v>2591</v>
      </c>
      <c r="O778" t="s">
        <v>3053</v>
      </c>
      <c r="P778" t="s">
        <v>3065</v>
      </c>
      <c r="Q778" t="s">
        <v>3489</v>
      </c>
      <c r="R778">
        <v>524.77</v>
      </c>
      <c r="S778">
        <v>2</v>
      </c>
      <c r="T778">
        <v>0.1</v>
      </c>
      <c r="U778">
        <v>24.17</v>
      </c>
    </row>
    <row r="779" spans="1:21" x14ac:dyDescent="0.3">
      <c r="A779">
        <v>778</v>
      </c>
      <c r="B779" t="s">
        <v>798</v>
      </c>
      <c r="C779" s="2">
        <v>45692</v>
      </c>
      <c r="D779" s="2">
        <v>45693</v>
      </c>
      <c r="E779" t="s">
        <v>1522</v>
      </c>
      <c r="F779" t="s">
        <v>1660</v>
      </c>
      <c r="G779" t="s">
        <v>2273</v>
      </c>
      <c r="H779" t="s">
        <v>2316</v>
      </c>
      <c r="I779" t="s">
        <v>2317</v>
      </c>
      <c r="J779" t="s">
        <v>2318</v>
      </c>
      <c r="K779" t="s">
        <v>2318</v>
      </c>
      <c r="L779">
        <v>376463</v>
      </c>
      <c r="M779" t="s">
        <v>2328</v>
      </c>
      <c r="N779" t="s">
        <v>2631</v>
      </c>
      <c r="O779" t="s">
        <v>3054</v>
      </c>
      <c r="P779" t="s">
        <v>3064</v>
      </c>
      <c r="Q779" t="s">
        <v>3559</v>
      </c>
      <c r="R779">
        <v>93.28</v>
      </c>
      <c r="S779">
        <v>3</v>
      </c>
      <c r="T779">
        <v>0</v>
      </c>
      <c r="U779">
        <v>19.350000000000001</v>
      </c>
    </row>
    <row r="780" spans="1:21" x14ac:dyDescent="0.3">
      <c r="A780">
        <v>779</v>
      </c>
      <c r="B780" t="s">
        <v>799</v>
      </c>
      <c r="C780" s="2">
        <v>45915</v>
      </c>
      <c r="D780" s="2">
        <v>45917</v>
      </c>
      <c r="E780" t="s">
        <v>1521</v>
      </c>
      <c r="F780" t="s">
        <v>1869</v>
      </c>
      <c r="G780" t="s">
        <v>2220</v>
      </c>
      <c r="H780" t="s">
        <v>2315</v>
      </c>
      <c r="I780" t="s">
        <v>2317</v>
      </c>
      <c r="J780" t="s">
        <v>2320</v>
      </c>
      <c r="K780" t="s">
        <v>2320</v>
      </c>
      <c r="L780">
        <v>880371</v>
      </c>
      <c r="M780" t="s">
        <v>2330</v>
      </c>
      <c r="N780" t="s">
        <v>2652</v>
      </c>
      <c r="O780" t="s">
        <v>3053</v>
      </c>
      <c r="P780" t="s">
        <v>3056</v>
      </c>
      <c r="Q780" t="s">
        <v>3232</v>
      </c>
      <c r="R780">
        <v>405.03</v>
      </c>
      <c r="S780">
        <v>6</v>
      </c>
      <c r="T780">
        <v>0.15</v>
      </c>
      <c r="U780">
        <v>-27.11</v>
      </c>
    </row>
    <row r="781" spans="1:21" x14ac:dyDescent="0.3">
      <c r="A781">
        <v>780</v>
      </c>
      <c r="B781" t="s">
        <v>800</v>
      </c>
      <c r="C781" s="2">
        <v>45594</v>
      </c>
      <c r="D781" s="2">
        <v>45597</v>
      </c>
      <c r="E781" t="s">
        <v>1521</v>
      </c>
      <c r="F781" t="s">
        <v>1880</v>
      </c>
      <c r="G781" t="s">
        <v>2129</v>
      </c>
      <c r="H781" t="s">
        <v>2316</v>
      </c>
      <c r="I781" t="s">
        <v>2317</v>
      </c>
      <c r="J781" t="s">
        <v>2326</v>
      </c>
      <c r="K781" t="s">
        <v>2326</v>
      </c>
      <c r="L781">
        <v>872427</v>
      </c>
      <c r="M781" t="s">
        <v>2331</v>
      </c>
      <c r="N781" t="s">
        <v>2527</v>
      </c>
      <c r="O781" t="s">
        <v>3055</v>
      </c>
      <c r="P781" t="s">
        <v>3061</v>
      </c>
      <c r="Q781" t="s">
        <v>3327</v>
      </c>
      <c r="R781">
        <v>431.95</v>
      </c>
      <c r="S781">
        <v>9</v>
      </c>
      <c r="T781">
        <v>0</v>
      </c>
      <c r="U781">
        <v>57.05</v>
      </c>
    </row>
    <row r="782" spans="1:21" x14ac:dyDescent="0.3">
      <c r="A782">
        <v>781</v>
      </c>
      <c r="B782" t="s">
        <v>801</v>
      </c>
      <c r="C782" s="2">
        <v>45498</v>
      </c>
      <c r="D782" s="2">
        <v>45501</v>
      </c>
      <c r="E782" t="s">
        <v>1524</v>
      </c>
      <c r="F782" t="s">
        <v>1525</v>
      </c>
      <c r="G782" t="s">
        <v>2011</v>
      </c>
      <c r="H782" t="s">
        <v>2315</v>
      </c>
      <c r="I782" t="s">
        <v>2317</v>
      </c>
      <c r="J782" t="s">
        <v>2321</v>
      </c>
      <c r="K782" t="s">
        <v>2321</v>
      </c>
      <c r="L782">
        <v>623518</v>
      </c>
      <c r="M782" t="s">
        <v>2329</v>
      </c>
      <c r="N782" t="s">
        <v>2709</v>
      </c>
      <c r="O782" t="s">
        <v>3053</v>
      </c>
      <c r="P782" t="s">
        <v>3066</v>
      </c>
      <c r="Q782" t="s">
        <v>3597</v>
      </c>
      <c r="R782">
        <v>211.64</v>
      </c>
      <c r="S782">
        <v>9</v>
      </c>
      <c r="T782">
        <v>0.4</v>
      </c>
      <c r="U782">
        <v>-25.06</v>
      </c>
    </row>
    <row r="783" spans="1:21" x14ac:dyDescent="0.3">
      <c r="A783">
        <v>782</v>
      </c>
      <c r="B783" t="s">
        <v>802</v>
      </c>
      <c r="C783" s="2">
        <v>45520</v>
      </c>
      <c r="D783" s="2">
        <v>45522</v>
      </c>
      <c r="E783" t="s">
        <v>1521</v>
      </c>
      <c r="F783" t="s">
        <v>1549</v>
      </c>
      <c r="G783" t="s">
        <v>2256</v>
      </c>
      <c r="H783" t="s">
        <v>2316</v>
      </c>
      <c r="I783" t="s">
        <v>2317</v>
      </c>
      <c r="J783" t="s">
        <v>2320</v>
      </c>
      <c r="K783" t="s">
        <v>2320</v>
      </c>
      <c r="L783">
        <v>254779</v>
      </c>
      <c r="M783" t="s">
        <v>2330</v>
      </c>
      <c r="N783" t="s">
        <v>2843</v>
      </c>
      <c r="O783" t="s">
        <v>3055</v>
      </c>
      <c r="P783" t="s">
        <v>3059</v>
      </c>
      <c r="Q783" t="s">
        <v>3635</v>
      </c>
      <c r="R783">
        <v>851.56</v>
      </c>
      <c r="S783">
        <v>2</v>
      </c>
      <c r="T783">
        <v>0</v>
      </c>
      <c r="U783">
        <v>93.55</v>
      </c>
    </row>
    <row r="784" spans="1:21" x14ac:dyDescent="0.3">
      <c r="A784">
        <v>783</v>
      </c>
      <c r="B784" t="s">
        <v>803</v>
      </c>
      <c r="C784" s="2">
        <v>45869</v>
      </c>
      <c r="D784" s="2">
        <v>45872</v>
      </c>
      <c r="E784" t="s">
        <v>1522</v>
      </c>
      <c r="F784" t="s">
        <v>1711</v>
      </c>
      <c r="G784" t="s">
        <v>2274</v>
      </c>
      <c r="H784" t="s">
        <v>2315</v>
      </c>
      <c r="I784" t="s">
        <v>2317</v>
      </c>
      <c r="J784" t="s">
        <v>2326</v>
      </c>
      <c r="K784" t="s">
        <v>2326</v>
      </c>
      <c r="L784">
        <v>775004</v>
      </c>
      <c r="M784" t="s">
        <v>2331</v>
      </c>
      <c r="N784" t="s">
        <v>2844</v>
      </c>
      <c r="O784" t="s">
        <v>3053</v>
      </c>
      <c r="P784" t="s">
        <v>3066</v>
      </c>
      <c r="Q784" t="s">
        <v>3636</v>
      </c>
      <c r="R784">
        <v>381.02</v>
      </c>
      <c r="S784">
        <v>9</v>
      </c>
      <c r="T784">
        <v>0.05</v>
      </c>
      <c r="U784">
        <v>-0.69</v>
      </c>
    </row>
    <row r="785" spans="1:21" x14ac:dyDescent="0.3">
      <c r="A785">
        <v>784</v>
      </c>
      <c r="B785" t="s">
        <v>804</v>
      </c>
      <c r="C785" s="2">
        <v>45366</v>
      </c>
      <c r="D785" s="2">
        <v>45370</v>
      </c>
      <c r="E785" t="s">
        <v>1521</v>
      </c>
      <c r="F785" t="s">
        <v>1732</v>
      </c>
      <c r="G785" t="s">
        <v>2226</v>
      </c>
      <c r="H785" t="s">
        <v>2314</v>
      </c>
      <c r="I785" t="s">
        <v>2317</v>
      </c>
      <c r="J785" t="s">
        <v>2322</v>
      </c>
      <c r="K785" t="s">
        <v>2322</v>
      </c>
      <c r="L785">
        <v>890689</v>
      </c>
      <c r="M785" t="s">
        <v>2331</v>
      </c>
      <c r="N785" t="s">
        <v>2845</v>
      </c>
      <c r="O785" t="s">
        <v>3055</v>
      </c>
      <c r="P785" t="s">
        <v>3067</v>
      </c>
      <c r="Q785" t="s">
        <v>3426</v>
      </c>
      <c r="R785">
        <v>100.11</v>
      </c>
      <c r="S785">
        <v>4</v>
      </c>
      <c r="T785">
        <v>0.05</v>
      </c>
      <c r="U785">
        <v>50.61</v>
      </c>
    </row>
    <row r="786" spans="1:21" x14ac:dyDescent="0.3">
      <c r="A786">
        <v>785</v>
      </c>
      <c r="B786" t="s">
        <v>805</v>
      </c>
      <c r="C786" s="2">
        <v>45726</v>
      </c>
      <c r="D786" s="2">
        <v>45728</v>
      </c>
      <c r="E786" t="s">
        <v>1523</v>
      </c>
      <c r="F786" t="s">
        <v>1577</v>
      </c>
      <c r="G786" t="s">
        <v>2173</v>
      </c>
      <c r="H786" t="s">
        <v>2315</v>
      </c>
      <c r="I786" t="s">
        <v>2317</v>
      </c>
      <c r="J786" t="s">
        <v>2318</v>
      </c>
      <c r="K786" t="s">
        <v>2318</v>
      </c>
      <c r="L786">
        <v>807518</v>
      </c>
      <c r="M786" t="s">
        <v>2328</v>
      </c>
      <c r="N786" t="s">
        <v>2730</v>
      </c>
      <c r="O786" t="s">
        <v>3054</v>
      </c>
      <c r="P786" t="s">
        <v>3058</v>
      </c>
      <c r="Q786" t="s">
        <v>3200</v>
      </c>
      <c r="R786">
        <v>116.61</v>
      </c>
      <c r="S786">
        <v>5</v>
      </c>
      <c r="T786">
        <v>0.2</v>
      </c>
      <c r="U786">
        <v>15.29</v>
      </c>
    </row>
    <row r="787" spans="1:21" x14ac:dyDescent="0.3">
      <c r="A787">
        <v>786</v>
      </c>
      <c r="B787" t="s">
        <v>806</v>
      </c>
      <c r="C787" s="2">
        <v>45394</v>
      </c>
      <c r="D787" s="2">
        <v>45398</v>
      </c>
      <c r="E787" t="s">
        <v>1522</v>
      </c>
      <c r="F787" t="s">
        <v>1650</v>
      </c>
      <c r="G787" t="s">
        <v>2271</v>
      </c>
      <c r="H787" t="s">
        <v>2316</v>
      </c>
      <c r="I787" t="s">
        <v>2317</v>
      </c>
      <c r="J787" t="s">
        <v>2322</v>
      </c>
      <c r="K787" t="s">
        <v>2322</v>
      </c>
      <c r="L787">
        <v>732465</v>
      </c>
      <c r="M787" t="s">
        <v>2331</v>
      </c>
      <c r="N787" t="s">
        <v>2846</v>
      </c>
      <c r="O787" t="s">
        <v>3053</v>
      </c>
      <c r="P787" t="s">
        <v>3065</v>
      </c>
      <c r="Q787" t="s">
        <v>3637</v>
      </c>
      <c r="R787">
        <v>232.82</v>
      </c>
      <c r="S787">
        <v>6</v>
      </c>
      <c r="T787">
        <v>0.3</v>
      </c>
      <c r="U787">
        <v>-38</v>
      </c>
    </row>
    <row r="788" spans="1:21" x14ac:dyDescent="0.3">
      <c r="A788">
        <v>787</v>
      </c>
      <c r="B788" t="s">
        <v>807</v>
      </c>
      <c r="C788" s="2">
        <v>45713</v>
      </c>
      <c r="D788" s="2">
        <v>45716</v>
      </c>
      <c r="E788" t="s">
        <v>1524</v>
      </c>
      <c r="F788" t="s">
        <v>1566</v>
      </c>
      <c r="G788" t="s">
        <v>2249</v>
      </c>
      <c r="H788" t="s">
        <v>2316</v>
      </c>
      <c r="I788" t="s">
        <v>2317</v>
      </c>
      <c r="J788" t="s">
        <v>2322</v>
      </c>
      <c r="K788" t="s">
        <v>2322</v>
      </c>
      <c r="L788">
        <v>174319</v>
      </c>
      <c r="M788" t="s">
        <v>2331</v>
      </c>
      <c r="N788" t="s">
        <v>2342</v>
      </c>
      <c r="O788" t="s">
        <v>3054</v>
      </c>
      <c r="P788" t="s">
        <v>3064</v>
      </c>
      <c r="Q788" t="s">
        <v>3134</v>
      </c>
      <c r="R788">
        <v>282.54000000000002</v>
      </c>
      <c r="S788">
        <v>2</v>
      </c>
      <c r="T788">
        <v>0.05</v>
      </c>
      <c r="U788">
        <v>45.4</v>
      </c>
    </row>
    <row r="789" spans="1:21" x14ac:dyDescent="0.3">
      <c r="A789">
        <v>788</v>
      </c>
      <c r="B789" t="s">
        <v>808</v>
      </c>
      <c r="C789" s="2">
        <v>45995</v>
      </c>
      <c r="D789" s="2">
        <v>45997</v>
      </c>
      <c r="E789" t="s">
        <v>1524</v>
      </c>
      <c r="F789" t="s">
        <v>1870</v>
      </c>
      <c r="G789" t="s">
        <v>1930</v>
      </c>
      <c r="H789" t="s">
        <v>2315</v>
      </c>
      <c r="I789" t="s">
        <v>2317</v>
      </c>
      <c r="J789" t="s">
        <v>2326</v>
      </c>
      <c r="K789" t="s">
        <v>2326</v>
      </c>
      <c r="L789">
        <v>980381</v>
      </c>
      <c r="M789" t="s">
        <v>2331</v>
      </c>
      <c r="N789" t="s">
        <v>2784</v>
      </c>
      <c r="O789" t="s">
        <v>3054</v>
      </c>
      <c r="P789" t="s">
        <v>3063</v>
      </c>
      <c r="Q789" t="s">
        <v>3638</v>
      </c>
      <c r="R789">
        <v>203.08</v>
      </c>
      <c r="S789">
        <v>1</v>
      </c>
      <c r="T789">
        <v>0.4</v>
      </c>
      <c r="U789">
        <v>-6.4</v>
      </c>
    </row>
    <row r="790" spans="1:21" x14ac:dyDescent="0.3">
      <c r="A790">
        <v>789</v>
      </c>
      <c r="B790" t="s">
        <v>809</v>
      </c>
      <c r="C790" s="2">
        <v>45597</v>
      </c>
      <c r="D790" s="2">
        <v>45601</v>
      </c>
      <c r="E790" t="s">
        <v>1523</v>
      </c>
      <c r="F790" t="s">
        <v>1538</v>
      </c>
      <c r="G790" t="s">
        <v>2171</v>
      </c>
      <c r="H790" t="s">
        <v>2316</v>
      </c>
      <c r="I790" t="s">
        <v>2317</v>
      </c>
      <c r="J790" t="s">
        <v>2324</v>
      </c>
      <c r="K790" t="s">
        <v>2324</v>
      </c>
      <c r="L790">
        <v>471603</v>
      </c>
      <c r="M790" t="s">
        <v>2330</v>
      </c>
      <c r="N790" t="s">
        <v>2822</v>
      </c>
      <c r="O790" t="s">
        <v>3053</v>
      </c>
      <c r="P790" t="s">
        <v>3065</v>
      </c>
      <c r="Q790" t="s">
        <v>3639</v>
      </c>
      <c r="R790">
        <v>102.17</v>
      </c>
      <c r="S790">
        <v>6</v>
      </c>
      <c r="T790">
        <v>0.15</v>
      </c>
      <c r="U790">
        <v>28.57</v>
      </c>
    </row>
    <row r="791" spans="1:21" x14ac:dyDescent="0.3">
      <c r="A791">
        <v>790</v>
      </c>
      <c r="B791" t="s">
        <v>810</v>
      </c>
      <c r="C791" s="2">
        <v>45389</v>
      </c>
      <c r="D791" s="2">
        <v>45392</v>
      </c>
      <c r="E791" t="s">
        <v>1521</v>
      </c>
      <c r="F791" t="s">
        <v>1591</v>
      </c>
      <c r="G791" t="s">
        <v>2150</v>
      </c>
      <c r="H791" t="s">
        <v>2316</v>
      </c>
      <c r="I791" t="s">
        <v>2317</v>
      </c>
      <c r="J791" t="s">
        <v>2326</v>
      </c>
      <c r="K791" t="s">
        <v>2326</v>
      </c>
      <c r="L791">
        <v>673392</v>
      </c>
      <c r="M791" t="s">
        <v>2331</v>
      </c>
      <c r="N791" t="s">
        <v>2586</v>
      </c>
      <c r="O791" t="s">
        <v>3054</v>
      </c>
      <c r="P791" t="s">
        <v>3064</v>
      </c>
      <c r="Q791" t="s">
        <v>3251</v>
      </c>
      <c r="R791">
        <v>161.22999999999999</v>
      </c>
      <c r="S791">
        <v>9</v>
      </c>
      <c r="T791">
        <v>0.1</v>
      </c>
      <c r="U791">
        <v>18</v>
      </c>
    </row>
    <row r="792" spans="1:21" x14ac:dyDescent="0.3">
      <c r="A792">
        <v>791</v>
      </c>
      <c r="B792" t="s">
        <v>811</v>
      </c>
      <c r="C792" s="2">
        <v>45626</v>
      </c>
      <c r="D792" s="2">
        <v>45629</v>
      </c>
      <c r="E792" t="s">
        <v>1524</v>
      </c>
      <c r="F792" t="s">
        <v>1547</v>
      </c>
      <c r="G792" t="s">
        <v>1985</v>
      </c>
      <c r="H792" t="s">
        <v>2315</v>
      </c>
      <c r="I792" t="s">
        <v>2317</v>
      </c>
      <c r="J792" t="s">
        <v>2325</v>
      </c>
      <c r="K792" t="s">
        <v>2325</v>
      </c>
      <c r="L792">
        <v>759834</v>
      </c>
      <c r="M792" t="s">
        <v>2332</v>
      </c>
      <c r="N792" t="s">
        <v>2847</v>
      </c>
      <c r="O792" t="s">
        <v>3055</v>
      </c>
      <c r="P792" t="s">
        <v>3067</v>
      </c>
      <c r="Q792" t="s">
        <v>3640</v>
      </c>
      <c r="R792">
        <v>557.79999999999995</v>
      </c>
      <c r="S792">
        <v>7</v>
      </c>
      <c r="T792">
        <v>0.15</v>
      </c>
      <c r="U792">
        <v>50.8</v>
      </c>
    </row>
    <row r="793" spans="1:21" x14ac:dyDescent="0.3">
      <c r="A793">
        <v>792</v>
      </c>
      <c r="B793" t="s">
        <v>812</v>
      </c>
      <c r="C793" s="2">
        <v>45726</v>
      </c>
      <c r="D793" s="2">
        <v>45728</v>
      </c>
      <c r="E793" t="s">
        <v>1523</v>
      </c>
      <c r="F793" t="s">
        <v>1824</v>
      </c>
      <c r="G793" t="s">
        <v>2147</v>
      </c>
      <c r="H793" t="s">
        <v>2315</v>
      </c>
      <c r="I793" t="s">
        <v>2317</v>
      </c>
      <c r="J793" t="s">
        <v>2327</v>
      </c>
      <c r="K793" t="s">
        <v>2327</v>
      </c>
      <c r="L793">
        <v>991354</v>
      </c>
      <c r="M793" t="s">
        <v>2330</v>
      </c>
      <c r="N793" t="s">
        <v>2747</v>
      </c>
      <c r="O793" t="s">
        <v>3053</v>
      </c>
      <c r="P793" t="s">
        <v>3062</v>
      </c>
      <c r="Q793" t="s">
        <v>3208</v>
      </c>
      <c r="R793">
        <v>234.28</v>
      </c>
      <c r="S793">
        <v>4</v>
      </c>
      <c r="T793">
        <v>0.15</v>
      </c>
      <c r="U793">
        <v>-33.93</v>
      </c>
    </row>
    <row r="794" spans="1:21" x14ac:dyDescent="0.3">
      <c r="A794">
        <v>793</v>
      </c>
      <c r="B794" t="s">
        <v>813</v>
      </c>
      <c r="C794" s="2">
        <v>45738</v>
      </c>
      <c r="D794" s="2">
        <v>45740</v>
      </c>
      <c r="E794" t="s">
        <v>1521</v>
      </c>
      <c r="F794" t="s">
        <v>1857</v>
      </c>
      <c r="G794" t="s">
        <v>1971</v>
      </c>
      <c r="H794" t="s">
        <v>2315</v>
      </c>
      <c r="I794" t="s">
        <v>2317</v>
      </c>
      <c r="J794" t="s">
        <v>2327</v>
      </c>
      <c r="K794" t="s">
        <v>2327</v>
      </c>
      <c r="L794">
        <v>510141</v>
      </c>
      <c r="M794" t="s">
        <v>2330</v>
      </c>
      <c r="N794" t="s">
        <v>2678</v>
      </c>
      <c r="O794" t="s">
        <v>3055</v>
      </c>
      <c r="P794" t="s">
        <v>3061</v>
      </c>
      <c r="Q794" t="s">
        <v>3329</v>
      </c>
      <c r="R794">
        <v>285.36</v>
      </c>
      <c r="S794">
        <v>5</v>
      </c>
      <c r="T794">
        <v>0.1</v>
      </c>
      <c r="U794">
        <v>36.47</v>
      </c>
    </row>
    <row r="795" spans="1:21" x14ac:dyDescent="0.3">
      <c r="A795">
        <v>794</v>
      </c>
      <c r="B795" t="s">
        <v>814</v>
      </c>
      <c r="C795" s="2">
        <v>45599</v>
      </c>
      <c r="D795" s="2">
        <v>45603</v>
      </c>
      <c r="E795" t="s">
        <v>1522</v>
      </c>
      <c r="F795" t="s">
        <v>1881</v>
      </c>
      <c r="G795" t="s">
        <v>2201</v>
      </c>
      <c r="H795" t="s">
        <v>2315</v>
      </c>
      <c r="I795" t="s">
        <v>2317</v>
      </c>
      <c r="J795" t="s">
        <v>2320</v>
      </c>
      <c r="K795" t="s">
        <v>2320</v>
      </c>
      <c r="L795">
        <v>730175</v>
      </c>
      <c r="M795" t="s">
        <v>2330</v>
      </c>
      <c r="N795" t="s">
        <v>2763</v>
      </c>
      <c r="O795" t="s">
        <v>3054</v>
      </c>
      <c r="P795" t="s">
        <v>3064</v>
      </c>
      <c r="Q795" t="s">
        <v>3641</v>
      </c>
      <c r="R795">
        <v>117.59</v>
      </c>
      <c r="S795">
        <v>7</v>
      </c>
      <c r="T795">
        <v>0.15</v>
      </c>
      <c r="U795">
        <v>21.04</v>
      </c>
    </row>
    <row r="796" spans="1:21" x14ac:dyDescent="0.3">
      <c r="A796">
        <v>795</v>
      </c>
      <c r="B796" t="s">
        <v>815</v>
      </c>
      <c r="C796" s="2">
        <v>45540</v>
      </c>
      <c r="D796" s="2">
        <v>45544</v>
      </c>
      <c r="E796" t="s">
        <v>1524</v>
      </c>
      <c r="F796" t="s">
        <v>1787</v>
      </c>
      <c r="G796" t="s">
        <v>1928</v>
      </c>
      <c r="H796" t="s">
        <v>2315</v>
      </c>
      <c r="I796" t="s">
        <v>2317</v>
      </c>
      <c r="J796" t="s">
        <v>2327</v>
      </c>
      <c r="K796" t="s">
        <v>2327</v>
      </c>
      <c r="L796">
        <v>558715</v>
      </c>
      <c r="M796" t="s">
        <v>2330</v>
      </c>
      <c r="N796" t="s">
        <v>2848</v>
      </c>
      <c r="O796" t="s">
        <v>3055</v>
      </c>
      <c r="P796" t="s">
        <v>3061</v>
      </c>
      <c r="Q796" t="s">
        <v>3412</v>
      </c>
      <c r="R796">
        <v>520.05999999999995</v>
      </c>
      <c r="S796">
        <v>9</v>
      </c>
      <c r="T796">
        <v>0.3</v>
      </c>
      <c r="U796">
        <v>-10.9</v>
      </c>
    </row>
    <row r="797" spans="1:21" x14ac:dyDescent="0.3">
      <c r="A797">
        <v>796</v>
      </c>
      <c r="B797" t="s">
        <v>816</v>
      </c>
      <c r="C797" s="2">
        <v>45457</v>
      </c>
      <c r="D797" s="2">
        <v>45458</v>
      </c>
      <c r="E797" t="s">
        <v>1521</v>
      </c>
      <c r="F797" t="s">
        <v>1855</v>
      </c>
      <c r="G797" t="s">
        <v>2015</v>
      </c>
      <c r="H797" t="s">
        <v>2314</v>
      </c>
      <c r="I797" t="s">
        <v>2317</v>
      </c>
      <c r="J797" t="s">
        <v>2326</v>
      </c>
      <c r="K797" t="s">
        <v>2326</v>
      </c>
      <c r="L797">
        <v>267856</v>
      </c>
      <c r="M797" t="s">
        <v>2331</v>
      </c>
      <c r="N797" t="s">
        <v>2826</v>
      </c>
      <c r="O797" t="s">
        <v>3053</v>
      </c>
      <c r="P797" t="s">
        <v>3066</v>
      </c>
      <c r="Q797" t="s">
        <v>3101</v>
      </c>
      <c r="R797">
        <v>170.18</v>
      </c>
      <c r="S797">
        <v>9</v>
      </c>
      <c r="T797">
        <v>0</v>
      </c>
      <c r="U797">
        <v>26.45</v>
      </c>
    </row>
    <row r="798" spans="1:21" x14ac:dyDescent="0.3">
      <c r="A798">
        <v>797</v>
      </c>
      <c r="B798" t="s">
        <v>817</v>
      </c>
      <c r="C798" s="2">
        <v>45772</v>
      </c>
      <c r="D798" s="2">
        <v>45774</v>
      </c>
      <c r="E798" t="s">
        <v>1521</v>
      </c>
      <c r="F798" t="s">
        <v>1826</v>
      </c>
      <c r="G798" t="s">
        <v>2127</v>
      </c>
      <c r="H798" t="s">
        <v>2316</v>
      </c>
      <c r="I798" t="s">
        <v>2317</v>
      </c>
      <c r="J798" t="s">
        <v>2323</v>
      </c>
      <c r="K798" t="s">
        <v>2323</v>
      </c>
      <c r="L798">
        <v>675147</v>
      </c>
      <c r="M798" t="s">
        <v>2328</v>
      </c>
      <c r="N798" t="s">
        <v>2680</v>
      </c>
      <c r="O798" t="s">
        <v>3054</v>
      </c>
      <c r="P798" t="s">
        <v>3063</v>
      </c>
      <c r="Q798" t="s">
        <v>3176</v>
      </c>
      <c r="R798">
        <v>53.7</v>
      </c>
      <c r="S798">
        <v>9</v>
      </c>
      <c r="T798">
        <v>0.3</v>
      </c>
      <c r="U798">
        <v>-10.69</v>
      </c>
    </row>
    <row r="799" spans="1:21" x14ac:dyDescent="0.3">
      <c r="A799">
        <v>798</v>
      </c>
      <c r="B799" t="s">
        <v>818</v>
      </c>
      <c r="C799" s="2">
        <v>45626</v>
      </c>
      <c r="D799" s="2">
        <v>45629</v>
      </c>
      <c r="E799" t="s">
        <v>1524</v>
      </c>
      <c r="F799" t="s">
        <v>1871</v>
      </c>
      <c r="G799" t="s">
        <v>2275</v>
      </c>
      <c r="H799" t="s">
        <v>2314</v>
      </c>
      <c r="I799" t="s">
        <v>2317</v>
      </c>
      <c r="J799" t="s">
        <v>2318</v>
      </c>
      <c r="K799" t="s">
        <v>2318</v>
      </c>
      <c r="L799">
        <v>292136</v>
      </c>
      <c r="M799" t="s">
        <v>2328</v>
      </c>
      <c r="N799" t="s">
        <v>2359</v>
      </c>
      <c r="O799" t="s">
        <v>3053</v>
      </c>
      <c r="P799" t="s">
        <v>3066</v>
      </c>
      <c r="Q799" t="s">
        <v>3468</v>
      </c>
      <c r="R799">
        <v>809.59</v>
      </c>
      <c r="S799">
        <v>7</v>
      </c>
      <c r="T799">
        <v>0.15</v>
      </c>
      <c r="U799">
        <v>2.14</v>
      </c>
    </row>
    <row r="800" spans="1:21" x14ac:dyDescent="0.3">
      <c r="A800">
        <v>799</v>
      </c>
      <c r="B800" t="s">
        <v>819</v>
      </c>
      <c r="C800" s="2">
        <v>45833</v>
      </c>
      <c r="D800" s="2">
        <v>45837</v>
      </c>
      <c r="E800" t="s">
        <v>1524</v>
      </c>
      <c r="F800" t="s">
        <v>1882</v>
      </c>
      <c r="G800" t="s">
        <v>2171</v>
      </c>
      <c r="H800" t="s">
        <v>2316</v>
      </c>
      <c r="I800" t="s">
        <v>2317</v>
      </c>
      <c r="J800" t="s">
        <v>2326</v>
      </c>
      <c r="K800" t="s">
        <v>2326</v>
      </c>
      <c r="L800">
        <v>136476</v>
      </c>
      <c r="M800" t="s">
        <v>2331</v>
      </c>
      <c r="N800" t="s">
        <v>2849</v>
      </c>
      <c r="O800" t="s">
        <v>3055</v>
      </c>
      <c r="P800" t="s">
        <v>3067</v>
      </c>
      <c r="Q800" t="s">
        <v>3229</v>
      </c>
      <c r="R800">
        <v>2070.2199999999998</v>
      </c>
      <c r="S800">
        <v>3</v>
      </c>
      <c r="T800">
        <v>0.2</v>
      </c>
      <c r="U800">
        <v>81.69</v>
      </c>
    </row>
    <row r="801" spans="1:21" x14ac:dyDescent="0.3">
      <c r="A801">
        <v>800</v>
      </c>
      <c r="B801" t="s">
        <v>820</v>
      </c>
      <c r="C801" s="2">
        <v>45397</v>
      </c>
      <c r="D801" s="2">
        <v>45401</v>
      </c>
      <c r="E801" t="s">
        <v>1524</v>
      </c>
      <c r="F801" t="s">
        <v>1791</v>
      </c>
      <c r="G801" t="s">
        <v>2171</v>
      </c>
      <c r="H801" t="s">
        <v>2315</v>
      </c>
      <c r="I801" t="s">
        <v>2317</v>
      </c>
      <c r="J801" t="s">
        <v>2326</v>
      </c>
      <c r="K801" t="s">
        <v>2326</v>
      </c>
      <c r="L801">
        <v>688345</v>
      </c>
      <c r="M801" t="s">
        <v>2331</v>
      </c>
      <c r="N801" t="s">
        <v>2850</v>
      </c>
      <c r="O801" t="s">
        <v>3053</v>
      </c>
      <c r="P801" t="s">
        <v>3062</v>
      </c>
      <c r="Q801" t="s">
        <v>3078</v>
      </c>
      <c r="R801">
        <v>179.6</v>
      </c>
      <c r="S801">
        <v>3</v>
      </c>
      <c r="T801">
        <v>0.1</v>
      </c>
      <c r="U801">
        <v>4.54</v>
      </c>
    </row>
    <row r="802" spans="1:21" x14ac:dyDescent="0.3">
      <c r="A802">
        <v>801</v>
      </c>
      <c r="B802" t="s">
        <v>821</v>
      </c>
      <c r="C802" s="2">
        <v>45854</v>
      </c>
      <c r="D802" s="2">
        <v>45856</v>
      </c>
      <c r="E802" t="s">
        <v>1523</v>
      </c>
      <c r="F802" t="s">
        <v>1574</v>
      </c>
      <c r="G802" t="s">
        <v>2254</v>
      </c>
      <c r="H802" t="s">
        <v>2315</v>
      </c>
      <c r="I802" t="s">
        <v>2317</v>
      </c>
      <c r="J802" t="s">
        <v>2321</v>
      </c>
      <c r="K802" t="s">
        <v>2321</v>
      </c>
      <c r="L802">
        <v>106654</v>
      </c>
      <c r="M802" t="s">
        <v>2329</v>
      </c>
      <c r="N802" t="s">
        <v>2612</v>
      </c>
      <c r="O802" t="s">
        <v>3054</v>
      </c>
      <c r="P802" t="s">
        <v>3058</v>
      </c>
      <c r="Q802" t="s">
        <v>3517</v>
      </c>
      <c r="R802">
        <v>99.64</v>
      </c>
      <c r="S802">
        <v>5</v>
      </c>
      <c r="T802">
        <v>0.1</v>
      </c>
      <c r="U802">
        <v>21.4</v>
      </c>
    </row>
    <row r="803" spans="1:21" x14ac:dyDescent="0.3">
      <c r="A803">
        <v>802</v>
      </c>
      <c r="B803" t="s">
        <v>822</v>
      </c>
      <c r="C803" s="2">
        <v>45372</v>
      </c>
      <c r="D803" s="2">
        <v>45376</v>
      </c>
      <c r="E803" t="s">
        <v>1523</v>
      </c>
      <c r="F803" t="s">
        <v>1599</v>
      </c>
      <c r="G803" t="s">
        <v>2276</v>
      </c>
      <c r="H803" t="s">
        <v>2315</v>
      </c>
      <c r="I803" t="s">
        <v>2317</v>
      </c>
      <c r="J803" t="s">
        <v>2318</v>
      </c>
      <c r="K803" t="s">
        <v>2318</v>
      </c>
      <c r="L803">
        <v>737402</v>
      </c>
      <c r="M803" t="s">
        <v>2328</v>
      </c>
      <c r="N803" t="s">
        <v>2555</v>
      </c>
      <c r="O803" t="s">
        <v>3054</v>
      </c>
      <c r="P803" t="s">
        <v>3063</v>
      </c>
      <c r="Q803" t="s">
        <v>3642</v>
      </c>
      <c r="R803">
        <v>109.74</v>
      </c>
      <c r="S803">
        <v>8</v>
      </c>
      <c r="T803">
        <v>0.2</v>
      </c>
      <c r="U803">
        <v>70.89</v>
      </c>
    </row>
    <row r="804" spans="1:21" x14ac:dyDescent="0.3">
      <c r="A804">
        <v>803</v>
      </c>
      <c r="B804" t="s">
        <v>823</v>
      </c>
      <c r="C804" s="2">
        <v>45424</v>
      </c>
      <c r="D804" s="2">
        <v>45428</v>
      </c>
      <c r="E804" t="s">
        <v>1523</v>
      </c>
      <c r="F804" t="s">
        <v>1669</v>
      </c>
      <c r="G804" t="s">
        <v>2143</v>
      </c>
      <c r="H804" t="s">
        <v>2314</v>
      </c>
      <c r="I804" t="s">
        <v>2317</v>
      </c>
      <c r="J804" t="s">
        <v>2325</v>
      </c>
      <c r="K804" t="s">
        <v>2325</v>
      </c>
      <c r="L804">
        <v>807597</v>
      </c>
      <c r="M804" t="s">
        <v>2332</v>
      </c>
      <c r="N804" t="s">
        <v>2710</v>
      </c>
      <c r="O804" t="s">
        <v>3053</v>
      </c>
      <c r="P804" t="s">
        <v>3066</v>
      </c>
      <c r="Q804" t="s">
        <v>3579</v>
      </c>
      <c r="R804">
        <v>127.41</v>
      </c>
      <c r="S804">
        <v>6</v>
      </c>
      <c r="T804">
        <v>0.1</v>
      </c>
      <c r="U804">
        <v>-7.96</v>
      </c>
    </row>
    <row r="805" spans="1:21" x14ac:dyDescent="0.3">
      <c r="A805">
        <v>804</v>
      </c>
      <c r="B805" t="s">
        <v>824</v>
      </c>
      <c r="C805" s="2">
        <v>45429</v>
      </c>
      <c r="D805" s="2">
        <v>45431</v>
      </c>
      <c r="E805" t="s">
        <v>1522</v>
      </c>
      <c r="F805" t="s">
        <v>1883</v>
      </c>
      <c r="G805" t="s">
        <v>2238</v>
      </c>
      <c r="H805" t="s">
        <v>2315</v>
      </c>
      <c r="I805" t="s">
        <v>2317</v>
      </c>
      <c r="J805" t="s">
        <v>2327</v>
      </c>
      <c r="K805" t="s">
        <v>2327</v>
      </c>
      <c r="L805">
        <v>333931</v>
      </c>
      <c r="M805" t="s">
        <v>2330</v>
      </c>
      <c r="N805" t="s">
        <v>2798</v>
      </c>
      <c r="O805" t="s">
        <v>3053</v>
      </c>
      <c r="P805" t="s">
        <v>3056</v>
      </c>
      <c r="Q805" t="s">
        <v>3643</v>
      </c>
      <c r="R805">
        <v>254.84</v>
      </c>
      <c r="S805">
        <v>3</v>
      </c>
      <c r="T805">
        <v>0.1</v>
      </c>
      <c r="U805">
        <v>19.66</v>
      </c>
    </row>
    <row r="806" spans="1:21" x14ac:dyDescent="0.3">
      <c r="A806">
        <v>805</v>
      </c>
      <c r="B806" t="s">
        <v>825</v>
      </c>
      <c r="C806" s="2">
        <v>45475</v>
      </c>
      <c r="D806" s="2">
        <v>45478</v>
      </c>
      <c r="E806" t="s">
        <v>1523</v>
      </c>
      <c r="F806" t="s">
        <v>1740</v>
      </c>
      <c r="G806" t="s">
        <v>2042</v>
      </c>
      <c r="H806" t="s">
        <v>2316</v>
      </c>
      <c r="I806" t="s">
        <v>2317</v>
      </c>
      <c r="J806" t="s">
        <v>2318</v>
      </c>
      <c r="K806" t="s">
        <v>2318</v>
      </c>
      <c r="L806">
        <v>998612</v>
      </c>
      <c r="M806" t="s">
        <v>2328</v>
      </c>
      <c r="N806" t="s">
        <v>2851</v>
      </c>
      <c r="O806" t="s">
        <v>3053</v>
      </c>
      <c r="P806" t="s">
        <v>3065</v>
      </c>
      <c r="Q806" t="s">
        <v>3644</v>
      </c>
      <c r="R806">
        <v>389.86</v>
      </c>
      <c r="S806">
        <v>7</v>
      </c>
      <c r="T806">
        <v>0.2</v>
      </c>
      <c r="U806">
        <v>4.93</v>
      </c>
    </row>
    <row r="807" spans="1:21" x14ac:dyDescent="0.3">
      <c r="A807">
        <v>806</v>
      </c>
      <c r="B807" t="s">
        <v>826</v>
      </c>
      <c r="C807" s="2">
        <v>45692</v>
      </c>
      <c r="D807" s="2">
        <v>45694</v>
      </c>
      <c r="E807" t="s">
        <v>1523</v>
      </c>
      <c r="F807" t="s">
        <v>1695</v>
      </c>
      <c r="G807" t="s">
        <v>2066</v>
      </c>
      <c r="H807" t="s">
        <v>2316</v>
      </c>
      <c r="I807" t="s">
        <v>2317</v>
      </c>
      <c r="J807" t="s">
        <v>2327</v>
      </c>
      <c r="K807" t="s">
        <v>2327</v>
      </c>
      <c r="L807">
        <v>656116</v>
      </c>
      <c r="M807" t="s">
        <v>2330</v>
      </c>
      <c r="N807" t="s">
        <v>2852</v>
      </c>
      <c r="O807" t="s">
        <v>3054</v>
      </c>
      <c r="P807" t="s">
        <v>3057</v>
      </c>
      <c r="Q807" t="s">
        <v>3645</v>
      </c>
      <c r="R807">
        <v>42.1</v>
      </c>
      <c r="S807">
        <v>2</v>
      </c>
      <c r="T807">
        <v>0.15</v>
      </c>
      <c r="U807">
        <v>-35.11</v>
      </c>
    </row>
    <row r="808" spans="1:21" x14ac:dyDescent="0.3">
      <c r="A808">
        <v>807</v>
      </c>
      <c r="B808" t="s">
        <v>827</v>
      </c>
      <c r="C808" s="2">
        <v>45621</v>
      </c>
      <c r="D808" s="2">
        <v>45624</v>
      </c>
      <c r="E808" t="s">
        <v>1523</v>
      </c>
      <c r="F808" t="s">
        <v>1806</v>
      </c>
      <c r="G808" t="s">
        <v>2261</v>
      </c>
      <c r="H808" t="s">
        <v>2314</v>
      </c>
      <c r="I808" t="s">
        <v>2317</v>
      </c>
      <c r="J808" t="s">
        <v>2320</v>
      </c>
      <c r="K808" t="s">
        <v>2320</v>
      </c>
      <c r="L808">
        <v>523556</v>
      </c>
      <c r="M808" t="s">
        <v>2330</v>
      </c>
      <c r="N808" t="s">
        <v>2853</v>
      </c>
      <c r="O808" t="s">
        <v>3053</v>
      </c>
      <c r="P808" t="s">
        <v>3065</v>
      </c>
      <c r="Q808" t="s">
        <v>3646</v>
      </c>
      <c r="R808">
        <v>221.37</v>
      </c>
      <c r="S808">
        <v>7</v>
      </c>
      <c r="T808">
        <v>0.05</v>
      </c>
      <c r="U808">
        <v>14.59</v>
      </c>
    </row>
    <row r="809" spans="1:21" x14ac:dyDescent="0.3">
      <c r="A809">
        <v>808</v>
      </c>
      <c r="B809" t="s">
        <v>828</v>
      </c>
      <c r="C809" s="2">
        <v>45799</v>
      </c>
      <c r="D809" s="2">
        <v>45802</v>
      </c>
      <c r="E809" t="s">
        <v>1524</v>
      </c>
      <c r="F809" t="s">
        <v>1820</v>
      </c>
      <c r="G809" t="s">
        <v>2006</v>
      </c>
      <c r="H809" t="s">
        <v>2314</v>
      </c>
      <c r="I809" t="s">
        <v>2317</v>
      </c>
      <c r="J809" t="s">
        <v>2318</v>
      </c>
      <c r="K809" t="s">
        <v>2318</v>
      </c>
      <c r="L809">
        <v>138233</v>
      </c>
      <c r="M809" t="s">
        <v>2328</v>
      </c>
      <c r="N809" t="s">
        <v>2854</v>
      </c>
      <c r="O809" t="s">
        <v>3053</v>
      </c>
      <c r="P809" t="s">
        <v>3066</v>
      </c>
      <c r="Q809" t="s">
        <v>3647</v>
      </c>
      <c r="R809">
        <v>281.44</v>
      </c>
      <c r="S809">
        <v>2</v>
      </c>
      <c r="T809">
        <v>0.1</v>
      </c>
      <c r="U809">
        <v>11.32</v>
      </c>
    </row>
    <row r="810" spans="1:21" x14ac:dyDescent="0.3">
      <c r="A810">
        <v>809</v>
      </c>
      <c r="B810" t="s">
        <v>829</v>
      </c>
      <c r="C810" s="2">
        <v>45360</v>
      </c>
      <c r="D810" s="2">
        <v>45366</v>
      </c>
      <c r="E810" t="s">
        <v>1524</v>
      </c>
      <c r="F810" t="s">
        <v>1642</v>
      </c>
      <c r="G810" t="s">
        <v>2130</v>
      </c>
      <c r="H810" t="s">
        <v>2314</v>
      </c>
      <c r="I810" t="s">
        <v>2317</v>
      </c>
      <c r="J810" t="s">
        <v>2327</v>
      </c>
      <c r="K810" t="s">
        <v>2327</v>
      </c>
      <c r="L810">
        <v>764729</v>
      </c>
      <c r="M810" t="s">
        <v>2330</v>
      </c>
      <c r="N810" t="s">
        <v>2850</v>
      </c>
      <c r="O810" t="s">
        <v>3055</v>
      </c>
      <c r="P810" t="s">
        <v>3060</v>
      </c>
      <c r="Q810" t="s">
        <v>3648</v>
      </c>
      <c r="R810">
        <v>690.55</v>
      </c>
      <c r="S810">
        <v>9</v>
      </c>
      <c r="T810">
        <v>0.15</v>
      </c>
      <c r="U810">
        <v>48.48</v>
      </c>
    </row>
    <row r="811" spans="1:21" x14ac:dyDescent="0.3">
      <c r="A811">
        <v>810</v>
      </c>
      <c r="B811" t="s">
        <v>830</v>
      </c>
      <c r="C811" s="2">
        <v>45837</v>
      </c>
      <c r="D811" s="2">
        <v>45839</v>
      </c>
      <c r="E811" t="s">
        <v>1521</v>
      </c>
      <c r="F811" t="s">
        <v>1884</v>
      </c>
      <c r="G811" t="s">
        <v>1924</v>
      </c>
      <c r="H811" t="s">
        <v>2314</v>
      </c>
      <c r="I811" t="s">
        <v>2317</v>
      </c>
      <c r="J811" t="s">
        <v>2325</v>
      </c>
      <c r="K811" t="s">
        <v>2325</v>
      </c>
      <c r="L811">
        <v>176625</v>
      </c>
      <c r="M811" t="s">
        <v>2332</v>
      </c>
      <c r="N811" t="s">
        <v>2855</v>
      </c>
      <c r="O811" t="s">
        <v>3055</v>
      </c>
      <c r="P811" t="s">
        <v>3060</v>
      </c>
      <c r="Q811" t="s">
        <v>3649</v>
      </c>
      <c r="R811">
        <v>228.59</v>
      </c>
      <c r="S811">
        <v>1</v>
      </c>
      <c r="T811">
        <v>0.2</v>
      </c>
      <c r="U811">
        <v>16.2</v>
      </c>
    </row>
    <row r="812" spans="1:21" x14ac:dyDescent="0.3">
      <c r="A812">
        <v>811</v>
      </c>
      <c r="B812" t="s">
        <v>831</v>
      </c>
      <c r="C812" s="2">
        <v>45344</v>
      </c>
      <c r="D812" s="2">
        <v>45347</v>
      </c>
      <c r="E812" t="s">
        <v>1521</v>
      </c>
      <c r="F812" t="s">
        <v>1885</v>
      </c>
      <c r="G812" t="s">
        <v>1973</v>
      </c>
      <c r="H812" t="s">
        <v>2316</v>
      </c>
      <c r="I812" t="s">
        <v>2317</v>
      </c>
      <c r="J812" t="s">
        <v>2319</v>
      </c>
      <c r="K812" t="s">
        <v>2319</v>
      </c>
      <c r="L812">
        <v>696122</v>
      </c>
      <c r="M812" t="s">
        <v>2329</v>
      </c>
      <c r="N812" t="s">
        <v>2473</v>
      </c>
      <c r="O812" t="s">
        <v>3055</v>
      </c>
      <c r="P812" t="s">
        <v>3067</v>
      </c>
      <c r="Q812" t="s">
        <v>3118</v>
      </c>
      <c r="R812">
        <v>118.12</v>
      </c>
      <c r="S812">
        <v>6</v>
      </c>
      <c r="T812">
        <v>0.1</v>
      </c>
      <c r="U812">
        <v>64.66</v>
      </c>
    </row>
    <row r="813" spans="1:21" x14ac:dyDescent="0.3">
      <c r="A813">
        <v>812</v>
      </c>
      <c r="B813" t="s">
        <v>832</v>
      </c>
      <c r="C813" s="2">
        <v>45741</v>
      </c>
      <c r="D813" s="2">
        <v>45744</v>
      </c>
      <c r="E813" t="s">
        <v>1524</v>
      </c>
      <c r="F813" t="s">
        <v>1883</v>
      </c>
      <c r="G813" t="s">
        <v>1954</v>
      </c>
      <c r="H813" t="s">
        <v>2314</v>
      </c>
      <c r="I813" t="s">
        <v>2317</v>
      </c>
      <c r="J813" t="s">
        <v>2322</v>
      </c>
      <c r="K813" t="s">
        <v>2322</v>
      </c>
      <c r="L813">
        <v>358989</v>
      </c>
      <c r="M813" t="s">
        <v>2331</v>
      </c>
      <c r="N813" t="s">
        <v>2691</v>
      </c>
      <c r="O813" t="s">
        <v>3055</v>
      </c>
      <c r="P813" t="s">
        <v>3061</v>
      </c>
      <c r="Q813" t="s">
        <v>3534</v>
      </c>
      <c r="R813">
        <v>212.02</v>
      </c>
      <c r="S813">
        <v>3</v>
      </c>
      <c r="T813">
        <v>0.05</v>
      </c>
      <c r="U813">
        <v>44.81</v>
      </c>
    </row>
    <row r="814" spans="1:21" x14ac:dyDescent="0.3">
      <c r="A814">
        <v>813</v>
      </c>
      <c r="B814" t="s">
        <v>833</v>
      </c>
      <c r="C814" s="2">
        <v>45496</v>
      </c>
      <c r="D814" s="2">
        <v>45498</v>
      </c>
      <c r="E814" t="s">
        <v>1524</v>
      </c>
      <c r="F814" t="s">
        <v>1713</v>
      </c>
      <c r="G814" t="s">
        <v>2277</v>
      </c>
      <c r="H814" t="s">
        <v>2316</v>
      </c>
      <c r="I814" t="s">
        <v>2317</v>
      </c>
      <c r="J814" t="s">
        <v>2322</v>
      </c>
      <c r="K814" t="s">
        <v>2322</v>
      </c>
      <c r="L814">
        <v>565718</v>
      </c>
      <c r="M814" t="s">
        <v>2331</v>
      </c>
      <c r="N814" t="s">
        <v>2454</v>
      </c>
      <c r="O814" t="s">
        <v>3053</v>
      </c>
      <c r="P814" t="s">
        <v>3066</v>
      </c>
      <c r="Q814" t="s">
        <v>3189</v>
      </c>
      <c r="R814">
        <v>166.07</v>
      </c>
      <c r="S814">
        <v>3</v>
      </c>
      <c r="T814">
        <v>0.1</v>
      </c>
      <c r="U814">
        <v>18.95</v>
      </c>
    </row>
    <row r="815" spans="1:21" x14ac:dyDescent="0.3">
      <c r="A815">
        <v>814</v>
      </c>
      <c r="B815" t="s">
        <v>834</v>
      </c>
      <c r="C815" s="2">
        <v>45417</v>
      </c>
      <c r="D815" s="2">
        <v>45421</v>
      </c>
      <c r="E815" t="s">
        <v>1521</v>
      </c>
      <c r="F815" t="s">
        <v>1563</v>
      </c>
      <c r="G815" t="s">
        <v>2278</v>
      </c>
      <c r="H815" t="s">
        <v>2314</v>
      </c>
      <c r="I815" t="s">
        <v>2317</v>
      </c>
      <c r="J815" t="s">
        <v>2325</v>
      </c>
      <c r="K815" t="s">
        <v>2325</v>
      </c>
      <c r="L815">
        <v>318480</v>
      </c>
      <c r="M815" t="s">
        <v>2332</v>
      </c>
      <c r="N815" t="s">
        <v>2655</v>
      </c>
      <c r="O815" t="s">
        <v>3054</v>
      </c>
      <c r="P815" t="s">
        <v>3057</v>
      </c>
      <c r="Q815" t="s">
        <v>3290</v>
      </c>
      <c r="R815">
        <v>89.67</v>
      </c>
      <c r="S815">
        <v>4</v>
      </c>
      <c r="T815">
        <v>0.4</v>
      </c>
      <c r="U815">
        <v>-29.21</v>
      </c>
    </row>
    <row r="816" spans="1:21" x14ac:dyDescent="0.3">
      <c r="A816">
        <v>815</v>
      </c>
      <c r="B816" t="s">
        <v>835</v>
      </c>
      <c r="C816" s="2">
        <v>45334</v>
      </c>
      <c r="D816" s="2">
        <v>45335</v>
      </c>
      <c r="E816" t="s">
        <v>1521</v>
      </c>
      <c r="F816" t="s">
        <v>1886</v>
      </c>
      <c r="G816" t="s">
        <v>1959</v>
      </c>
      <c r="H816" t="s">
        <v>2314</v>
      </c>
      <c r="I816" t="s">
        <v>2317</v>
      </c>
      <c r="J816" t="s">
        <v>2321</v>
      </c>
      <c r="K816" t="s">
        <v>2321</v>
      </c>
      <c r="L816">
        <v>741800</v>
      </c>
      <c r="M816" t="s">
        <v>2329</v>
      </c>
      <c r="N816" t="s">
        <v>2856</v>
      </c>
      <c r="O816" t="s">
        <v>3055</v>
      </c>
      <c r="P816" t="s">
        <v>3061</v>
      </c>
      <c r="Q816" t="s">
        <v>3650</v>
      </c>
      <c r="R816">
        <v>1285.0999999999999</v>
      </c>
      <c r="S816">
        <v>2</v>
      </c>
      <c r="T816">
        <v>0.4</v>
      </c>
      <c r="U816">
        <v>-54.63</v>
      </c>
    </row>
    <row r="817" spans="1:21" x14ac:dyDescent="0.3">
      <c r="A817">
        <v>816</v>
      </c>
      <c r="B817" t="s">
        <v>836</v>
      </c>
      <c r="C817" s="2">
        <v>45402</v>
      </c>
      <c r="D817" s="2">
        <v>45406</v>
      </c>
      <c r="E817" t="s">
        <v>1521</v>
      </c>
      <c r="F817" t="s">
        <v>1826</v>
      </c>
      <c r="G817" t="s">
        <v>1938</v>
      </c>
      <c r="H817" t="s">
        <v>2316</v>
      </c>
      <c r="I817" t="s">
        <v>2317</v>
      </c>
      <c r="J817" t="s">
        <v>2319</v>
      </c>
      <c r="K817" t="s">
        <v>2319</v>
      </c>
      <c r="L817">
        <v>989974</v>
      </c>
      <c r="M817" t="s">
        <v>2329</v>
      </c>
      <c r="N817" t="s">
        <v>2857</v>
      </c>
      <c r="O817" t="s">
        <v>3054</v>
      </c>
      <c r="P817" t="s">
        <v>3063</v>
      </c>
      <c r="Q817" t="s">
        <v>3117</v>
      </c>
      <c r="R817">
        <v>91.55</v>
      </c>
      <c r="S817">
        <v>4</v>
      </c>
      <c r="T817">
        <v>0</v>
      </c>
      <c r="U817">
        <v>-17.190000000000001</v>
      </c>
    </row>
    <row r="818" spans="1:21" x14ac:dyDescent="0.3">
      <c r="A818">
        <v>817</v>
      </c>
      <c r="B818" t="s">
        <v>837</v>
      </c>
      <c r="C818" s="2">
        <v>45954</v>
      </c>
      <c r="D818" s="2">
        <v>45958</v>
      </c>
      <c r="E818" t="s">
        <v>1521</v>
      </c>
      <c r="F818" t="s">
        <v>1839</v>
      </c>
      <c r="G818" t="s">
        <v>2179</v>
      </c>
      <c r="H818" t="s">
        <v>2316</v>
      </c>
      <c r="I818" t="s">
        <v>2317</v>
      </c>
      <c r="J818" t="s">
        <v>2320</v>
      </c>
      <c r="K818" t="s">
        <v>2320</v>
      </c>
      <c r="L818">
        <v>932886</v>
      </c>
      <c r="M818" t="s">
        <v>2330</v>
      </c>
      <c r="N818" t="s">
        <v>2505</v>
      </c>
      <c r="O818" t="s">
        <v>3055</v>
      </c>
      <c r="P818" t="s">
        <v>3067</v>
      </c>
      <c r="Q818" t="s">
        <v>3651</v>
      </c>
      <c r="R818">
        <v>327.39999999999998</v>
      </c>
      <c r="S818">
        <v>2</v>
      </c>
      <c r="T818">
        <v>0.1</v>
      </c>
      <c r="U818">
        <v>15.81</v>
      </c>
    </row>
    <row r="819" spans="1:21" x14ac:dyDescent="0.3">
      <c r="A819">
        <v>818</v>
      </c>
      <c r="B819" t="s">
        <v>838</v>
      </c>
      <c r="C819" s="2">
        <v>45474</v>
      </c>
      <c r="D819" s="2">
        <v>45475</v>
      </c>
      <c r="E819" t="s">
        <v>1523</v>
      </c>
      <c r="F819" t="s">
        <v>1611</v>
      </c>
      <c r="G819" t="s">
        <v>2242</v>
      </c>
      <c r="H819" t="s">
        <v>2315</v>
      </c>
      <c r="I819" t="s">
        <v>2317</v>
      </c>
      <c r="J819" t="s">
        <v>2325</v>
      </c>
      <c r="K819" t="s">
        <v>2325</v>
      </c>
      <c r="L819">
        <v>970656</v>
      </c>
      <c r="M819" t="s">
        <v>2332</v>
      </c>
      <c r="N819" t="s">
        <v>2858</v>
      </c>
      <c r="O819" t="s">
        <v>3054</v>
      </c>
      <c r="P819" t="s">
        <v>3057</v>
      </c>
      <c r="Q819" t="s">
        <v>3652</v>
      </c>
      <c r="R819">
        <v>34.51</v>
      </c>
      <c r="S819">
        <v>3</v>
      </c>
      <c r="T819">
        <v>0.3</v>
      </c>
      <c r="U819">
        <v>-30.73</v>
      </c>
    </row>
    <row r="820" spans="1:21" x14ac:dyDescent="0.3">
      <c r="A820">
        <v>819</v>
      </c>
      <c r="B820" t="s">
        <v>839</v>
      </c>
      <c r="C820" s="2">
        <v>45386</v>
      </c>
      <c r="D820" s="2">
        <v>45389</v>
      </c>
      <c r="E820" t="s">
        <v>1521</v>
      </c>
      <c r="F820" t="s">
        <v>1774</v>
      </c>
      <c r="G820" t="s">
        <v>1956</v>
      </c>
      <c r="H820" t="s">
        <v>2315</v>
      </c>
      <c r="I820" t="s">
        <v>2317</v>
      </c>
      <c r="J820" t="s">
        <v>2322</v>
      </c>
      <c r="K820" t="s">
        <v>2322</v>
      </c>
      <c r="L820">
        <v>554318</v>
      </c>
      <c r="M820" t="s">
        <v>2331</v>
      </c>
      <c r="N820" t="s">
        <v>2859</v>
      </c>
      <c r="O820" t="s">
        <v>3054</v>
      </c>
      <c r="P820" t="s">
        <v>3064</v>
      </c>
      <c r="Q820" t="s">
        <v>3458</v>
      </c>
      <c r="R820">
        <v>38.299999999999997</v>
      </c>
      <c r="S820">
        <v>3</v>
      </c>
      <c r="T820">
        <v>0.3</v>
      </c>
      <c r="U820">
        <v>25.71</v>
      </c>
    </row>
    <row r="821" spans="1:21" x14ac:dyDescent="0.3">
      <c r="A821">
        <v>820</v>
      </c>
      <c r="B821" t="s">
        <v>840</v>
      </c>
      <c r="C821" s="2">
        <v>45665</v>
      </c>
      <c r="D821" s="2">
        <v>45669</v>
      </c>
      <c r="E821" t="s">
        <v>1521</v>
      </c>
      <c r="F821" t="s">
        <v>1610</v>
      </c>
      <c r="G821" t="s">
        <v>1975</v>
      </c>
      <c r="H821" t="s">
        <v>2314</v>
      </c>
      <c r="I821" t="s">
        <v>2317</v>
      </c>
      <c r="J821" t="s">
        <v>2322</v>
      </c>
      <c r="K821" t="s">
        <v>2322</v>
      </c>
      <c r="L821">
        <v>948115</v>
      </c>
      <c r="M821" t="s">
        <v>2331</v>
      </c>
      <c r="N821" t="s">
        <v>2609</v>
      </c>
      <c r="O821" t="s">
        <v>3053</v>
      </c>
      <c r="P821" t="s">
        <v>3056</v>
      </c>
      <c r="Q821" t="s">
        <v>3653</v>
      </c>
      <c r="R821">
        <v>187.07</v>
      </c>
      <c r="S821">
        <v>7</v>
      </c>
      <c r="T821">
        <v>0.1</v>
      </c>
      <c r="U821">
        <v>19.649999999999999</v>
      </c>
    </row>
    <row r="822" spans="1:21" x14ac:dyDescent="0.3">
      <c r="A822">
        <v>821</v>
      </c>
      <c r="B822" t="s">
        <v>841</v>
      </c>
      <c r="C822" s="2">
        <v>45811</v>
      </c>
      <c r="D822" s="2">
        <v>45816</v>
      </c>
      <c r="E822" t="s">
        <v>1521</v>
      </c>
      <c r="F822" t="s">
        <v>1586</v>
      </c>
      <c r="G822" t="s">
        <v>2111</v>
      </c>
      <c r="H822" t="s">
        <v>2316</v>
      </c>
      <c r="I822" t="s">
        <v>2317</v>
      </c>
      <c r="J822" t="s">
        <v>2322</v>
      </c>
      <c r="K822" t="s">
        <v>2322</v>
      </c>
      <c r="L822">
        <v>597303</v>
      </c>
      <c r="M822" t="s">
        <v>2331</v>
      </c>
      <c r="N822" t="s">
        <v>2860</v>
      </c>
      <c r="O822" t="s">
        <v>3055</v>
      </c>
      <c r="P822" t="s">
        <v>3059</v>
      </c>
      <c r="Q822" t="s">
        <v>3167</v>
      </c>
      <c r="R822">
        <v>442.49</v>
      </c>
      <c r="S822">
        <v>5</v>
      </c>
      <c r="T822">
        <v>0.1</v>
      </c>
      <c r="U822">
        <v>48.27</v>
      </c>
    </row>
    <row r="823" spans="1:21" x14ac:dyDescent="0.3">
      <c r="A823">
        <v>822</v>
      </c>
      <c r="B823" t="s">
        <v>842</v>
      </c>
      <c r="C823" s="2">
        <v>45651</v>
      </c>
      <c r="D823" s="2">
        <v>45653</v>
      </c>
      <c r="E823" t="s">
        <v>1524</v>
      </c>
      <c r="F823" t="s">
        <v>1720</v>
      </c>
      <c r="G823" t="s">
        <v>2257</v>
      </c>
      <c r="H823" t="s">
        <v>2315</v>
      </c>
      <c r="I823" t="s">
        <v>2317</v>
      </c>
      <c r="J823" t="s">
        <v>2324</v>
      </c>
      <c r="K823" t="s">
        <v>2324</v>
      </c>
      <c r="L823">
        <v>483276</v>
      </c>
      <c r="M823" t="s">
        <v>2330</v>
      </c>
      <c r="N823" t="s">
        <v>2456</v>
      </c>
      <c r="O823" t="s">
        <v>3054</v>
      </c>
      <c r="P823" t="s">
        <v>3064</v>
      </c>
      <c r="Q823" t="s">
        <v>3559</v>
      </c>
      <c r="R823">
        <v>43.44</v>
      </c>
      <c r="S823">
        <v>6</v>
      </c>
      <c r="T823">
        <v>0.05</v>
      </c>
      <c r="U823">
        <v>-17.04</v>
      </c>
    </row>
    <row r="824" spans="1:21" x14ac:dyDescent="0.3">
      <c r="A824">
        <v>823</v>
      </c>
      <c r="B824" t="s">
        <v>843</v>
      </c>
      <c r="C824" s="2">
        <v>45987</v>
      </c>
      <c r="D824" s="2">
        <v>45989</v>
      </c>
      <c r="E824" t="s">
        <v>1522</v>
      </c>
      <c r="F824" t="s">
        <v>1683</v>
      </c>
      <c r="G824" t="s">
        <v>1989</v>
      </c>
      <c r="H824" t="s">
        <v>2316</v>
      </c>
      <c r="I824" t="s">
        <v>2317</v>
      </c>
      <c r="J824" t="s">
        <v>2325</v>
      </c>
      <c r="K824" t="s">
        <v>2325</v>
      </c>
      <c r="L824">
        <v>909721</v>
      </c>
      <c r="M824" t="s">
        <v>2332</v>
      </c>
      <c r="N824" t="s">
        <v>2512</v>
      </c>
      <c r="O824" t="s">
        <v>3053</v>
      </c>
      <c r="P824" t="s">
        <v>3062</v>
      </c>
      <c r="Q824" t="s">
        <v>3654</v>
      </c>
      <c r="R824">
        <v>298.61</v>
      </c>
      <c r="S824">
        <v>9</v>
      </c>
      <c r="T824">
        <v>0.2</v>
      </c>
      <c r="U824">
        <v>2.58</v>
      </c>
    </row>
    <row r="825" spans="1:21" x14ac:dyDescent="0.3">
      <c r="A825">
        <v>824</v>
      </c>
      <c r="B825" t="s">
        <v>844</v>
      </c>
      <c r="C825" s="2">
        <v>45572</v>
      </c>
      <c r="D825" s="2">
        <v>45577</v>
      </c>
      <c r="E825" t="s">
        <v>1524</v>
      </c>
      <c r="F825" t="s">
        <v>1789</v>
      </c>
      <c r="G825" t="s">
        <v>1997</v>
      </c>
      <c r="H825" t="s">
        <v>2316</v>
      </c>
      <c r="I825" t="s">
        <v>2317</v>
      </c>
      <c r="J825" t="s">
        <v>2326</v>
      </c>
      <c r="K825" t="s">
        <v>2326</v>
      </c>
      <c r="L825">
        <v>329147</v>
      </c>
      <c r="M825" t="s">
        <v>2331</v>
      </c>
      <c r="N825" t="s">
        <v>2686</v>
      </c>
      <c r="O825" t="s">
        <v>3054</v>
      </c>
      <c r="P825" t="s">
        <v>3063</v>
      </c>
      <c r="Q825" t="s">
        <v>3130</v>
      </c>
      <c r="R825">
        <v>142.16999999999999</v>
      </c>
      <c r="S825">
        <v>1</v>
      </c>
      <c r="T825">
        <v>0.15</v>
      </c>
      <c r="U825">
        <v>41.39</v>
      </c>
    </row>
    <row r="826" spans="1:21" x14ac:dyDescent="0.3">
      <c r="A826">
        <v>825</v>
      </c>
      <c r="B826" t="s">
        <v>845</v>
      </c>
      <c r="C826" s="2">
        <v>45486</v>
      </c>
      <c r="D826" s="2">
        <v>45491</v>
      </c>
      <c r="E826" t="s">
        <v>1521</v>
      </c>
      <c r="F826" t="s">
        <v>1757</v>
      </c>
      <c r="G826" t="s">
        <v>2279</v>
      </c>
      <c r="H826" t="s">
        <v>2316</v>
      </c>
      <c r="I826" t="s">
        <v>2317</v>
      </c>
      <c r="J826" t="s">
        <v>2320</v>
      </c>
      <c r="K826" t="s">
        <v>2320</v>
      </c>
      <c r="L826">
        <v>898991</v>
      </c>
      <c r="M826" t="s">
        <v>2330</v>
      </c>
      <c r="N826" t="s">
        <v>2432</v>
      </c>
      <c r="O826" t="s">
        <v>3053</v>
      </c>
      <c r="P826" t="s">
        <v>3062</v>
      </c>
      <c r="Q826" t="s">
        <v>3655</v>
      </c>
      <c r="R826">
        <v>265.33</v>
      </c>
      <c r="S826">
        <v>2</v>
      </c>
      <c r="T826">
        <v>0.1</v>
      </c>
      <c r="U826">
        <v>43.73</v>
      </c>
    </row>
    <row r="827" spans="1:21" x14ac:dyDescent="0.3">
      <c r="A827">
        <v>826</v>
      </c>
      <c r="B827" t="s">
        <v>846</v>
      </c>
      <c r="C827" s="2">
        <v>45486</v>
      </c>
      <c r="D827" s="2">
        <v>45489</v>
      </c>
      <c r="E827" t="s">
        <v>1523</v>
      </c>
      <c r="F827" t="s">
        <v>1822</v>
      </c>
      <c r="G827" t="s">
        <v>2040</v>
      </c>
      <c r="H827" t="s">
        <v>2315</v>
      </c>
      <c r="I827" t="s">
        <v>2317</v>
      </c>
      <c r="J827" t="s">
        <v>2322</v>
      </c>
      <c r="K827" t="s">
        <v>2322</v>
      </c>
      <c r="L827">
        <v>458315</v>
      </c>
      <c r="M827" t="s">
        <v>2331</v>
      </c>
      <c r="N827" t="s">
        <v>2427</v>
      </c>
      <c r="O827" t="s">
        <v>3054</v>
      </c>
      <c r="P827" t="s">
        <v>3063</v>
      </c>
      <c r="Q827" t="s">
        <v>3656</v>
      </c>
      <c r="R827">
        <v>56.35</v>
      </c>
      <c r="S827">
        <v>9</v>
      </c>
      <c r="T827">
        <v>0</v>
      </c>
      <c r="U827">
        <v>2.54</v>
      </c>
    </row>
    <row r="828" spans="1:21" x14ac:dyDescent="0.3">
      <c r="A828">
        <v>827</v>
      </c>
      <c r="B828" t="s">
        <v>847</v>
      </c>
      <c r="C828" s="2">
        <v>45958</v>
      </c>
      <c r="D828" s="2">
        <v>45963</v>
      </c>
      <c r="E828" t="s">
        <v>1524</v>
      </c>
      <c r="F828" t="s">
        <v>1542</v>
      </c>
      <c r="G828" t="s">
        <v>2194</v>
      </c>
      <c r="H828" t="s">
        <v>2316</v>
      </c>
      <c r="I828" t="s">
        <v>2317</v>
      </c>
      <c r="J828" t="s">
        <v>2327</v>
      </c>
      <c r="K828" t="s">
        <v>2327</v>
      </c>
      <c r="L828">
        <v>518882</v>
      </c>
      <c r="M828" t="s">
        <v>2330</v>
      </c>
      <c r="N828" t="s">
        <v>2372</v>
      </c>
      <c r="O828" t="s">
        <v>3055</v>
      </c>
      <c r="P828" t="s">
        <v>3061</v>
      </c>
      <c r="Q828" t="s">
        <v>3657</v>
      </c>
      <c r="R828">
        <v>185.97</v>
      </c>
      <c r="S828">
        <v>7</v>
      </c>
      <c r="T828">
        <v>0.1</v>
      </c>
      <c r="U828">
        <v>18.59</v>
      </c>
    </row>
    <row r="829" spans="1:21" x14ac:dyDescent="0.3">
      <c r="A829">
        <v>828</v>
      </c>
      <c r="B829" t="s">
        <v>848</v>
      </c>
      <c r="C829" s="2">
        <v>45384</v>
      </c>
      <c r="D829" s="2">
        <v>45387</v>
      </c>
      <c r="E829" t="s">
        <v>1521</v>
      </c>
      <c r="F829" t="s">
        <v>1597</v>
      </c>
      <c r="G829" t="s">
        <v>2018</v>
      </c>
      <c r="H829" t="s">
        <v>2315</v>
      </c>
      <c r="I829" t="s">
        <v>2317</v>
      </c>
      <c r="J829" t="s">
        <v>2325</v>
      </c>
      <c r="K829" t="s">
        <v>2325</v>
      </c>
      <c r="L829">
        <v>836496</v>
      </c>
      <c r="M829" t="s">
        <v>2332</v>
      </c>
      <c r="N829" t="s">
        <v>2685</v>
      </c>
      <c r="O829" t="s">
        <v>3054</v>
      </c>
      <c r="P829" t="s">
        <v>3057</v>
      </c>
      <c r="Q829" t="s">
        <v>3658</v>
      </c>
      <c r="R829">
        <v>92.16</v>
      </c>
      <c r="S829">
        <v>7</v>
      </c>
      <c r="T829">
        <v>0.15</v>
      </c>
      <c r="U829">
        <v>69.45</v>
      </c>
    </row>
    <row r="830" spans="1:21" x14ac:dyDescent="0.3">
      <c r="A830">
        <v>829</v>
      </c>
      <c r="B830" t="s">
        <v>849</v>
      </c>
      <c r="C830" s="2">
        <v>45963</v>
      </c>
      <c r="D830" s="2">
        <v>45966</v>
      </c>
      <c r="E830" t="s">
        <v>1523</v>
      </c>
      <c r="F830" t="s">
        <v>1738</v>
      </c>
      <c r="G830" t="s">
        <v>2062</v>
      </c>
      <c r="H830" t="s">
        <v>2316</v>
      </c>
      <c r="I830" t="s">
        <v>2317</v>
      </c>
      <c r="J830" t="s">
        <v>2324</v>
      </c>
      <c r="K830" t="s">
        <v>2324</v>
      </c>
      <c r="L830">
        <v>852644</v>
      </c>
      <c r="M830" t="s">
        <v>2330</v>
      </c>
      <c r="N830" t="s">
        <v>2666</v>
      </c>
      <c r="O830" t="s">
        <v>3054</v>
      </c>
      <c r="P830" t="s">
        <v>3063</v>
      </c>
      <c r="Q830" t="s">
        <v>3585</v>
      </c>
      <c r="R830">
        <v>59.7</v>
      </c>
      <c r="S830">
        <v>8</v>
      </c>
      <c r="T830">
        <v>0.1</v>
      </c>
      <c r="U830">
        <v>17.63</v>
      </c>
    </row>
    <row r="831" spans="1:21" x14ac:dyDescent="0.3">
      <c r="A831">
        <v>830</v>
      </c>
      <c r="B831" t="s">
        <v>850</v>
      </c>
      <c r="C831" s="2">
        <v>45352</v>
      </c>
      <c r="D831" s="2">
        <v>45354</v>
      </c>
      <c r="E831" t="s">
        <v>1524</v>
      </c>
      <c r="F831" t="s">
        <v>1599</v>
      </c>
      <c r="G831" t="s">
        <v>2014</v>
      </c>
      <c r="H831" t="s">
        <v>2314</v>
      </c>
      <c r="I831" t="s">
        <v>2317</v>
      </c>
      <c r="J831" t="s">
        <v>2325</v>
      </c>
      <c r="K831" t="s">
        <v>2325</v>
      </c>
      <c r="L831">
        <v>364946</v>
      </c>
      <c r="M831" t="s">
        <v>2332</v>
      </c>
      <c r="N831" t="s">
        <v>2861</v>
      </c>
      <c r="O831" t="s">
        <v>3054</v>
      </c>
      <c r="P831" t="s">
        <v>3058</v>
      </c>
      <c r="Q831" t="s">
        <v>3659</v>
      </c>
      <c r="R831">
        <v>90.06</v>
      </c>
      <c r="S831">
        <v>7</v>
      </c>
      <c r="T831">
        <v>0.1</v>
      </c>
      <c r="U831">
        <v>33.549999999999997</v>
      </c>
    </row>
    <row r="832" spans="1:21" x14ac:dyDescent="0.3">
      <c r="A832">
        <v>831</v>
      </c>
      <c r="B832" t="s">
        <v>851</v>
      </c>
      <c r="C832" s="2">
        <v>45925</v>
      </c>
      <c r="D832" s="2">
        <v>45928</v>
      </c>
      <c r="E832" t="s">
        <v>1522</v>
      </c>
      <c r="F832" t="s">
        <v>1713</v>
      </c>
      <c r="G832" t="s">
        <v>2280</v>
      </c>
      <c r="H832" t="s">
        <v>2314</v>
      </c>
      <c r="I832" t="s">
        <v>2317</v>
      </c>
      <c r="J832" t="s">
        <v>2320</v>
      </c>
      <c r="K832" t="s">
        <v>2320</v>
      </c>
      <c r="L832">
        <v>364208</v>
      </c>
      <c r="M832" t="s">
        <v>2330</v>
      </c>
      <c r="N832" t="s">
        <v>2610</v>
      </c>
      <c r="O832" t="s">
        <v>3055</v>
      </c>
      <c r="P832" t="s">
        <v>3059</v>
      </c>
      <c r="Q832" t="s">
        <v>3660</v>
      </c>
      <c r="R832">
        <v>97.98</v>
      </c>
      <c r="S832">
        <v>2</v>
      </c>
      <c r="T832">
        <v>0.05</v>
      </c>
      <c r="U832">
        <v>27.44</v>
      </c>
    </row>
    <row r="833" spans="1:21" x14ac:dyDescent="0.3">
      <c r="A833">
        <v>832</v>
      </c>
      <c r="B833" t="s">
        <v>852</v>
      </c>
      <c r="C833" s="2">
        <v>45342</v>
      </c>
      <c r="D833" s="2">
        <v>45344</v>
      </c>
      <c r="E833" t="s">
        <v>1524</v>
      </c>
      <c r="F833" t="s">
        <v>1824</v>
      </c>
      <c r="G833" t="s">
        <v>2235</v>
      </c>
      <c r="H833" t="s">
        <v>2315</v>
      </c>
      <c r="I833" t="s">
        <v>2317</v>
      </c>
      <c r="J833" t="s">
        <v>2324</v>
      </c>
      <c r="K833" t="s">
        <v>2324</v>
      </c>
      <c r="L833">
        <v>830456</v>
      </c>
      <c r="M833" t="s">
        <v>2330</v>
      </c>
      <c r="N833" t="s">
        <v>2862</v>
      </c>
      <c r="O833" t="s">
        <v>3054</v>
      </c>
      <c r="P833" t="s">
        <v>3063</v>
      </c>
      <c r="Q833" t="s">
        <v>3661</v>
      </c>
      <c r="R833">
        <v>122.57</v>
      </c>
      <c r="S833">
        <v>1</v>
      </c>
      <c r="T833">
        <v>0.1</v>
      </c>
      <c r="U833">
        <v>3.94</v>
      </c>
    </row>
    <row r="834" spans="1:21" x14ac:dyDescent="0.3">
      <c r="A834">
        <v>833</v>
      </c>
      <c r="B834" t="s">
        <v>853</v>
      </c>
      <c r="C834" s="2">
        <v>45694</v>
      </c>
      <c r="D834" s="2">
        <v>45700</v>
      </c>
      <c r="E834" t="s">
        <v>1521</v>
      </c>
      <c r="F834" t="s">
        <v>1766</v>
      </c>
      <c r="G834" t="s">
        <v>2009</v>
      </c>
      <c r="H834" t="s">
        <v>2315</v>
      </c>
      <c r="I834" t="s">
        <v>2317</v>
      </c>
      <c r="J834" t="s">
        <v>2320</v>
      </c>
      <c r="K834" t="s">
        <v>2320</v>
      </c>
      <c r="L834">
        <v>936943</v>
      </c>
      <c r="M834" t="s">
        <v>2330</v>
      </c>
      <c r="N834" t="s">
        <v>2611</v>
      </c>
      <c r="O834" t="s">
        <v>3053</v>
      </c>
      <c r="P834" t="s">
        <v>3066</v>
      </c>
      <c r="Q834" t="s">
        <v>3220</v>
      </c>
      <c r="R834">
        <v>269.98</v>
      </c>
      <c r="S834">
        <v>4</v>
      </c>
      <c r="T834">
        <v>0.1</v>
      </c>
      <c r="U834">
        <v>20.22</v>
      </c>
    </row>
    <row r="835" spans="1:21" x14ac:dyDescent="0.3">
      <c r="A835">
        <v>834</v>
      </c>
      <c r="B835" t="s">
        <v>854</v>
      </c>
      <c r="C835" s="2">
        <v>45296</v>
      </c>
      <c r="D835" s="2">
        <v>45299</v>
      </c>
      <c r="E835" t="s">
        <v>1523</v>
      </c>
      <c r="F835" t="s">
        <v>1717</v>
      </c>
      <c r="G835" t="s">
        <v>2135</v>
      </c>
      <c r="H835" t="s">
        <v>2315</v>
      </c>
      <c r="I835" t="s">
        <v>2317</v>
      </c>
      <c r="J835" t="s">
        <v>2325</v>
      </c>
      <c r="K835" t="s">
        <v>2325</v>
      </c>
      <c r="L835">
        <v>339285</v>
      </c>
      <c r="M835" t="s">
        <v>2332</v>
      </c>
      <c r="N835" t="s">
        <v>2863</v>
      </c>
      <c r="O835" t="s">
        <v>3054</v>
      </c>
      <c r="P835" t="s">
        <v>3057</v>
      </c>
      <c r="Q835" t="s">
        <v>3662</v>
      </c>
      <c r="R835">
        <v>166.04</v>
      </c>
      <c r="S835">
        <v>8</v>
      </c>
      <c r="T835">
        <v>0.2</v>
      </c>
      <c r="U835">
        <v>28.55</v>
      </c>
    </row>
    <row r="836" spans="1:21" x14ac:dyDescent="0.3">
      <c r="A836">
        <v>835</v>
      </c>
      <c r="B836" t="s">
        <v>855</v>
      </c>
      <c r="C836" s="2">
        <v>45757</v>
      </c>
      <c r="D836" s="2">
        <v>45761</v>
      </c>
      <c r="E836" t="s">
        <v>1523</v>
      </c>
      <c r="F836" t="s">
        <v>1831</v>
      </c>
      <c r="G836" t="s">
        <v>2281</v>
      </c>
      <c r="H836" t="s">
        <v>2315</v>
      </c>
      <c r="I836" t="s">
        <v>2317</v>
      </c>
      <c r="J836" t="s">
        <v>2326</v>
      </c>
      <c r="K836" t="s">
        <v>2326</v>
      </c>
      <c r="L836">
        <v>997937</v>
      </c>
      <c r="M836" t="s">
        <v>2331</v>
      </c>
      <c r="N836" t="s">
        <v>2808</v>
      </c>
      <c r="O836" t="s">
        <v>3053</v>
      </c>
      <c r="P836" t="s">
        <v>3062</v>
      </c>
      <c r="Q836" t="s">
        <v>3663</v>
      </c>
      <c r="R836">
        <v>565.23</v>
      </c>
      <c r="S836">
        <v>7</v>
      </c>
      <c r="T836">
        <v>0</v>
      </c>
      <c r="U836">
        <v>49.92</v>
      </c>
    </row>
    <row r="837" spans="1:21" x14ac:dyDescent="0.3">
      <c r="A837">
        <v>836</v>
      </c>
      <c r="B837" t="s">
        <v>856</v>
      </c>
      <c r="C837" s="2">
        <v>45895</v>
      </c>
      <c r="D837" s="2">
        <v>45901</v>
      </c>
      <c r="E837" t="s">
        <v>1524</v>
      </c>
      <c r="F837" t="s">
        <v>1833</v>
      </c>
      <c r="G837" t="s">
        <v>2156</v>
      </c>
      <c r="H837" t="s">
        <v>2315</v>
      </c>
      <c r="I837" t="s">
        <v>2317</v>
      </c>
      <c r="J837" t="s">
        <v>2320</v>
      </c>
      <c r="K837" t="s">
        <v>2320</v>
      </c>
      <c r="L837">
        <v>472384</v>
      </c>
      <c r="M837" t="s">
        <v>2330</v>
      </c>
      <c r="N837" t="s">
        <v>2569</v>
      </c>
      <c r="O837" t="s">
        <v>3054</v>
      </c>
      <c r="P837" t="s">
        <v>3057</v>
      </c>
      <c r="Q837" t="s">
        <v>3664</v>
      </c>
      <c r="R837">
        <v>36.26</v>
      </c>
      <c r="S837">
        <v>8</v>
      </c>
      <c r="T837">
        <v>0.2</v>
      </c>
      <c r="U837">
        <v>8.93</v>
      </c>
    </row>
    <row r="838" spans="1:21" x14ac:dyDescent="0.3">
      <c r="A838">
        <v>837</v>
      </c>
      <c r="B838" t="s">
        <v>857</v>
      </c>
      <c r="C838" s="2">
        <v>45973</v>
      </c>
      <c r="D838" s="2">
        <v>45975</v>
      </c>
      <c r="E838" t="s">
        <v>1521</v>
      </c>
      <c r="F838" t="s">
        <v>1857</v>
      </c>
      <c r="G838" t="s">
        <v>1991</v>
      </c>
      <c r="H838" t="s">
        <v>2315</v>
      </c>
      <c r="I838" t="s">
        <v>2317</v>
      </c>
      <c r="J838" t="s">
        <v>2324</v>
      </c>
      <c r="K838" t="s">
        <v>2324</v>
      </c>
      <c r="L838">
        <v>693669</v>
      </c>
      <c r="M838" t="s">
        <v>2330</v>
      </c>
      <c r="N838" t="s">
        <v>2786</v>
      </c>
      <c r="O838" t="s">
        <v>3055</v>
      </c>
      <c r="P838" t="s">
        <v>3060</v>
      </c>
      <c r="Q838" t="s">
        <v>3516</v>
      </c>
      <c r="R838">
        <v>294.08999999999997</v>
      </c>
      <c r="S838">
        <v>8</v>
      </c>
      <c r="T838">
        <v>0.4</v>
      </c>
      <c r="U838">
        <v>-78.53</v>
      </c>
    </row>
    <row r="839" spans="1:21" x14ac:dyDescent="0.3">
      <c r="A839">
        <v>838</v>
      </c>
      <c r="B839" t="s">
        <v>858</v>
      </c>
      <c r="C839" s="2">
        <v>45825</v>
      </c>
      <c r="D839" s="2">
        <v>45830</v>
      </c>
      <c r="E839" t="s">
        <v>1521</v>
      </c>
      <c r="F839" t="s">
        <v>1748</v>
      </c>
      <c r="G839" t="s">
        <v>1934</v>
      </c>
      <c r="H839" t="s">
        <v>2315</v>
      </c>
      <c r="I839" t="s">
        <v>2317</v>
      </c>
      <c r="J839" t="s">
        <v>2324</v>
      </c>
      <c r="K839" t="s">
        <v>2324</v>
      </c>
      <c r="L839">
        <v>311470</v>
      </c>
      <c r="M839" t="s">
        <v>2330</v>
      </c>
      <c r="N839" t="s">
        <v>2412</v>
      </c>
      <c r="O839" t="s">
        <v>3054</v>
      </c>
      <c r="P839" t="s">
        <v>3064</v>
      </c>
      <c r="Q839" t="s">
        <v>3358</v>
      </c>
      <c r="R839">
        <v>69.02</v>
      </c>
      <c r="S839">
        <v>3</v>
      </c>
      <c r="T839">
        <v>0.15</v>
      </c>
      <c r="U839">
        <v>29.72</v>
      </c>
    </row>
    <row r="840" spans="1:21" x14ac:dyDescent="0.3">
      <c r="A840">
        <v>839</v>
      </c>
      <c r="B840" t="s">
        <v>859</v>
      </c>
      <c r="C840" s="2">
        <v>45696</v>
      </c>
      <c r="D840" s="2">
        <v>45699</v>
      </c>
      <c r="E840" t="s">
        <v>1524</v>
      </c>
      <c r="F840" t="s">
        <v>1811</v>
      </c>
      <c r="G840" t="s">
        <v>2081</v>
      </c>
      <c r="H840" t="s">
        <v>2315</v>
      </c>
      <c r="I840" t="s">
        <v>2317</v>
      </c>
      <c r="J840" t="s">
        <v>2320</v>
      </c>
      <c r="K840" t="s">
        <v>2320</v>
      </c>
      <c r="L840">
        <v>593466</v>
      </c>
      <c r="M840" t="s">
        <v>2330</v>
      </c>
      <c r="N840" t="s">
        <v>2864</v>
      </c>
      <c r="O840" t="s">
        <v>3054</v>
      </c>
      <c r="P840" t="s">
        <v>3064</v>
      </c>
      <c r="Q840" t="s">
        <v>3665</v>
      </c>
      <c r="R840">
        <v>68.86</v>
      </c>
      <c r="S840">
        <v>3</v>
      </c>
      <c r="T840">
        <v>0.4</v>
      </c>
      <c r="U840">
        <v>-22.68</v>
      </c>
    </row>
    <row r="841" spans="1:21" x14ac:dyDescent="0.3">
      <c r="A841">
        <v>840</v>
      </c>
      <c r="B841" t="s">
        <v>860</v>
      </c>
      <c r="C841" s="2">
        <v>45804</v>
      </c>
      <c r="D841" s="2">
        <v>45807</v>
      </c>
      <c r="E841" t="s">
        <v>1523</v>
      </c>
      <c r="F841" t="s">
        <v>1665</v>
      </c>
      <c r="G841" t="s">
        <v>2224</v>
      </c>
      <c r="H841" t="s">
        <v>2314</v>
      </c>
      <c r="I841" t="s">
        <v>2317</v>
      </c>
      <c r="J841" t="s">
        <v>2323</v>
      </c>
      <c r="K841" t="s">
        <v>2323</v>
      </c>
      <c r="L841">
        <v>900444</v>
      </c>
      <c r="M841" t="s">
        <v>2328</v>
      </c>
      <c r="N841" t="s">
        <v>2800</v>
      </c>
      <c r="O841" t="s">
        <v>3054</v>
      </c>
      <c r="P841" t="s">
        <v>3057</v>
      </c>
      <c r="Q841" t="s">
        <v>3075</v>
      </c>
      <c r="R841">
        <v>86.7</v>
      </c>
      <c r="S841">
        <v>4</v>
      </c>
      <c r="T841">
        <v>0.3</v>
      </c>
      <c r="U841">
        <v>3.91</v>
      </c>
    </row>
    <row r="842" spans="1:21" x14ac:dyDescent="0.3">
      <c r="A842">
        <v>841</v>
      </c>
      <c r="B842" t="s">
        <v>861</v>
      </c>
      <c r="C842" s="2">
        <v>45936</v>
      </c>
      <c r="D842" s="2">
        <v>45939</v>
      </c>
      <c r="E842" t="s">
        <v>1523</v>
      </c>
      <c r="F842" t="s">
        <v>1545</v>
      </c>
      <c r="G842" t="s">
        <v>2168</v>
      </c>
      <c r="H842" t="s">
        <v>2315</v>
      </c>
      <c r="I842" t="s">
        <v>2317</v>
      </c>
      <c r="J842" t="s">
        <v>2325</v>
      </c>
      <c r="K842" t="s">
        <v>2325</v>
      </c>
      <c r="L842">
        <v>884402</v>
      </c>
      <c r="M842" t="s">
        <v>2332</v>
      </c>
      <c r="N842" t="s">
        <v>2865</v>
      </c>
      <c r="O842" t="s">
        <v>3053</v>
      </c>
      <c r="P842" t="s">
        <v>3062</v>
      </c>
      <c r="Q842" t="s">
        <v>3208</v>
      </c>
      <c r="R842">
        <v>295.64999999999998</v>
      </c>
      <c r="S842">
        <v>2</v>
      </c>
      <c r="T842">
        <v>0.05</v>
      </c>
      <c r="U842">
        <v>22.74</v>
      </c>
    </row>
    <row r="843" spans="1:21" x14ac:dyDescent="0.3">
      <c r="A843">
        <v>842</v>
      </c>
      <c r="B843" t="s">
        <v>862</v>
      </c>
      <c r="C843" s="2">
        <v>45524</v>
      </c>
      <c r="D843" s="2">
        <v>45527</v>
      </c>
      <c r="E843" t="s">
        <v>1521</v>
      </c>
      <c r="F843" t="s">
        <v>1645</v>
      </c>
      <c r="G843" t="s">
        <v>2093</v>
      </c>
      <c r="H843" t="s">
        <v>2316</v>
      </c>
      <c r="I843" t="s">
        <v>2317</v>
      </c>
      <c r="J843" t="s">
        <v>2323</v>
      </c>
      <c r="K843" t="s">
        <v>2323</v>
      </c>
      <c r="L843">
        <v>373016</v>
      </c>
      <c r="M843" t="s">
        <v>2328</v>
      </c>
      <c r="N843" t="s">
        <v>2417</v>
      </c>
      <c r="O843" t="s">
        <v>3053</v>
      </c>
      <c r="P843" t="s">
        <v>3056</v>
      </c>
      <c r="Q843" t="s">
        <v>3643</v>
      </c>
      <c r="R843">
        <v>314.02999999999997</v>
      </c>
      <c r="S843">
        <v>5</v>
      </c>
      <c r="T843">
        <v>0.2</v>
      </c>
      <c r="U843">
        <v>-23.36</v>
      </c>
    </row>
    <row r="844" spans="1:21" x14ac:dyDescent="0.3">
      <c r="A844">
        <v>843</v>
      </c>
      <c r="B844" t="s">
        <v>863</v>
      </c>
      <c r="C844" s="2">
        <v>45815</v>
      </c>
      <c r="D844" s="2">
        <v>45816</v>
      </c>
      <c r="E844" t="s">
        <v>1523</v>
      </c>
      <c r="F844" t="s">
        <v>1750</v>
      </c>
      <c r="G844" t="s">
        <v>2115</v>
      </c>
      <c r="H844" t="s">
        <v>2314</v>
      </c>
      <c r="I844" t="s">
        <v>2317</v>
      </c>
      <c r="J844" t="s">
        <v>2321</v>
      </c>
      <c r="K844" t="s">
        <v>2321</v>
      </c>
      <c r="L844">
        <v>913152</v>
      </c>
      <c r="M844" t="s">
        <v>2329</v>
      </c>
      <c r="N844" t="s">
        <v>2637</v>
      </c>
      <c r="O844" t="s">
        <v>3054</v>
      </c>
      <c r="P844" t="s">
        <v>3058</v>
      </c>
      <c r="Q844" t="s">
        <v>3393</v>
      </c>
      <c r="R844">
        <v>90.73</v>
      </c>
      <c r="S844">
        <v>3</v>
      </c>
      <c r="T844">
        <v>0.05</v>
      </c>
      <c r="U844">
        <v>-0.11</v>
      </c>
    </row>
    <row r="845" spans="1:21" x14ac:dyDescent="0.3">
      <c r="A845">
        <v>844</v>
      </c>
      <c r="B845" t="s">
        <v>864</v>
      </c>
      <c r="C845" s="2">
        <v>45637</v>
      </c>
      <c r="D845" s="2">
        <v>45641</v>
      </c>
      <c r="E845" t="s">
        <v>1522</v>
      </c>
      <c r="F845" t="s">
        <v>1870</v>
      </c>
      <c r="G845" t="s">
        <v>2190</v>
      </c>
      <c r="H845" t="s">
        <v>2315</v>
      </c>
      <c r="I845" t="s">
        <v>2317</v>
      </c>
      <c r="J845" t="s">
        <v>2325</v>
      </c>
      <c r="K845" t="s">
        <v>2325</v>
      </c>
      <c r="L845">
        <v>344042</v>
      </c>
      <c r="M845" t="s">
        <v>2332</v>
      </c>
      <c r="N845" t="s">
        <v>2530</v>
      </c>
      <c r="O845" t="s">
        <v>3055</v>
      </c>
      <c r="P845" t="s">
        <v>3060</v>
      </c>
      <c r="Q845" t="s">
        <v>3666</v>
      </c>
      <c r="R845">
        <v>135.47</v>
      </c>
      <c r="S845">
        <v>2</v>
      </c>
      <c r="T845">
        <v>0.2</v>
      </c>
      <c r="U845">
        <v>11.47</v>
      </c>
    </row>
    <row r="846" spans="1:21" x14ac:dyDescent="0.3">
      <c r="A846">
        <v>845</v>
      </c>
      <c r="B846" t="s">
        <v>865</v>
      </c>
      <c r="C846" s="2">
        <v>45337</v>
      </c>
      <c r="D846" s="2">
        <v>45341</v>
      </c>
      <c r="E846" t="s">
        <v>1522</v>
      </c>
      <c r="F846" t="s">
        <v>1887</v>
      </c>
      <c r="G846" t="s">
        <v>2268</v>
      </c>
      <c r="H846" t="s">
        <v>2314</v>
      </c>
      <c r="I846" t="s">
        <v>2317</v>
      </c>
      <c r="J846" t="s">
        <v>2320</v>
      </c>
      <c r="K846" t="s">
        <v>2320</v>
      </c>
      <c r="L846">
        <v>508852</v>
      </c>
      <c r="M846" t="s">
        <v>2330</v>
      </c>
      <c r="N846" t="s">
        <v>2866</v>
      </c>
      <c r="O846" t="s">
        <v>3053</v>
      </c>
      <c r="P846" t="s">
        <v>3066</v>
      </c>
      <c r="Q846" t="s">
        <v>3212</v>
      </c>
      <c r="R846">
        <v>239.51</v>
      </c>
      <c r="S846">
        <v>4</v>
      </c>
      <c r="T846">
        <v>0.05</v>
      </c>
      <c r="U846">
        <v>6.23</v>
      </c>
    </row>
    <row r="847" spans="1:21" x14ac:dyDescent="0.3">
      <c r="A847">
        <v>846</v>
      </c>
      <c r="B847" t="s">
        <v>866</v>
      </c>
      <c r="C847" s="2">
        <v>45837</v>
      </c>
      <c r="D847" s="2">
        <v>45838</v>
      </c>
      <c r="E847" t="s">
        <v>1524</v>
      </c>
      <c r="F847" t="s">
        <v>1695</v>
      </c>
      <c r="G847" t="s">
        <v>2149</v>
      </c>
      <c r="H847" t="s">
        <v>2316</v>
      </c>
      <c r="I847" t="s">
        <v>2317</v>
      </c>
      <c r="J847" t="s">
        <v>2319</v>
      </c>
      <c r="K847" t="s">
        <v>2319</v>
      </c>
      <c r="L847">
        <v>424078</v>
      </c>
      <c r="M847" t="s">
        <v>2329</v>
      </c>
      <c r="N847" t="s">
        <v>2453</v>
      </c>
      <c r="O847" t="s">
        <v>3054</v>
      </c>
      <c r="P847" t="s">
        <v>3057</v>
      </c>
      <c r="Q847" t="s">
        <v>3479</v>
      </c>
      <c r="R847">
        <v>109.32</v>
      </c>
      <c r="S847">
        <v>4</v>
      </c>
      <c r="T847">
        <v>0.2</v>
      </c>
      <c r="U847">
        <v>1.38</v>
      </c>
    </row>
    <row r="848" spans="1:21" x14ac:dyDescent="0.3">
      <c r="A848">
        <v>847</v>
      </c>
      <c r="B848" t="s">
        <v>867</v>
      </c>
      <c r="C848" s="2">
        <v>45369</v>
      </c>
      <c r="D848" s="2">
        <v>45371</v>
      </c>
      <c r="E848" t="s">
        <v>1522</v>
      </c>
      <c r="F848" t="s">
        <v>1733</v>
      </c>
      <c r="G848" t="s">
        <v>2252</v>
      </c>
      <c r="H848" t="s">
        <v>2316</v>
      </c>
      <c r="I848" t="s">
        <v>2317</v>
      </c>
      <c r="J848" t="s">
        <v>2320</v>
      </c>
      <c r="K848" t="s">
        <v>2320</v>
      </c>
      <c r="L848">
        <v>643961</v>
      </c>
      <c r="M848" t="s">
        <v>2330</v>
      </c>
      <c r="N848" t="s">
        <v>2671</v>
      </c>
      <c r="O848" t="s">
        <v>3054</v>
      </c>
      <c r="P848" t="s">
        <v>3064</v>
      </c>
      <c r="Q848" t="s">
        <v>3222</v>
      </c>
      <c r="R848">
        <v>10</v>
      </c>
      <c r="S848">
        <v>9</v>
      </c>
      <c r="T848">
        <v>0.15</v>
      </c>
      <c r="U848">
        <v>8.07</v>
      </c>
    </row>
    <row r="849" spans="1:21" x14ac:dyDescent="0.3">
      <c r="A849">
        <v>848</v>
      </c>
      <c r="B849" t="s">
        <v>868</v>
      </c>
      <c r="C849" s="2">
        <v>46021</v>
      </c>
      <c r="D849" s="2">
        <v>46024</v>
      </c>
      <c r="E849" t="s">
        <v>1523</v>
      </c>
      <c r="F849" t="s">
        <v>1782</v>
      </c>
      <c r="G849" t="s">
        <v>2081</v>
      </c>
      <c r="H849" t="s">
        <v>2315</v>
      </c>
      <c r="I849" t="s">
        <v>2317</v>
      </c>
      <c r="J849" t="s">
        <v>2323</v>
      </c>
      <c r="K849" t="s">
        <v>2323</v>
      </c>
      <c r="L849">
        <v>947649</v>
      </c>
      <c r="M849" t="s">
        <v>2328</v>
      </c>
      <c r="N849" t="s">
        <v>2867</v>
      </c>
      <c r="O849" t="s">
        <v>3055</v>
      </c>
      <c r="P849" t="s">
        <v>3060</v>
      </c>
      <c r="Q849" t="s">
        <v>3374</v>
      </c>
      <c r="R849">
        <v>237.68</v>
      </c>
      <c r="S849">
        <v>9</v>
      </c>
      <c r="T849">
        <v>0.1</v>
      </c>
      <c r="U849">
        <v>34.49</v>
      </c>
    </row>
    <row r="850" spans="1:21" x14ac:dyDescent="0.3">
      <c r="A850">
        <v>849</v>
      </c>
      <c r="B850" t="s">
        <v>869</v>
      </c>
      <c r="C850" s="2">
        <v>45364</v>
      </c>
      <c r="D850" s="2">
        <v>45366</v>
      </c>
      <c r="E850" t="s">
        <v>1524</v>
      </c>
      <c r="F850" t="s">
        <v>1863</v>
      </c>
      <c r="G850" t="s">
        <v>2074</v>
      </c>
      <c r="H850" t="s">
        <v>2316</v>
      </c>
      <c r="I850" t="s">
        <v>2317</v>
      </c>
      <c r="J850" t="s">
        <v>2326</v>
      </c>
      <c r="K850" t="s">
        <v>2326</v>
      </c>
      <c r="L850">
        <v>829490</v>
      </c>
      <c r="M850" t="s">
        <v>2331</v>
      </c>
      <c r="N850" t="s">
        <v>2751</v>
      </c>
      <c r="O850" t="s">
        <v>3054</v>
      </c>
      <c r="P850" t="s">
        <v>3057</v>
      </c>
      <c r="Q850" t="s">
        <v>3626</v>
      </c>
      <c r="R850">
        <v>32.119999999999997</v>
      </c>
      <c r="S850">
        <v>3</v>
      </c>
      <c r="T850">
        <v>0.15</v>
      </c>
      <c r="U850">
        <v>27.76</v>
      </c>
    </row>
    <row r="851" spans="1:21" x14ac:dyDescent="0.3">
      <c r="A851">
        <v>850</v>
      </c>
      <c r="B851" t="s">
        <v>870</v>
      </c>
      <c r="C851" s="2">
        <v>45540</v>
      </c>
      <c r="D851" s="2">
        <v>45546</v>
      </c>
      <c r="E851" t="s">
        <v>1521</v>
      </c>
      <c r="F851" t="s">
        <v>1640</v>
      </c>
      <c r="G851" t="s">
        <v>2019</v>
      </c>
      <c r="H851" t="s">
        <v>2315</v>
      </c>
      <c r="I851" t="s">
        <v>2317</v>
      </c>
      <c r="J851" t="s">
        <v>2320</v>
      </c>
      <c r="K851" t="s">
        <v>2320</v>
      </c>
      <c r="L851">
        <v>657807</v>
      </c>
      <c r="M851" t="s">
        <v>2330</v>
      </c>
      <c r="N851" t="s">
        <v>2868</v>
      </c>
      <c r="O851" t="s">
        <v>3054</v>
      </c>
      <c r="P851" t="s">
        <v>3057</v>
      </c>
      <c r="Q851" t="s">
        <v>3353</v>
      </c>
      <c r="R851">
        <v>136.56</v>
      </c>
      <c r="S851">
        <v>4</v>
      </c>
      <c r="T851">
        <v>0.05</v>
      </c>
      <c r="U851">
        <v>29.21</v>
      </c>
    </row>
    <row r="852" spans="1:21" x14ac:dyDescent="0.3">
      <c r="A852">
        <v>851</v>
      </c>
      <c r="B852" t="s">
        <v>871</v>
      </c>
      <c r="C852" s="2">
        <v>45338</v>
      </c>
      <c r="D852" s="2">
        <v>45340</v>
      </c>
      <c r="E852" t="s">
        <v>1521</v>
      </c>
      <c r="F852" t="s">
        <v>1834</v>
      </c>
      <c r="G852" t="s">
        <v>2104</v>
      </c>
      <c r="H852" t="s">
        <v>2316</v>
      </c>
      <c r="I852" t="s">
        <v>2317</v>
      </c>
      <c r="J852" t="s">
        <v>2320</v>
      </c>
      <c r="K852" t="s">
        <v>2320</v>
      </c>
      <c r="L852">
        <v>238966</v>
      </c>
      <c r="M852" t="s">
        <v>2330</v>
      </c>
      <c r="N852" t="s">
        <v>2574</v>
      </c>
      <c r="O852" t="s">
        <v>3055</v>
      </c>
      <c r="P852" t="s">
        <v>3059</v>
      </c>
      <c r="Q852" t="s">
        <v>3183</v>
      </c>
      <c r="R852">
        <v>444.8</v>
      </c>
      <c r="S852">
        <v>9</v>
      </c>
      <c r="T852">
        <v>0.2</v>
      </c>
      <c r="U852">
        <v>26.49</v>
      </c>
    </row>
    <row r="853" spans="1:21" x14ac:dyDescent="0.3">
      <c r="A853">
        <v>852</v>
      </c>
      <c r="B853" t="s">
        <v>872</v>
      </c>
      <c r="C853" s="2">
        <v>45412</v>
      </c>
      <c r="D853" s="2">
        <v>45415</v>
      </c>
      <c r="E853" t="s">
        <v>1523</v>
      </c>
      <c r="F853" t="s">
        <v>1888</v>
      </c>
      <c r="G853" t="s">
        <v>2282</v>
      </c>
      <c r="H853" t="s">
        <v>2315</v>
      </c>
      <c r="I853" t="s">
        <v>2317</v>
      </c>
      <c r="J853" t="s">
        <v>2326</v>
      </c>
      <c r="K853" t="s">
        <v>2326</v>
      </c>
      <c r="L853">
        <v>915805</v>
      </c>
      <c r="M853" t="s">
        <v>2331</v>
      </c>
      <c r="N853" t="s">
        <v>2869</v>
      </c>
      <c r="O853" t="s">
        <v>3054</v>
      </c>
      <c r="P853" t="s">
        <v>3063</v>
      </c>
      <c r="Q853" t="s">
        <v>3130</v>
      </c>
      <c r="R853">
        <v>66.81</v>
      </c>
      <c r="S853">
        <v>8</v>
      </c>
      <c r="T853">
        <v>0.1</v>
      </c>
      <c r="U853">
        <v>7.27</v>
      </c>
    </row>
    <row r="854" spans="1:21" x14ac:dyDescent="0.3">
      <c r="A854">
        <v>853</v>
      </c>
      <c r="B854" t="s">
        <v>873</v>
      </c>
      <c r="C854" s="2">
        <v>45505</v>
      </c>
      <c r="D854" s="2">
        <v>45506</v>
      </c>
      <c r="E854" t="s">
        <v>1522</v>
      </c>
      <c r="F854" t="s">
        <v>1825</v>
      </c>
      <c r="G854" t="s">
        <v>2022</v>
      </c>
      <c r="H854" t="s">
        <v>2316</v>
      </c>
      <c r="I854" t="s">
        <v>2317</v>
      </c>
      <c r="J854" t="s">
        <v>2320</v>
      </c>
      <c r="K854" t="s">
        <v>2320</v>
      </c>
      <c r="L854">
        <v>705814</v>
      </c>
      <c r="M854" t="s">
        <v>2330</v>
      </c>
      <c r="N854" t="s">
        <v>2870</v>
      </c>
      <c r="O854" t="s">
        <v>3055</v>
      </c>
      <c r="P854" t="s">
        <v>3067</v>
      </c>
      <c r="Q854" t="s">
        <v>3667</v>
      </c>
      <c r="R854">
        <v>320.95999999999998</v>
      </c>
      <c r="S854">
        <v>4</v>
      </c>
      <c r="T854">
        <v>0.05</v>
      </c>
      <c r="U854">
        <v>47.66</v>
      </c>
    </row>
    <row r="855" spans="1:21" x14ac:dyDescent="0.3">
      <c r="A855">
        <v>854</v>
      </c>
      <c r="B855" t="s">
        <v>874</v>
      </c>
      <c r="C855" s="2">
        <v>45530</v>
      </c>
      <c r="D855" s="2">
        <v>45534</v>
      </c>
      <c r="E855" t="s">
        <v>1524</v>
      </c>
      <c r="F855" t="s">
        <v>1697</v>
      </c>
      <c r="G855" t="s">
        <v>2283</v>
      </c>
      <c r="H855" t="s">
        <v>2315</v>
      </c>
      <c r="I855" t="s">
        <v>2317</v>
      </c>
      <c r="J855" t="s">
        <v>2322</v>
      </c>
      <c r="K855" t="s">
        <v>2322</v>
      </c>
      <c r="L855">
        <v>739584</v>
      </c>
      <c r="M855" t="s">
        <v>2331</v>
      </c>
      <c r="N855" t="s">
        <v>2511</v>
      </c>
      <c r="O855" t="s">
        <v>3053</v>
      </c>
      <c r="P855" t="s">
        <v>3066</v>
      </c>
      <c r="Q855" t="s">
        <v>3668</v>
      </c>
      <c r="R855">
        <v>198.23</v>
      </c>
      <c r="S855">
        <v>2</v>
      </c>
      <c r="T855">
        <v>0.15</v>
      </c>
      <c r="U855">
        <v>41.8</v>
      </c>
    </row>
    <row r="856" spans="1:21" x14ac:dyDescent="0.3">
      <c r="A856">
        <v>855</v>
      </c>
      <c r="B856" t="s">
        <v>875</v>
      </c>
      <c r="C856" s="2">
        <v>45347</v>
      </c>
      <c r="D856" s="2">
        <v>45350</v>
      </c>
      <c r="E856" t="s">
        <v>1521</v>
      </c>
      <c r="F856" t="s">
        <v>1595</v>
      </c>
      <c r="G856" t="s">
        <v>2253</v>
      </c>
      <c r="H856" t="s">
        <v>2314</v>
      </c>
      <c r="I856" t="s">
        <v>2317</v>
      </c>
      <c r="J856" t="s">
        <v>2319</v>
      </c>
      <c r="K856" t="s">
        <v>2319</v>
      </c>
      <c r="L856">
        <v>310694</v>
      </c>
      <c r="M856" t="s">
        <v>2329</v>
      </c>
      <c r="N856" t="s">
        <v>2871</v>
      </c>
      <c r="O856" t="s">
        <v>3055</v>
      </c>
      <c r="P856" t="s">
        <v>3059</v>
      </c>
      <c r="Q856" t="s">
        <v>3669</v>
      </c>
      <c r="R856">
        <v>503.58</v>
      </c>
      <c r="S856">
        <v>3</v>
      </c>
      <c r="T856">
        <v>0.2</v>
      </c>
      <c r="U856">
        <v>54.19</v>
      </c>
    </row>
    <row r="857" spans="1:21" x14ac:dyDescent="0.3">
      <c r="A857">
        <v>856</v>
      </c>
      <c r="B857" t="s">
        <v>876</v>
      </c>
      <c r="C857" s="2">
        <v>45641</v>
      </c>
      <c r="D857" s="2">
        <v>45644</v>
      </c>
      <c r="E857" t="s">
        <v>1521</v>
      </c>
      <c r="F857" t="s">
        <v>1605</v>
      </c>
      <c r="G857" t="s">
        <v>2188</v>
      </c>
      <c r="H857" t="s">
        <v>2314</v>
      </c>
      <c r="I857" t="s">
        <v>2317</v>
      </c>
      <c r="J857" t="s">
        <v>2327</v>
      </c>
      <c r="K857" t="s">
        <v>2327</v>
      </c>
      <c r="L857">
        <v>394542</v>
      </c>
      <c r="M857" t="s">
        <v>2330</v>
      </c>
      <c r="N857" t="s">
        <v>2872</v>
      </c>
      <c r="O857" t="s">
        <v>3055</v>
      </c>
      <c r="P857" t="s">
        <v>3061</v>
      </c>
      <c r="Q857" t="s">
        <v>3300</v>
      </c>
      <c r="R857">
        <v>233.36</v>
      </c>
      <c r="S857">
        <v>9</v>
      </c>
      <c r="T857">
        <v>0.3</v>
      </c>
      <c r="U857">
        <v>-16.22</v>
      </c>
    </row>
    <row r="858" spans="1:21" x14ac:dyDescent="0.3">
      <c r="A858">
        <v>857</v>
      </c>
      <c r="B858" t="s">
        <v>877</v>
      </c>
      <c r="C858" s="2">
        <v>45398</v>
      </c>
      <c r="D858" s="2">
        <v>45401</v>
      </c>
      <c r="E858" t="s">
        <v>1524</v>
      </c>
      <c r="F858" t="s">
        <v>1889</v>
      </c>
      <c r="G858" t="s">
        <v>2165</v>
      </c>
      <c r="H858" t="s">
        <v>2315</v>
      </c>
      <c r="I858" t="s">
        <v>2317</v>
      </c>
      <c r="J858" t="s">
        <v>2319</v>
      </c>
      <c r="K858" t="s">
        <v>2319</v>
      </c>
      <c r="L858">
        <v>831874</v>
      </c>
      <c r="M858" t="s">
        <v>2329</v>
      </c>
      <c r="N858" t="s">
        <v>2873</v>
      </c>
      <c r="O858" t="s">
        <v>3054</v>
      </c>
      <c r="P858" t="s">
        <v>3063</v>
      </c>
      <c r="Q858" t="s">
        <v>3670</v>
      </c>
      <c r="R858">
        <v>29.56</v>
      </c>
      <c r="S858">
        <v>2</v>
      </c>
      <c r="T858">
        <v>0</v>
      </c>
      <c r="U858">
        <v>-31.53</v>
      </c>
    </row>
    <row r="859" spans="1:21" x14ac:dyDescent="0.3">
      <c r="A859">
        <v>858</v>
      </c>
      <c r="B859" t="s">
        <v>878</v>
      </c>
      <c r="C859" s="2">
        <v>45339</v>
      </c>
      <c r="D859" s="2">
        <v>45341</v>
      </c>
      <c r="E859" t="s">
        <v>1523</v>
      </c>
      <c r="F859" t="s">
        <v>1783</v>
      </c>
      <c r="G859" t="s">
        <v>2284</v>
      </c>
      <c r="H859" t="s">
        <v>2315</v>
      </c>
      <c r="I859" t="s">
        <v>2317</v>
      </c>
      <c r="J859" t="s">
        <v>2320</v>
      </c>
      <c r="K859" t="s">
        <v>2320</v>
      </c>
      <c r="L859">
        <v>349240</v>
      </c>
      <c r="M859" t="s">
        <v>2330</v>
      </c>
      <c r="N859" t="s">
        <v>2802</v>
      </c>
      <c r="O859" t="s">
        <v>3053</v>
      </c>
      <c r="P859" t="s">
        <v>3065</v>
      </c>
      <c r="Q859" t="s">
        <v>3671</v>
      </c>
      <c r="R859">
        <v>248.34</v>
      </c>
      <c r="S859">
        <v>5</v>
      </c>
      <c r="T859">
        <v>0.2</v>
      </c>
      <c r="U859">
        <v>-50.69</v>
      </c>
    </row>
    <row r="860" spans="1:21" x14ac:dyDescent="0.3">
      <c r="A860">
        <v>859</v>
      </c>
      <c r="B860" t="s">
        <v>879</v>
      </c>
      <c r="C860" s="2">
        <v>45864</v>
      </c>
      <c r="D860" s="2">
        <v>45869</v>
      </c>
      <c r="E860" t="s">
        <v>1521</v>
      </c>
      <c r="F860" t="s">
        <v>1598</v>
      </c>
      <c r="G860" t="s">
        <v>2169</v>
      </c>
      <c r="H860" t="s">
        <v>2315</v>
      </c>
      <c r="I860" t="s">
        <v>2317</v>
      </c>
      <c r="J860" t="s">
        <v>2322</v>
      </c>
      <c r="K860" t="s">
        <v>2322</v>
      </c>
      <c r="L860">
        <v>905298</v>
      </c>
      <c r="M860" t="s">
        <v>2331</v>
      </c>
      <c r="N860" t="s">
        <v>2474</v>
      </c>
      <c r="O860" t="s">
        <v>3053</v>
      </c>
      <c r="P860" t="s">
        <v>3065</v>
      </c>
      <c r="Q860" t="s">
        <v>3159</v>
      </c>
      <c r="R860">
        <v>440.72</v>
      </c>
      <c r="S860">
        <v>7</v>
      </c>
      <c r="T860">
        <v>0.2</v>
      </c>
      <c r="U860">
        <v>-30.93</v>
      </c>
    </row>
    <row r="861" spans="1:21" x14ac:dyDescent="0.3">
      <c r="A861">
        <v>860</v>
      </c>
      <c r="B861" t="s">
        <v>880</v>
      </c>
      <c r="C861" s="2">
        <v>45628</v>
      </c>
      <c r="D861" s="2">
        <v>45631</v>
      </c>
      <c r="E861" t="s">
        <v>1522</v>
      </c>
      <c r="F861" t="s">
        <v>1615</v>
      </c>
      <c r="G861" t="s">
        <v>2251</v>
      </c>
      <c r="H861" t="s">
        <v>2316</v>
      </c>
      <c r="I861" t="s">
        <v>2317</v>
      </c>
      <c r="J861" t="s">
        <v>2325</v>
      </c>
      <c r="K861" t="s">
        <v>2325</v>
      </c>
      <c r="L861">
        <v>165206</v>
      </c>
      <c r="M861" t="s">
        <v>2332</v>
      </c>
      <c r="N861" t="s">
        <v>2874</v>
      </c>
      <c r="O861" t="s">
        <v>3055</v>
      </c>
      <c r="P861" t="s">
        <v>3061</v>
      </c>
      <c r="Q861" t="s">
        <v>3541</v>
      </c>
      <c r="R861">
        <v>363.59</v>
      </c>
      <c r="S861">
        <v>5</v>
      </c>
      <c r="T861">
        <v>0.2</v>
      </c>
      <c r="U861">
        <v>-12.52</v>
      </c>
    </row>
    <row r="862" spans="1:21" x14ac:dyDescent="0.3">
      <c r="A862">
        <v>861</v>
      </c>
      <c r="B862" t="s">
        <v>881</v>
      </c>
      <c r="C862" s="2">
        <v>45317</v>
      </c>
      <c r="D862" s="2">
        <v>45319</v>
      </c>
      <c r="E862" t="s">
        <v>1522</v>
      </c>
      <c r="F862" t="s">
        <v>1651</v>
      </c>
      <c r="G862" t="s">
        <v>2238</v>
      </c>
      <c r="H862" t="s">
        <v>2314</v>
      </c>
      <c r="I862" t="s">
        <v>2317</v>
      </c>
      <c r="J862" t="s">
        <v>2320</v>
      </c>
      <c r="K862" t="s">
        <v>2320</v>
      </c>
      <c r="L862">
        <v>266804</v>
      </c>
      <c r="M862" t="s">
        <v>2330</v>
      </c>
      <c r="N862" t="s">
        <v>2587</v>
      </c>
      <c r="O862" t="s">
        <v>3053</v>
      </c>
      <c r="P862" t="s">
        <v>3065</v>
      </c>
      <c r="Q862" t="s">
        <v>3672</v>
      </c>
      <c r="R862">
        <v>162.71</v>
      </c>
      <c r="S862">
        <v>6</v>
      </c>
      <c r="T862">
        <v>0.3</v>
      </c>
      <c r="U862">
        <v>-60.71</v>
      </c>
    </row>
    <row r="863" spans="1:21" x14ac:dyDescent="0.3">
      <c r="A863">
        <v>862</v>
      </c>
      <c r="B863" t="s">
        <v>882</v>
      </c>
      <c r="C863" s="2">
        <v>45548</v>
      </c>
      <c r="D863" s="2">
        <v>45550</v>
      </c>
      <c r="E863" t="s">
        <v>1522</v>
      </c>
      <c r="F863" t="s">
        <v>1721</v>
      </c>
      <c r="G863" t="s">
        <v>2001</v>
      </c>
      <c r="H863" t="s">
        <v>2316</v>
      </c>
      <c r="I863" t="s">
        <v>2317</v>
      </c>
      <c r="J863" t="s">
        <v>2323</v>
      </c>
      <c r="K863" t="s">
        <v>2323</v>
      </c>
      <c r="L863">
        <v>718740</v>
      </c>
      <c r="M863" t="s">
        <v>2328</v>
      </c>
      <c r="N863" t="s">
        <v>2875</v>
      </c>
      <c r="O863" t="s">
        <v>3053</v>
      </c>
      <c r="P863" t="s">
        <v>3062</v>
      </c>
      <c r="Q863" t="s">
        <v>3673</v>
      </c>
      <c r="R863">
        <v>313.41000000000003</v>
      </c>
      <c r="S863">
        <v>9</v>
      </c>
      <c r="T863">
        <v>0</v>
      </c>
      <c r="U863">
        <v>7.11</v>
      </c>
    </row>
    <row r="864" spans="1:21" x14ac:dyDescent="0.3">
      <c r="A864">
        <v>863</v>
      </c>
      <c r="B864" t="s">
        <v>883</v>
      </c>
      <c r="C864" s="2">
        <v>45299</v>
      </c>
      <c r="D864" s="2">
        <v>45301</v>
      </c>
      <c r="E864" t="s">
        <v>1522</v>
      </c>
      <c r="F864" t="s">
        <v>1688</v>
      </c>
      <c r="G864" t="s">
        <v>2000</v>
      </c>
      <c r="H864" t="s">
        <v>2316</v>
      </c>
      <c r="I864" t="s">
        <v>2317</v>
      </c>
      <c r="J864" t="s">
        <v>2322</v>
      </c>
      <c r="K864" t="s">
        <v>2322</v>
      </c>
      <c r="L864">
        <v>896184</v>
      </c>
      <c r="M864" t="s">
        <v>2331</v>
      </c>
      <c r="N864" t="s">
        <v>2876</v>
      </c>
      <c r="O864" t="s">
        <v>3053</v>
      </c>
      <c r="P864" t="s">
        <v>3062</v>
      </c>
      <c r="Q864" t="s">
        <v>3112</v>
      </c>
      <c r="R864">
        <v>330.77</v>
      </c>
      <c r="S864">
        <v>4</v>
      </c>
      <c r="T864">
        <v>0.05</v>
      </c>
      <c r="U864">
        <v>24.69</v>
      </c>
    </row>
    <row r="865" spans="1:21" x14ac:dyDescent="0.3">
      <c r="A865">
        <v>864</v>
      </c>
      <c r="B865" t="s">
        <v>884</v>
      </c>
      <c r="C865" s="2">
        <v>45916</v>
      </c>
      <c r="D865" s="2">
        <v>45918</v>
      </c>
      <c r="E865" t="s">
        <v>1523</v>
      </c>
      <c r="F865" t="s">
        <v>1731</v>
      </c>
      <c r="G865" t="s">
        <v>2118</v>
      </c>
      <c r="H865" t="s">
        <v>2315</v>
      </c>
      <c r="I865" t="s">
        <v>2317</v>
      </c>
      <c r="J865" t="s">
        <v>2326</v>
      </c>
      <c r="K865" t="s">
        <v>2326</v>
      </c>
      <c r="L865">
        <v>542762</v>
      </c>
      <c r="M865" t="s">
        <v>2331</v>
      </c>
      <c r="N865" t="s">
        <v>2877</v>
      </c>
      <c r="O865" t="s">
        <v>3053</v>
      </c>
      <c r="P865" t="s">
        <v>3062</v>
      </c>
      <c r="Q865" t="s">
        <v>3674</v>
      </c>
      <c r="R865">
        <v>153.16</v>
      </c>
      <c r="S865">
        <v>4</v>
      </c>
      <c r="T865">
        <v>0.15</v>
      </c>
      <c r="U865">
        <v>43.74</v>
      </c>
    </row>
    <row r="866" spans="1:21" x14ac:dyDescent="0.3">
      <c r="A866">
        <v>865</v>
      </c>
      <c r="B866" t="s">
        <v>885</v>
      </c>
      <c r="C866" s="2">
        <v>45544</v>
      </c>
      <c r="D866" s="2">
        <v>45549</v>
      </c>
      <c r="E866" t="s">
        <v>1523</v>
      </c>
      <c r="F866" t="s">
        <v>1610</v>
      </c>
      <c r="G866" t="s">
        <v>2215</v>
      </c>
      <c r="H866" t="s">
        <v>2315</v>
      </c>
      <c r="I866" t="s">
        <v>2317</v>
      </c>
      <c r="J866" t="s">
        <v>2322</v>
      </c>
      <c r="K866" t="s">
        <v>2322</v>
      </c>
      <c r="L866">
        <v>872793</v>
      </c>
      <c r="M866" t="s">
        <v>2331</v>
      </c>
      <c r="N866" t="s">
        <v>2872</v>
      </c>
      <c r="O866" t="s">
        <v>3054</v>
      </c>
      <c r="P866" t="s">
        <v>3058</v>
      </c>
      <c r="Q866" t="s">
        <v>3675</v>
      </c>
      <c r="R866">
        <v>50.17</v>
      </c>
      <c r="S866">
        <v>3</v>
      </c>
      <c r="T866">
        <v>0.2</v>
      </c>
      <c r="U866">
        <v>23.41</v>
      </c>
    </row>
    <row r="867" spans="1:21" x14ac:dyDescent="0.3">
      <c r="A867">
        <v>866</v>
      </c>
      <c r="B867" t="s">
        <v>886</v>
      </c>
      <c r="C867" s="2">
        <v>45983</v>
      </c>
      <c r="D867" s="2">
        <v>45986</v>
      </c>
      <c r="E867" t="s">
        <v>1522</v>
      </c>
      <c r="F867" t="s">
        <v>1715</v>
      </c>
      <c r="G867" t="s">
        <v>2169</v>
      </c>
      <c r="H867" t="s">
        <v>2316</v>
      </c>
      <c r="I867" t="s">
        <v>2317</v>
      </c>
      <c r="J867" t="s">
        <v>2326</v>
      </c>
      <c r="K867" t="s">
        <v>2326</v>
      </c>
      <c r="L867">
        <v>691002</v>
      </c>
      <c r="M867" t="s">
        <v>2331</v>
      </c>
      <c r="N867" t="s">
        <v>2538</v>
      </c>
      <c r="O867" t="s">
        <v>3053</v>
      </c>
      <c r="P867" t="s">
        <v>3065</v>
      </c>
      <c r="Q867" t="s">
        <v>3676</v>
      </c>
      <c r="R867">
        <v>211.73</v>
      </c>
      <c r="S867">
        <v>6</v>
      </c>
      <c r="T867">
        <v>0.05</v>
      </c>
      <c r="U867">
        <v>18.64</v>
      </c>
    </row>
    <row r="868" spans="1:21" x14ac:dyDescent="0.3">
      <c r="A868">
        <v>867</v>
      </c>
      <c r="B868" t="s">
        <v>887</v>
      </c>
      <c r="C868" s="2">
        <v>46010</v>
      </c>
      <c r="D868" s="2">
        <v>46011</v>
      </c>
      <c r="E868" t="s">
        <v>1522</v>
      </c>
      <c r="F868" t="s">
        <v>1870</v>
      </c>
      <c r="G868" t="s">
        <v>2029</v>
      </c>
      <c r="H868" t="s">
        <v>2314</v>
      </c>
      <c r="I868" t="s">
        <v>2317</v>
      </c>
      <c r="J868" t="s">
        <v>2321</v>
      </c>
      <c r="K868" t="s">
        <v>2321</v>
      </c>
      <c r="L868">
        <v>800823</v>
      </c>
      <c r="M868" t="s">
        <v>2329</v>
      </c>
      <c r="N868" t="s">
        <v>2484</v>
      </c>
      <c r="O868" t="s">
        <v>3053</v>
      </c>
      <c r="P868" t="s">
        <v>3056</v>
      </c>
      <c r="Q868" t="s">
        <v>3677</v>
      </c>
      <c r="R868">
        <v>442.15</v>
      </c>
      <c r="S868">
        <v>5</v>
      </c>
      <c r="T868">
        <v>0.3</v>
      </c>
      <c r="U868">
        <v>-33.64</v>
      </c>
    </row>
    <row r="869" spans="1:21" x14ac:dyDescent="0.3">
      <c r="A869">
        <v>868</v>
      </c>
      <c r="B869" t="s">
        <v>888</v>
      </c>
      <c r="C869" s="2">
        <v>45594</v>
      </c>
      <c r="D869" s="2">
        <v>45597</v>
      </c>
      <c r="E869" t="s">
        <v>1521</v>
      </c>
      <c r="F869" t="s">
        <v>1776</v>
      </c>
      <c r="G869" t="s">
        <v>2261</v>
      </c>
      <c r="H869" t="s">
        <v>2315</v>
      </c>
      <c r="I869" t="s">
        <v>2317</v>
      </c>
      <c r="J869" t="s">
        <v>2327</v>
      </c>
      <c r="K869" t="s">
        <v>2327</v>
      </c>
      <c r="L869">
        <v>943823</v>
      </c>
      <c r="M869" t="s">
        <v>2330</v>
      </c>
      <c r="N869" t="s">
        <v>2749</v>
      </c>
      <c r="O869" t="s">
        <v>3055</v>
      </c>
      <c r="P869" t="s">
        <v>3060</v>
      </c>
      <c r="Q869" t="s">
        <v>3678</v>
      </c>
      <c r="R869">
        <v>71.06</v>
      </c>
      <c r="S869">
        <v>8</v>
      </c>
      <c r="T869">
        <v>0</v>
      </c>
      <c r="U869">
        <v>5.55</v>
      </c>
    </row>
    <row r="870" spans="1:21" x14ac:dyDescent="0.3">
      <c r="A870">
        <v>869</v>
      </c>
      <c r="B870" t="s">
        <v>889</v>
      </c>
      <c r="C870" s="2">
        <v>45930</v>
      </c>
      <c r="D870" s="2">
        <v>45932</v>
      </c>
      <c r="E870" t="s">
        <v>1522</v>
      </c>
      <c r="F870" t="s">
        <v>1640</v>
      </c>
      <c r="G870" t="s">
        <v>2264</v>
      </c>
      <c r="H870" t="s">
        <v>2316</v>
      </c>
      <c r="I870" t="s">
        <v>2317</v>
      </c>
      <c r="J870" t="s">
        <v>2318</v>
      </c>
      <c r="K870" t="s">
        <v>2318</v>
      </c>
      <c r="L870">
        <v>152832</v>
      </c>
      <c r="M870" t="s">
        <v>2328</v>
      </c>
      <c r="N870" t="s">
        <v>2705</v>
      </c>
      <c r="O870" t="s">
        <v>3054</v>
      </c>
      <c r="P870" t="s">
        <v>3057</v>
      </c>
      <c r="Q870" t="s">
        <v>3460</v>
      </c>
      <c r="R870">
        <v>398.81</v>
      </c>
      <c r="S870">
        <v>8</v>
      </c>
      <c r="T870">
        <v>0.1</v>
      </c>
      <c r="U870">
        <v>23.54</v>
      </c>
    </row>
    <row r="871" spans="1:21" x14ac:dyDescent="0.3">
      <c r="A871">
        <v>870</v>
      </c>
      <c r="B871" t="s">
        <v>890</v>
      </c>
      <c r="C871" s="2">
        <v>45347</v>
      </c>
      <c r="D871" s="2">
        <v>45351</v>
      </c>
      <c r="E871" t="s">
        <v>1523</v>
      </c>
      <c r="F871" t="s">
        <v>1552</v>
      </c>
      <c r="G871" t="s">
        <v>2121</v>
      </c>
      <c r="H871" t="s">
        <v>2316</v>
      </c>
      <c r="I871" t="s">
        <v>2317</v>
      </c>
      <c r="J871" t="s">
        <v>2322</v>
      </c>
      <c r="K871" t="s">
        <v>2322</v>
      </c>
      <c r="L871">
        <v>318023</v>
      </c>
      <c r="M871" t="s">
        <v>2331</v>
      </c>
      <c r="N871" t="s">
        <v>2522</v>
      </c>
      <c r="O871" t="s">
        <v>3053</v>
      </c>
      <c r="P871" t="s">
        <v>3056</v>
      </c>
      <c r="Q871" t="s">
        <v>3679</v>
      </c>
      <c r="R871">
        <v>181.21</v>
      </c>
      <c r="S871">
        <v>4</v>
      </c>
      <c r="T871">
        <v>0.05</v>
      </c>
      <c r="U871">
        <v>6.98</v>
      </c>
    </row>
    <row r="872" spans="1:21" x14ac:dyDescent="0.3">
      <c r="A872">
        <v>871</v>
      </c>
      <c r="B872" t="s">
        <v>891</v>
      </c>
      <c r="C872" s="2">
        <v>46017</v>
      </c>
      <c r="D872" s="2">
        <v>46021</v>
      </c>
      <c r="E872" t="s">
        <v>1523</v>
      </c>
      <c r="F872" t="s">
        <v>1719</v>
      </c>
      <c r="G872" t="s">
        <v>2256</v>
      </c>
      <c r="H872" t="s">
        <v>2315</v>
      </c>
      <c r="I872" t="s">
        <v>2317</v>
      </c>
      <c r="J872" t="s">
        <v>2324</v>
      </c>
      <c r="K872" t="s">
        <v>2324</v>
      </c>
      <c r="L872">
        <v>705731</v>
      </c>
      <c r="M872" t="s">
        <v>2330</v>
      </c>
      <c r="N872" t="s">
        <v>2522</v>
      </c>
      <c r="O872" t="s">
        <v>3053</v>
      </c>
      <c r="P872" t="s">
        <v>3066</v>
      </c>
      <c r="Q872" t="s">
        <v>3680</v>
      </c>
      <c r="R872">
        <v>283.82</v>
      </c>
      <c r="S872">
        <v>5</v>
      </c>
      <c r="T872">
        <v>0.2</v>
      </c>
      <c r="U872">
        <v>-25.86</v>
      </c>
    </row>
    <row r="873" spans="1:21" x14ac:dyDescent="0.3">
      <c r="A873">
        <v>872</v>
      </c>
      <c r="B873" t="s">
        <v>892</v>
      </c>
      <c r="C873" s="2">
        <v>45817</v>
      </c>
      <c r="D873" s="2">
        <v>45819</v>
      </c>
      <c r="E873" t="s">
        <v>1523</v>
      </c>
      <c r="F873" t="s">
        <v>1628</v>
      </c>
      <c r="G873" t="s">
        <v>2061</v>
      </c>
      <c r="H873" t="s">
        <v>2314</v>
      </c>
      <c r="I873" t="s">
        <v>2317</v>
      </c>
      <c r="J873" t="s">
        <v>2323</v>
      </c>
      <c r="K873" t="s">
        <v>2323</v>
      </c>
      <c r="L873">
        <v>267659</v>
      </c>
      <c r="M873" t="s">
        <v>2328</v>
      </c>
      <c r="N873" t="s">
        <v>2677</v>
      </c>
      <c r="O873" t="s">
        <v>3055</v>
      </c>
      <c r="P873" t="s">
        <v>3059</v>
      </c>
      <c r="Q873" t="s">
        <v>3681</v>
      </c>
      <c r="R873">
        <v>216.34</v>
      </c>
      <c r="S873">
        <v>1</v>
      </c>
      <c r="T873">
        <v>0.1</v>
      </c>
      <c r="U873">
        <v>27.08</v>
      </c>
    </row>
    <row r="874" spans="1:21" x14ac:dyDescent="0.3">
      <c r="A874">
        <v>873</v>
      </c>
      <c r="B874" t="s">
        <v>893</v>
      </c>
      <c r="C874" s="2">
        <v>45765</v>
      </c>
      <c r="D874" s="2">
        <v>45768</v>
      </c>
      <c r="E874" t="s">
        <v>1521</v>
      </c>
      <c r="F874" t="s">
        <v>1702</v>
      </c>
      <c r="G874" t="s">
        <v>2285</v>
      </c>
      <c r="H874" t="s">
        <v>2316</v>
      </c>
      <c r="I874" t="s">
        <v>2317</v>
      </c>
      <c r="J874" t="s">
        <v>2320</v>
      </c>
      <c r="K874" t="s">
        <v>2320</v>
      </c>
      <c r="L874">
        <v>254125</v>
      </c>
      <c r="M874" t="s">
        <v>2330</v>
      </c>
      <c r="N874" t="s">
        <v>2821</v>
      </c>
      <c r="O874" t="s">
        <v>3054</v>
      </c>
      <c r="P874" t="s">
        <v>3064</v>
      </c>
      <c r="Q874" t="s">
        <v>3682</v>
      </c>
      <c r="R874">
        <v>63.28</v>
      </c>
      <c r="S874">
        <v>9</v>
      </c>
      <c r="T874">
        <v>0.2</v>
      </c>
      <c r="U874">
        <v>36.24</v>
      </c>
    </row>
    <row r="875" spans="1:21" x14ac:dyDescent="0.3">
      <c r="A875">
        <v>874</v>
      </c>
      <c r="B875" t="s">
        <v>894</v>
      </c>
      <c r="C875" s="2">
        <v>45319</v>
      </c>
      <c r="D875" s="2">
        <v>45324</v>
      </c>
      <c r="E875" t="s">
        <v>1523</v>
      </c>
      <c r="F875" t="s">
        <v>1880</v>
      </c>
      <c r="G875" t="s">
        <v>2159</v>
      </c>
      <c r="H875" t="s">
        <v>2316</v>
      </c>
      <c r="I875" t="s">
        <v>2317</v>
      </c>
      <c r="J875" t="s">
        <v>2323</v>
      </c>
      <c r="K875" t="s">
        <v>2323</v>
      </c>
      <c r="L875">
        <v>628222</v>
      </c>
      <c r="M875" t="s">
        <v>2328</v>
      </c>
      <c r="N875" t="s">
        <v>2567</v>
      </c>
      <c r="O875" t="s">
        <v>3055</v>
      </c>
      <c r="P875" t="s">
        <v>3061</v>
      </c>
      <c r="Q875" t="s">
        <v>3289</v>
      </c>
      <c r="R875">
        <v>261.95</v>
      </c>
      <c r="S875">
        <v>5</v>
      </c>
      <c r="T875">
        <v>0.2</v>
      </c>
      <c r="U875">
        <v>0.5</v>
      </c>
    </row>
    <row r="876" spans="1:21" x14ac:dyDescent="0.3">
      <c r="A876">
        <v>875</v>
      </c>
      <c r="B876" t="s">
        <v>895</v>
      </c>
      <c r="C876" s="2">
        <v>45369</v>
      </c>
      <c r="D876" s="2">
        <v>45372</v>
      </c>
      <c r="E876" t="s">
        <v>1524</v>
      </c>
      <c r="F876" t="s">
        <v>1857</v>
      </c>
      <c r="G876" t="s">
        <v>2285</v>
      </c>
      <c r="H876" t="s">
        <v>2316</v>
      </c>
      <c r="I876" t="s">
        <v>2317</v>
      </c>
      <c r="J876" t="s">
        <v>2319</v>
      </c>
      <c r="K876" t="s">
        <v>2319</v>
      </c>
      <c r="L876">
        <v>309820</v>
      </c>
      <c r="M876" t="s">
        <v>2329</v>
      </c>
      <c r="N876" t="s">
        <v>2348</v>
      </c>
      <c r="O876" t="s">
        <v>3054</v>
      </c>
      <c r="P876" t="s">
        <v>3063</v>
      </c>
      <c r="Q876" t="s">
        <v>3522</v>
      </c>
      <c r="R876">
        <v>80.52</v>
      </c>
      <c r="S876">
        <v>3</v>
      </c>
      <c r="T876">
        <v>0.1</v>
      </c>
      <c r="U876">
        <v>30.33</v>
      </c>
    </row>
    <row r="877" spans="1:21" x14ac:dyDescent="0.3">
      <c r="A877">
        <v>876</v>
      </c>
      <c r="B877" t="s">
        <v>896</v>
      </c>
      <c r="C877" s="2">
        <v>45507</v>
      </c>
      <c r="D877" s="2">
        <v>45510</v>
      </c>
      <c r="E877" t="s">
        <v>1524</v>
      </c>
      <c r="F877" t="s">
        <v>1884</v>
      </c>
      <c r="G877" t="s">
        <v>2144</v>
      </c>
      <c r="H877" t="s">
        <v>2315</v>
      </c>
      <c r="I877" t="s">
        <v>2317</v>
      </c>
      <c r="J877" t="s">
        <v>2318</v>
      </c>
      <c r="K877" t="s">
        <v>2318</v>
      </c>
      <c r="L877">
        <v>724257</v>
      </c>
      <c r="M877" t="s">
        <v>2328</v>
      </c>
      <c r="N877" t="s">
        <v>2807</v>
      </c>
      <c r="O877" t="s">
        <v>3053</v>
      </c>
      <c r="P877" t="s">
        <v>3056</v>
      </c>
      <c r="Q877" t="s">
        <v>3094</v>
      </c>
      <c r="R877">
        <v>211.79</v>
      </c>
      <c r="S877">
        <v>1</v>
      </c>
      <c r="T877">
        <v>0.05</v>
      </c>
      <c r="U877">
        <v>-13.42</v>
      </c>
    </row>
    <row r="878" spans="1:21" x14ac:dyDescent="0.3">
      <c r="A878">
        <v>877</v>
      </c>
      <c r="B878" t="s">
        <v>897</v>
      </c>
      <c r="C878" s="2">
        <v>45677</v>
      </c>
      <c r="D878" s="2">
        <v>45681</v>
      </c>
      <c r="E878" t="s">
        <v>1523</v>
      </c>
      <c r="F878" t="s">
        <v>1794</v>
      </c>
      <c r="G878" t="s">
        <v>2233</v>
      </c>
      <c r="H878" t="s">
        <v>2314</v>
      </c>
      <c r="I878" t="s">
        <v>2317</v>
      </c>
      <c r="J878" t="s">
        <v>2319</v>
      </c>
      <c r="K878" t="s">
        <v>2319</v>
      </c>
      <c r="L878">
        <v>126245</v>
      </c>
      <c r="M878" t="s">
        <v>2329</v>
      </c>
      <c r="N878" t="s">
        <v>2878</v>
      </c>
      <c r="O878" t="s">
        <v>3055</v>
      </c>
      <c r="P878" t="s">
        <v>3059</v>
      </c>
      <c r="Q878" t="s">
        <v>3683</v>
      </c>
      <c r="R878">
        <v>581.76</v>
      </c>
      <c r="S878">
        <v>8</v>
      </c>
      <c r="T878">
        <v>0.1</v>
      </c>
      <c r="U878">
        <v>82.05</v>
      </c>
    </row>
    <row r="879" spans="1:21" x14ac:dyDescent="0.3">
      <c r="A879">
        <v>878</v>
      </c>
      <c r="B879" t="s">
        <v>898</v>
      </c>
      <c r="C879" s="2">
        <v>45656</v>
      </c>
      <c r="D879" s="2">
        <v>45659</v>
      </c>
      <c r="E879" t="s">
        <v>1524</v>
      </c>
      <c r="F879" t="s">
        <v>1528</v>
      </c>
      <c r="G879" t="s">
        <v>2088</v>
      </c>
      <c r="H879" t="s">
        <v>2316</v>
      </c>
      <c r="I879" t="s">
        <v>2317</v>
      </c>
      <c r="J879" t="s">
        <v>2321</v>
      </c>
      <c r="K879" t="s">
        <v>2321</v>
      </c>
      <c r="L879">
        <v>454824</v>
      </c>
      <c r="M879" t="s">
        <v>2329</v>
      </c>
      <c r="N879" t="s">
        <v>2831</v>
      </c>
      <c r="O879" t="s">
        <v>3054</v>
      </c>
      <c r="P879" t="s">
        <v>3063</v>
      </c>
      <c r="Q879" t="s">
        <v>3079</v>
      </c>
      <c r="R879">
        <v>39.81</v>
      </c>
      <c r="S879">
        <v>6</v>
      </c>
      <c r="T879">
        <v>0.2</v>
      </c>
      <c r="U879">
        <v>14.24</v>
      </c>
    </row>
    <row r="880" spans="1:21" x14ac:dyDescent="0.3">
      <c r="A880">
        <v>879</v>
      </c>
      <c r="B880" t="s">
        <v>899</v>
      </c>
      <c r="C880" s="2">
        <v>45957</v>
      </c>
      <c r="D880" s="2">
        <v>45959</v>
      </c>
      <c r="E880" t="s">
        <v>1521</v>
      </c>
      <c r="F880" t="s">
        <v>1536</v>
      </c>
      <c r="G880" t="s">
        <v>2039</v>
      </c>
      <c r="H880" t="s">
        <v>2315</v>
      </c>
      <c r="I880" t="s">
        <v>2317</v>
      </c>
      <c r="J880" t="s">
        <v>2318</v>
      </c>
      <c r="K880" t="s">
        <v>2318</v>
      </c>
      <c r="L880">
        <v>168625</v>
      </c>
      <c r="M880" t="s">
        <v>2328</v>
      </c>
      <c r="N880" t="s">
        <v>2879</v>
      </c>
      <c r="O880" t="s">
        <v>3053</v>
      </c>
      <c r="P880" t="s">
        <v>3062</v>
      </c>
      <c r="Q880" t="s">
        <v>3218</v>
      </c>
      <c r="R880">
        <v>82.04</v>
      </c>
      <c r="S880">
        <v>4</v>
      </c>
      <c r="T880">
        <v>0.2</v>
      </c>
      <c r="U880">
        <v>-19.3</v>
      </c>
    </row>
    <row r="881" spans="1:21" x14ac:dyDescent="0.3">
      <c r="A881">
        <v>880</v>
      </c>
      <c r="B881" t="s">
        <v>900</v>
      </c>
      <c r="C881" s="2">
        <v>45817</v>
      </c>
      <c r="D881" s="2">
        <v>45819</v>
      </c>
      <c r="E881" t="s">
        <v>1524</v>
      </c>
      <c r="F881" t="s">
        <v>1705</v>
      </c>
      <c r="G881" t="s">
        <v>2008</v>
      </c>
      <c r="H881" t="s">
        <v>2314</v>
      </c>
      <c r="I881" t="s">
        <v>2317</v>
      </c>
      <c r="J881" t="s">
        <v>2318</v>
      </c>
      <c r="K881" t="s">
        <v>2318</v>
      </c>
      <c r="L881">
        <v>683900</v>
      </c>
      <c r="M881" t="s">
        <v>2328</v>
      </c>
      <c r="N881" t="s">
        <v>2737</v>
      </c>
      <c r="O881" t="s">
        <v>3054</v>
      </c>
      <c r="P881" t="s">
        <v>3058</v>
      </c>
      <c r="Q881" t="s">
        <v>3303</v>
      </c>
      <c r="R881">
        <v>87.12</v>
      </c>
      <c r="S881">
        <v>8</v>
      </c>
      <c r="T881">
        <v>0.1</v>
      </c>
      <c r="U881">
        <v>-2.5299999999999998</v>
      </c>
    </row>
    <row r="882" spans="1:21" x14ac:dyDescent="0.3">
      <c r="A882">
        <v>881</v>
      </c>
      <c r="B882" t="s">
        <v>901</v>
      </c>
      <c r="C882" s="2">
        <v>45990</v>
      </c>
      <c r="D882" s="2">
        <v>45994</v>
      </c>
      <c r="E882" t="s">
        <v>1522</v>
      </c>
      <c r="F882" t="s">
        <v>1764</v>
      </c>
      <c r="G882" t="s">
        <v>1989</v>
      </c>
      <c r="H882" t="s">
        <v>2316</v>
      </c>
      <c r="I882" t="s">
        <v>2317</v>
      </c>
      <c r="J882" t="s">
        <v>2319</v>
      </c>
      <c r="K882" t="s">
        <v>2319</v>
      </c>
      <c r="L882">
        <v>277182</v>
      </c>
      <c r="M882" t="s">
        <v>2329</v>
      </c>
      <c r="N882" t="s">
        <v>2880</v>
      </c>
      <c r="O882" t="s">
        <v>3054</v>
      </c>
      <c r="P882" t="s">
        <v>3058</v>
      </c>
      <c r="Q882" t="s">
        <v>3684</v>
      </c>
      <c r="R882">
        <v>82.04</v>
      </c>
      <c r="S882">
        <v>3</v>
      </c>
      <c r="T882">
        <v>0</v>
      </c>
      <c r="U882">
        <v>-2.38</v>
      </c>
    </row>
    <row r="883" spans="1:21" x14ac:dyDescent="0.3">
      <c r="A883">
        <v>882</v>
      </c>
      <c r="B883" t="s">
        <v>902</v>
      </c>
      <c r="C883" s="2">
        <v>45603</v>
      </c>
      <c r="D883" s="2">
        <v>45606</v>
      </c>
      <c r="E883" t="s">
        <v>1524</v>
      </c>
      <c r="F883" t="s">
        <v>1890</v>
      </c>
      <c r="G883" t="s">
        <v>1978</v>
      </c>
      <c r="H883" t="s">
        <v>2315</v>
      </c>
      <c r="I883" t="s">
        <v>2317</v>
      </c>
      <c r="J883" t="s">
        <v>2326</v>
      </c>
      <c r="K883" t="s">
        <v>2326</v>
      </c>
      <c r="L883">
        <v>285915</v>
      </c>
      <c r="M883" t="s">
        <v>2331</v>
      </c>
      <c r="N883" t="s">
        <v>2881</v>
      </c>
      <c r="O883" t="s">
        <v>3054</v>
      </c>
      <c r="P883" t="s">
        <v>3064</v>
      </c>
      <c r="Q883" t="s">
        <v>3685</v>
      </c>
      <c r="R883">
        <v>51.28</v>
      </c>
      <c r="S883">
        <v>2</v>
      </c>
      <c r="T883">
        <v>0.05</v>
      </c>
      <c r="U883">
        <v>-19.78</v>
      </c>
    </row>
    <row r="884" spans="1:21" x14ac:dyDescent="0.3">
      <c r="A884">
        <v>883</v>
      </c>
      <c r="B884" t="s">
        <v>903</v>
      </c>
      <c r="C884" s="2">
        <v>45298</v>
      </c>
      <c r="D884" s="2">
        <v>45301</v>
      </c>
      <c r="E884" t="s">
        <v>1521</v>
      </c>
      <c r="F884" t="s">
        <v>1564</v>
      </c>
      <c r="G884" t="s">
        <v>2177</v>
      </c>
      <c r="H884" t="s">
        <v>2314</v>
      </c>
      <c r="I884" t="s">
        <v>2317</v>
      </c>
      <c r="J884" t="s">
        <v>2319</v>
      </c>
      <c r="K884" t="s">
        <v>2319</v>
      </c>
      <c r="L884">
        <v>436837</v>
      </c>
      <c r="M884" t="s">
        <v>2329</v>
      </c>
      <c r="N884" t="s">
        <v>2882</v>
      </c>
      <c r="O884" t="s">
        <v>3055</v>
      </c>
      <c r="P884" t="s">
        <v>3061</v>
      </c>
      <c r="Q884" t="s">
        <v>3163</v>
      </c>
      <c r="R884">
        <v>942.86</v>
      </c>
      <c r="S884">
        <v>8</v>
      </c>
      <c r="T884">
        <v>0.1</v>
      </c>
      <c r="U884">
        <v>108.19</v>
      </c>
    </row>
    <row r="885" spans="1:21" x14ac:dyDescent="0.3">
      <c r="A885">
        <v>884</v>
      </c>
      <c r="B885" t="s">
        <v>904</v>
      </c>
      <c r="C885" s="2">
        <v>45294</v>
      </c>
      <c r="D885" s="2">
        <v>45297</v>
      </c>
      <c r="E885" t="s">
        <v>1522</v>
      </c>
      <c r="F885" t="s">
        <v>1571</v>
      </c>
      <c r="G885" t="s">
        <v>2216</v>
      </c>
      <c r="H885" t="s">
        <v>2315</v>
      </c>
      <c r="I885" t="s">
        <v>2317</v>
      </c>
      <c r="J885" t="s">
        <v>2323</v>
      </c>
      <c r="K885" t="s">
        <v>2323</v>
      </c>
      <c r="L885">
        <v>638908</v>
      </c>
      <c r="M885" t="s">
        <v>2328</v>
      </c>
      <c r="N885" t="s">
        <v>2470</v>
      </c>
      <c r="O885" t="s">
        <v>3054</v>
      </c>
      <c r="P885" t="s">
        <v>3058</v>
      </c>
      <c r="Q885" t="s">
        <v>3686</v>
      </c>
      <c r="R885">
        <v>70.010000000000005</v>
      </c>
      <c r="S885">
        <v>9</v>
      </c>
      <c r="T885">
        <v>0</v>
      </c>
      <c r="U885">
        <v>6.9</v>
      </c>
    </row>
    <row r="886" spans="1:21" x14ac:dyDescent="0.3">
      <c r="A886">
        <v>885</v>
      </c>
      <c r="B886" t="s">
        <v>905</v>
      </c>
      <c r="C886" s="2">
        <v>45914</v>
      </c>
      <c r="D886" s="2">
        <v>45917</v>
      </c>
      <c r="E886" t="s">
        <v>1523</v>
      </c>
      <c r="F886" t="s">
        <v>1618</v>
      </c>
      <c r="G886" t="s">
        <v>2286</v>
      </c>
      <c r="H886" t="s">
        <v>2316</v>
      </c>
      <c r="I886" t="s">
        <v>2317</v>
      </c>
      <c r="J886" t="s">
        <v>2326</v>
      </c>
      <c r="K886" t="s">
        <v>2326</v>
      </c>
      <c r="L886">
        <v>242049</v>
      </c>
      <c r="M886" t="s">
        <v>2331</v>
      </c>
      <c r="N886" t="s">
        <v>2569</v>
      </c>
      <c r="O886" t="s">
        <v>3053</v>
      </c>
      <c r="P886" t="s">
        <v>3066</v>
      </c>
      <c r="Q886" t="s">
        <v>3425</v>
      </c>
      <c r="R886">
        <v>277.81</v>
      </c>
      <c r="S886">
        <v>1</v>
      </c>
      <c r="T886">
        <v>0.1</v>
      </c>
      <c r="U886">
        <v>-10.72</v>
      </c>
    </row>
    <row r="887" spans="1:21" x14ac:dyDescent="0.3">
      <c r="A887">
        <v>886</v>
      </c>
      <c r="B887" t="s">
        <v>906</v>
      </c>
      <c r="C887" s="2">
        <v>45654</v>
      </c>
      <c r="D887" s="2">
        <v>45657</v>
      </c>
      <c r="E887" t="s">
        <v>1521</v>
      </c>
      <c r="F887" t="s">
        <v>1778</v>
      </c>
      <c r="G887" t="s">
        <v>2066</v>
      </c>
      <c r="H887" t="s">
        <v>2315</v>
      </c>
      <c r="I887" t="s">
        <v>2317</v>
      </c>
      <c r="J887" t="s">
        <v>2323</v>
      </c>
      <c r="K887" t="s">
        <v>2323</v>
      </c>
      <c r="L887">
        <v>579894</v>
      </c>
      <c r="M887" t="s">
        <v>2328</v>
      </c>
      <c r="N887" t="s">
        <v>2600</v>
      </c>
      <c r="O887" t="s">
        <v>3054</v>
      </c>
      <c r="P887" t="s">
        <v>3058</v>
      </c>
      <c r="Q887" t="s">
        <v>3379</v>
      </c>
      <c r="R887">
        <v>60.15</v>
      </c>
      <c r="S887">
        <v>3</v>
      </c>
      <c r="T887">
        <v>0.15</v>
      </c>
      <c r="U887">
        <v>-22.61</v>
      </c>
    </row>
    <row r="888" spans="1:21" x14ac:dyDescent="0.3">
      <c r="A888">
        <v>887</v>
      </c>
      <c r="B888" t="s">
        <v>907</v>
      </c>
      <c r="C888" s="2">
        <v>45799</v>
      </c>
      <c r="D888" s="2">
        <v>45803</v>
      </c>
      <c r="E888" t="s">
        <v>1524</v>
      </c>
      <c r="F888" t="s">
        <v>1891</v>
      </c>
      <c r="G888" t="s">
        <v>2205</v>
      </c>
      <c r="H888" t="s">
        <v>2314</v>
      </c>
      <c r="I888" t="s">
        <v>2317</v>
      </c>
      <c r="J888" t="s">
        <v>2321</v>
      </c>
      <c r="K888" t="s">
        <v>2321</v>
      </c>
      <c r="L888">
        <v>768465</v>
      </c>
      <c r="M888" t="s">
        <v>2329</v>
      </c>
      <c r="N888" t="s">
        <v>2468</v>
      </c>
      <c r="O888" t="s">
        <v>3054</v>
      </c>
      <c r="P888" t="s">
        <v>3064</v>
      </c>
      <c r="Q888" t="s">
        <v>3687</v>
      </c>
      <c r="R888">
        <v>61.68</v>
      </c>
      <c r="S888">
        <v>5</v>
      </c>
      <c r="T888">
        <v>0.15</v>
      </c>
      <c r="U888">
        <v>-8.57</v>
      </c>
    </row>
    <row r="889" spans="1:21" x14ac:dyDescent="0.3">
      <c r="A889">
        <v>888</v>
      </c>
      <c r="B889" t="s">
        <v>908</v>
      </c>
      <c r="C889" s="2">
        <v>45565</v>
      </c>
      <c r="D889" s="2">
        <v>45567</v>
      </c>
      <c r="E889" t="s">
        <v>1521</v>
      </c>
      <c r="F889" t="s">
        <v>1732</v>
      </c>
      <c r="G889" t="s">
        <v>2254</v>
      </c>
      <c r="H889" t="s">
        <v>2314</v>
      </c>
      <c r="I889" t="s">
        <v>2317</v>
      </c>
      <c r="J889" t="s">
        <v>2320</v>
      </c>
      <c r="K889" t="s">
        <v>2320</v>
      </c>
      <c r="L889">
        <v>606906</v>
      </c>
      <c r="M889" t="s">
        <v>2330</v>
      </c>
      <c r="N889" t="s">
        <v>2883</v>
      </c>
      <c r="O889" t="s">
        <v>3054</v>
      </c>
      <c r="P889" t="s">
        <v>3064</v>
      </c>
      <c r="Q889" t="s">
        <v>3688</v>
      </c>
      <c r="R889">
        <v>99.68</v>
      </c>
      <c r="S889">
        <v>1</v>
      </c>
      <c r="T889">
        <v>0.15</v>
      </c>
      <c r="U889">
        <v>-18.64</v>
      </c>
    </row>
    <row r="890" spans="1:21" x14ac:dyDescent="0.3">
      <c r="A890">
        <v>889</v>
      </c>
      <c r="B890" t="s">
        <v>909</v>
      </c>
      <c r="C890" s="2">
        <v>45797</v>
      </c>
      <c r="D890" s="2">
        <v>45801</v>
      </c>
      <c r="E890" t="s">
        <v>1521</v>
      </c>
      <c r="F890" t="s">
        <v>1568</v>
      </c>
      <c r="G890" t="s">
        <v>2034</v>
      </c>
      <c r="H890" t="s">
        <v>2316</v>
      </c>
      <c r="I890" t="s">
        <v>2317</v>
      </c>
      <c r="J890" t="s">
        <v>2325</v>
      </c>
      <c r="K890" t="s">
        <v>2325</v>
      </c>
      <c r="L890">
        <v>857861</v>
      </c>
      <c r="M890" t="s">
        <v>2332</v>
      </c>
      <c r="N890" t="s">
        <v>2509</v>
      </c>
      <c r="O890" t="s">
        <v>3053</v>
      </c>
      <c r="P890" t="s">
        <v>3056</v>
      </c>
      <c r="Q890" t="s">
        <v>3689</v>
      </c>
      <c r="R890">
        <v>115.48</v>
      </c>
      <c r="S890">
        <v>9</v>
      </c>
      <c r="T890">
        <v>0.2</v>
      </c>
      <c r="U890">
        <v>-64.45</v>
      </c>
    </row>
    <row r="891" spans="1:21" x14ac:dyDescent="0.3">
      <c r="A891">
        <v>890</v>
      </c>
      <c r="B891" t="s">
        <v>910</v>
      </c>
      <c r="C891" s="2">
        <v>45306</v>
      </c>
      <c r="D891" s="2">
        <v>45309</v>
      </c>
      <c r="E891" t="s">
        <v>1522</v>
      </c>
      <c r="F891" t="s">
        <v>1692</v>
      </c>
      <c r="G891" t="s">
        <v>1942</v>
      </c>
      <c r="H891" t="s">
        <v>2314</v>
      </c>
      <c r="I891" t="s">
        <v>2317</v>
      </c>
      <c r="J891" t="s">
        <v>2326</v>
      </c>
      <c r="K891" t="s">
        <v>2326</v>
      </c>
      <c r="L891">
        <v>161700</v>
      </c>
      <c r="M891" t="s">
        <v>2331</v>
      </c>
      <c r="N891" t="s">
        <v>2596</v>
      </c>
      <c r="O891" t="s">
        <v>3053</v>
      </c>
      <c r="P891" t="s">
        <v>3062</v>
      </c>
      <c r="Q891" t="s">
        <v>3347</v>
      </c>
      <c r="R891">
        <v>331.53</v>
      </c>
      <c r="S891">
        <v>6</v>
      </c>
      <c r="T891">
        <v>0.05</v>
      </c>
      <c r="U891">
        <v>62.77</v>
      </c>
    </row>
    <row r="892" spans="1:21" x14ac:dyDescent="0.3">
      <c r="A892">
        <v>891</v>
      </c>
      <c r="B892" t="s">
        <v>911</v>
      </c>
      <c r="C892" s="2">
        <v>45483</v>
      </c>
      <c r="D892" s="2">
        <v>45485</v>
      </c>
      <c r="E892" t="s">
        <v>1523</v>
      </c>
      <c r="F892" t="s">
        <v>1682</v>
      </c>
      <c r="G892" t="s">
        <v>2287</v>
      </c>
      <c r="H892" t="s">
        <v>2314</v>
      </c>
      <c r="I892" t="s">
        <v>2317</v>
      </c>
      <c r="J892" t="s">
        <v>2321</v>
      </c>
      <c r="K892" t="s">
        <v>2321</v>
      </c>
      <c r="L892">
        <v>709451</v>
      </c>
      <c r="M892" t="s">
        <v>2329</v>
      </c>
      <c r="N892" t="s">
        <v>2516</v>
      </c>
      <c r="O892" t="s">
        <v>3055</v>
      </c>
      <c r="P892" t="s">
        <v>3060</v>
      </c>
      <c r="Q892" t="s">
        <v>3690</v>
      </c>
      <c r="R892">
        <v>162.81</v>
      </c>
      <c r="S892">
        <v>6</v>
      </c>
      <c r="T892">
        <v>0.15</v>
      </c>
      <c r="U892">
        <v>13.68</v>
      </c>
    </row>
    <row r="893" spans="1:21" x14ac:dyDescent="0.3">
      <c r="A893">
        <v>892</v>
      </c>
      <c r="B893" t="s">
        <v>912</v>
      </c>
      <c r="C893" s="2">
        <v>45922</v>
      </c>
      <c r="D893" s="2">
        <v>45924</v>
      </c>
      <c r="E893" t="s">
        <v>1521</v>
      </c>
      <c r="F893" t="s">
        <v>1673</v>
      </c>
      <c r="G893" t="s">
        <v>1968</v>
      </c>
      <c r="H893" t="s">
        <v>2314</v>
      </c>
      <c r="I893" t="s">
        <v>2317</v>
      </c>
      <c r="J893" t="s">
        <v>2324</v>
      </c>
      <c r="K893" t="s">
        <v>2324</v>
      </c>
      <c r="L893">
        <v>441147</v>
      </c>
      <c r="M893" t="s">
        <v>2330</v>
      </c>
      <c r="N893" t="s">
        <v>2347</v>
      </c>
      <c r="O893" t="s">
        <v>3054</v>
      </c>
      <c r="P893" t="s">
        <v>3064</v>
      </c>
      <c r="Q893" t="s">
        <v>3085</v>
      </c>
      <c r="R893">
        <v>45.88</v>
      </c>
      <c r="S893">
        <v>4</v>
      </c>
      <c r="T893">
        <v>0.1</v>
      </c>
      <c r="U893">
        <v>-1.1100000000000001</v>
      </c>
    </row>
    <row r="894" spans="1:21" x14ac:dyDescent="0.3">
      <c r="A894">
        <v>893</v>
      </c>
      <c r="B894" t="s">
        <v>913</v>
      </c>
      <c r="C894" s="2">
        <v>45776</v>
      </c>
      <c r="D894" s="2">
        <v>45781</v>
      </c>
      <c r="E894" t="s">
        <v>1523</v>
      </c>
      <c r="F894" t="s">
        <v>1794</v>
      </c>
      <c r="G894" t="s">
        <v>2230</v>
      </c>
      <c r="H894" t="s">
        <v>2316</v>
      </c>
      <c r="I894" t="s">
        <v>2317</v>
      </c>
      <c r="J894" t="s">
        <v>2321</v>
      </c>
      <c r="K894" t="s">
        <v>2321</v>
      </c>
      <c r="L894">
        <v>141716</v>
      </c>
      <c r="M894" t="s">
        <v>2329</v>
      </c>
      <c r="N894" t="s">
        <v>2882</v>
      </c>
      <c r="O894" t="s">
        <v>3053</v>
      </c>
      <c r="P894" t="s">
        <v>3056</v>
      </c>
      <c r="Q894" t="s">
        <v>3253</v>
      </c>
      <c r="R894">
        <v>576.99</v>
      </c>
      <c r="S894">
        <v>3</v>
      </c>
      <c r="T894">
        <v>0.1</v>
      </c>
      <c r="U894">
        <v>-35.42</v>
      </c>
    </row>
    <row r="895" spans="1:21" x14ac:dyDescent="0.3">
      <c r="A895">
        <v>894</v>
      </c>
      <c r="B895" t="s">
        <v>914</v>
      </c>
      <c r="C895" s="2">
        <v>45319</v>
      </c>
      <c r="D895" s="2">
        <v>45322</v>
      </c>
      <c r="E895" t="s">
        <v>1522</v>
      </c>
      <c r="F895" t="s">
        <v>1806</v>
      </c>
      <c r="G895" t="s">
        <v>2221</v>
      </c>
      <c r="H895" t="s">
        <v>2314</v>
      </c>
      <c r="I895" t="s">
        <v>2317</v>
      </c>
      <c r="J895" t="s">
        <v>2319</v>
      </c>
      <c r="K895" t="s">
        <v>2319</v>
      </c>
      <c r="L895">
        <v>635518</v>
      </c>
      <c r="M895" t="s">
        <v>2329</v>
      </c>
      <c r="N895" t="s">
        <v>2720</v>
      </c>
      <c r="O895" t="s">
        <v>3053</v>
      </c>
      <c r="P895" t="s">
        <v>3065</v>
      </c>
      <c r="Q895" t="s">
        <v>3646</v>
      </c>
      <c r="R895">
        <v>142.04</v>
      </c>
      <c r="S895">
        <v>2</v>
      </c>
      <c r="T895">
        <v>0.2</v>
      </c>
      <c r="U895">
        <v>78.290000000000006</v>
      </c>
    </row>
    <row r="896" spans="1:21" x14ac:dyDescent="0.3">
      <c r="A896">
        <v>895</v>
      </c>
      <c r="B896" t="s">
        <v>915</v>
      </c>
      <c r="C896" s="2">
        <v>46005</v>
      </c>
      <c r="D896" s="2">
        <v>46008</v>
      </c>
      <c r="E896" t="s">
        <v>1524</v>
      </c>
      <c r="F896" t="s">
        <v>1812</v>
      </c>
      <c r="G896" t="s">
        <v>2122</v>
      </c>
      <c r="H896" t="s">
        <v>2316</v>
      </c>
      <c r="I896" t="s">
        <v>2317</v>
      </c>
      <c r="J896" t="s">
        <v>2319</v>
      </c>
      <c r="K896" t="s">
        <v>2319</v>
      </c>
      <c r="L896">
        <v>851580</v>
      </c>
      <c r="M896" t="s">
        <v>2329</v>
      </c>
      <c r="N896" t="s">
        <v>2568</v>
      </c>
      <c r="O896" t="s">
        <v>3054</v>
      </c>
      <c r="P896" t="s">
        <v>3058</v>
      </c>
      <c r="Q896" t="s">
        <v>3561</v>
      </c>
      <c r="R896">
        <v>52.15</v>
      </c>
      <c r="S896">
        <v>1</v>
      </c>
      <c r="T896">
        <v>0.4</v>
      </c>
      <c r="U896">
        <v>-30.13</v>
      </c>
    </row>
    <row r="897" spans="1:21" x14ac:dyDescent="0.3">
      <c r="A897">
        <v>896</v>
      </c>
      <c r="B897" t="s">
        <v>916</v>
      </c>
      <c r="C897" s="2">
        <v>45330</v>
      </c>
      <c r="D897" s="2">
        <v>45332</v>
      </c>
      <c r="E897" t="s">
        <v>1523</v>
      </c>
      <c r="F897" t="s">
        <v>1682</v>
      </c>
      <c r="G897" t="s">
        <v>2019</v>
      </c>
      <c r="H897" t="s">
        <v>2314</v>
      </c>
      <c r="I897" t="s">
        <v>2317</v>
      </c>
      <c r="J897" t="s">
        <v>2325</v>
      </c>
      <c r="K897" t="s">
        <v>2325</v>
      </c>
      <c r="L897">
        <v>495124</v>
      </c>
      <c r="M897" t="s">
        <v>2332</v>
      </c>
      <c r="N897" t="s">
        <v>2884</v>
      </c>
      <c r="O897" t="s">
        <v>3053</v>
      </c>
      <c r="P897" t="s">
        <v>3062</v>
      </c>
      <c r="Q897" t="s">
        <v>3215</v>
      </c>
      <c r="R897">
        <v>141.74</v>
      </c>
      <c r="S897">
        <v>7</v>
      </c>
      <c r="T897">
        <v>0.15</v>
      </c>
      <c r="U897">
        <v>1.02</v>
      </c>
    </row>
    <row r="898" spans="1:21" x14ac:dyDescent="0.3">
      <c r="A898">
        <v>897</v>
      </c>
      <c r="B898" t="s">
        <v>917</v>
      </c>
      <c r="C898" s="2">
        <v>45564</v>
      </c>
      <c r="D898" s="2">
        <v>45568</v>
      </c>
      <c r="E898" t="s">
        <v>1522</v>
      </c>
      <c r="F898" t="s">
        <v>1892</v>
      </c>
      <c r="G898" t="s">
        <v>2271</v>
      </c>
      <c r="H898" t="s">
        <v>2315</v>
      </c>
      <c r="I898" t="s">
        <v>2317</v>
      </c>
      <c r="J898" t="s">
        <v>2321</v>
      </c>
      <c r="K898" t="s">
        <v>2321</v>
      </c>
      <c r="L898">
        <v>567216</v>
      </c>
      <c r="M898" t="s">
        <v>2329</v>
      </c>
      <c r="N898" t="s">
        <v>2885</v>
      </c>
      <c r="O898" t="s">
        <v>3055</v>
      </c>
      <c r="P898" t="s">
        <v>3067</v>
      </c>
      <c r="Q898" t="s">
        <v>3328</v>
      </c>
      <c r="R898">
        <v>139.12</v>
      </c>
      <c r="S898">
        <v>1</v>
      </c>
      <c r="T898">
        <v>0.2</v>
      </c>
      <c r="U898">
        <v>12.56</v>
      </c>
    </row>
    <row r="899" spans="1:21" x14ac:dyDescent="0.3">
      <c r="A899">
        <v>898</v>
      </c>
      <c r="B899" t="s">
        <v>918</v>
      </c>
      <c r="C899" s="2">
        <v>45522</v>
      </c>
      <c r="D899" s="2">
        <v>45528</v>
      </c>
      <c r="E899" t="s">
        <v>1523</v>
      </c>
      <c r="F899" t="s">
        <v>1720</v>
      </c>
      <c r="G899" t="s">
        <v>2236</v>
      </c>
      <c r="H899" t="s">
        <v>2315</v>
      </c>
      <c r="I899" t="s">
        <v>2317</v>
      </c>
      <c r="J899" t="s">
        <v>2327</v>
      </c>
      <c r="K899" t="s">
        <v>2327</v>
      </c>
      <c r="L899">
        <v>315616</v>
      </c>
      <c r="M899" t="s">
        <v>2330</v>
      </c>
      <c r="N899" t="s">
        <v>2886</v>
      </c>
      <c r="O899" t="s">
        <v>3053</v>
      </c>
      <c r="P899" t="s">
        <v>3065</v>
      </c>
      <c r="Q899" t="s">
        <v>3691</v>
      </c>
      <c r="R899">
        <v>256.07</v>
      </c>
      <c r="S899">
        <v>2</v>
      </c>
      <c r="T899">
        <v>0.05</v>
      </c>
      <c r="U899">
        <v>74.05</v>
      </c>
    </row>
    <row r="900" spans="1:21" x14ac:dyDescent="0.3">
      <c r="A900">
        <v>899</v>
      </c>
      <c r="B900" t="s">
        <v>919</v>
      </c>
      <c r="C900" s="2">
        <v>45377</v>
      </c>
      <c r="D900" s="2">
        <v>45381</v>
      </c>
      <c r="E900" t="s">
        <v>1521</v>
      </c>
      <c r="F900" t="s">
        <v>1526</v>
      </c>
      <c r="G900" t="s">
        <v>2288</v>
      </c>
      <c r="H900" t="s">
        <v>2316</v>
      </c>
      <c r="I900" t="s">
        <v>2317</v>
      </c>
      <c r="J900" t="s">
        <v>2320</v>
      </c>
      <c r="K900" t="s">
        <v>2320</v>
      </c>
      <c r="L900">
        <v>327977</v>
      </c>
      <c r="M900" t="s">
        <v>2330</v>
      </c>
      <c r="N900" t="s">
        <v>2887</v>
      </c>
      <c r="O900" t="s">
        <v>3053</v>
      </c>
      <c r="P900" t="s">
        <v>3062</v>
      </c>
      <c r="Q900" t="s">
        <v>3692</v>
      </c>
      <c r="R900">
        <v>566.35</v>
      </c>
      <c r="S900">
        <v>4</v>
      </c>
      <c r="T900">
        <v>0.2</v>
      </c>
      <c r="U900">
        <v>47.02</v>
      </c>
    </row>
    <row r="901" spans="1:21" x14ac:dyDescent="0.3">
      <c r="A901">
        <v>900</v>
      </c>
      <c r="B901" t="s">
        <v>920</v>
      </c>
      <c r="C901" s="2">
        <v>45765</v>
      </c>
      <c r="D901" s="2">
        <v>45770</v>
      </c>
      <c r="E901" t="s">
        <v>1522</v>
      </c>
      <c r="F901" t="s">
        <v>1728</v>
      </c>
      <c r="G901" t="s">
        <v>2142</v>
      </c>
      <c r="H901" t="s">
        <v>2315</v>
      </c>
      <c r="I901" t="s">
        <v>2317</v>
      </c>
      <c r="J901" t="s">
        <v>2319</v>
      </c>
      <c r="K901" t="s">
        <v>2319</v>
      </c>
      <c r="L901">
        <v>712404</v>
      </c>
      <c r="M901" t="s">
        <v>2329</v>
      </c>
      <c r="N901" t="s">
        <v>2792</v>
      </c>
      <c r="O901" t="s">
        <v>3053</v>
      </c>
      <c r="P901" t="s">
        <v>3065</v>
      </c>
      <c r="Q901" t="s">
        <v>3510</v>
      </c>
      <c r="R901">
        <v>170.42</v>
      </c>
      <c r="S901">
        <v>3</v>
      </c>
      <c r="T901">
        <v>0.15</v>
      </c>
      <c r="U901">
        <v>31.5</v>
      </c>
    </row>
    <row r="902" spans="1:21" x14ac:dyDescent="0.3">
      <c r="A902">
        <v>901</v>
      </c>
      <c r="B902" t="s">
        <v>921</v>
      </c>
      <c r="C902" s="2">
        <v>45417</v>
      </c>
      <c r="D902" s="2">
        <v>45419</v>
      </c>
      <c r="E902" t="s">
        <v>1522</v>
      </c>
      <c r="F902" t="s">
        <v>1556</v>
      </c>
      <c r="G902" t="s">
        <v>2177</v>
      </c>
      <c r="H902" t="s">
        <v>2314</v>
      </c>
      <c r="I902" t="s">
        <v>2317</v>
      </c>
      <c r="J902" t="s">
        <v>2325</v>
      </c>
      <c r="K902" t="s">
        <v>2325</v>
      </c>
      <c r="L902">
        <v>225662</v>
      </c>
      <c r="M902" t="s">
        <v>2332</v>
      </c>
      <c r="N902" t="s">
        <v>2666</v>
      </c>
      <c r="O902" t="s">
        <v>3055</v>
      </c>
      <c r="P902" t="s">
        <v>3061</v>
      </c>
      <c r="Q902" t="s">
        <v>3693</v>
      </c>
      <c r="R902">
        <v>324.25</v>
      </c>
      <c r="S902">
        <v>4</v>
      </c>
      <c r="T902">
        <v>0.05</v>
      </c>
      <c r="U902">
        <v>42.36</v>
      </c>
    </row>
    <row r="903" spans="1:21" x14ac:dyDescent="0.3">
      <c r="A903">
        <v>902</v>
      </c>
      <c r="B903" t="s">
        <v>922</v>
      </c>
      <c r="C903" s="2">
        <v>45828</v>
      </c>
      <c r="D903" s="2">
        <v>45831</v>
      </c>
      <c r="E903" t="s">
        <v>1521</v>
      </c>
      <c r="F903" t="s">
        <v>1528</v>
      </c>
      <c r="G903" t="s">
        <v>1970</v>
      </c>
      <c r="H903" t="s">
        <v>2314</v>
      </c>
      <c r="I903" t="s">
        <v>2317</v>
      </c>
      <c r="J903" t="s">
        <v>2320</v>
      </c>
      <c r="K903" t="s">
        <v>2320</v>
      </c>
      <c r="L903">
        <v>966763</v>
      </c>
      <c r="M903" t="s">
        <v>2330</v>
      </c>
      <c r="N903" t="s">
        <v>2448</v>
      </c>
      <c r="O903" t="s">
        <v>3055</v>
      </c>
      <c r="P903" t="s">
        <v>3061</v>
      </c>
      <c r="Q903" t="s">
        <v>3283</v>
      </c>
      <c r="R903">
        <v>847.91</v>
      </c>
      <c r="S903">
        <v>6</v>
      </c>
      <c r="T903">
        <v>0</v>
      </c>
      <c r="U903">
        <v>98.4</v>
      </c>
    </row>
    <row r="904" spans="1:21" x14ac:dyDescent="0.3">
      <c r="A904">
        <v>903</v>
      </c>
      <c r="B904" t="s">
        <v>923</v>
      </c>
      <c r="C904" s="2">
        <v>45436</v>
      </c>
      <c r="D904" s="2">
        <v>45438</v>
      </c>
      <c r="E904" t="s">
        <v>1522</v>
      </c>
      <c r="F904" t="s">
        <v>1721</v>
      </c>
      <c r="G904" t="s">
        <v>2086</v>
      </c>
      <c r="H904" t="s">
        <v>2315</v>
      </c>
      <c r="I904" t="s">
        <v>2317</v>
      </c>
      <c r="J904" t="s">
        <v>2321</v>
      </c>
      <c r="K904" t="s">
        <v>2321</v>
      </c>
      <c r="L904">
        <v>902271</v>
      </c>
      <c r="M904" t="s">
        <v>2329</v>
      </c>
      <c r="N904" t="s">
        <v>2652</v>
      </c>
      <c r="O904" t="s">
        <v>3055</v>
      </c>
      <c r="P904" t="s">
        <v>3059</v>
      </c>
      <c r="Q904" t="s">
        <v>3694</v>
      </c>
      <c r="R904">
        <v>492.86</v>
      </c>
      <c r="S904">
        <v>9</v>
      </c>
      <c r="T904">
        <v>0.15</v>
      </c>
      <c r="U904">
        <v>60.38</v>
      </c>
    </row>
    <row r="905" spans="1:21" x14ac:dyDescent="0.3">
      <c r="A905">
        <v>904</v>
      </c>
      <c r="B905" t="s">
        <v>924</v>
      </c>
      <c r="C905" s="2">
        <v>45816</v>
      </c>
      <c r="D905" s="2">
        <v>45819</v>
      </c>
      <c r="E905" t="s">
        <v>1522</v>
      </c>
      <c r="F905" t="s">
        <v>1686</v>
      </c>
      <c r="G905" t="s">
        <v>2009</v>
      </c>
      <c r="H905" t="s">
        <v>2316</v>
      </c>
      <c r="I905" t="s">
        <v>2317</v>
      </c>
      <c r="J905" t="s">
        <v>2321</v>
      </c>
      <c r="K905" t="s">
        <v>2321</v>
      </c>
      <c r="L905">
        <v>301107</v>
      </c>
      <c r="M905" t="s">
        <v>2329</v>
      </c>
      <c r="N905" t="s">
        <v>2638</v>
      </c>
      <c r="O905" t="s">
        <v>3054</v>
      </c>
      <c r="P905" t="s">
        <v>3064</v>
      </c>
      <c r="Q905" t="s">
        <v>3695</v>
      </c>
      <c r="R905">
        <v>111.48</v>
      </c>
      <c r="S905">
        <v>8</v>
      </c>
      <c r="T905">
        <v>0.15</v>
      </c>
      <c r="U905">
        <v>52.22</v>
      </c>
    </row>
    <row r="906" spans="1:21" x14ac:dyDescent="0.3">
      <c r="A906">
        <v>905</v>
      </c>
      <c r="B906" t="s">
        <v>925</v>
      </c>
      <c r="C906" s="2">
        <v>45503</v>
      </c>
      <c r="D906" s="2">
        <v>45505</v>
      </c>
      <c r="E906" t="s">
        <v>1522</v>
      </c>
      <c r="F906" t="s">
        <v>1555</v>
      </c>
      <c r="G906" t="s">
        <v>1944</v>
      </c>
      <c r="H906" t="s">
        <v>2316</v>
      </c>
      <c r="I906" t="s">
        <v>2317</v>
      </c>
      <c r="J906" t="s">
        <v>2318</v>
      </c>
      <c r="K906" t="s">
        <v>2318</v>
      </c>
      <c r="L906">
        <v>385069</v>
      </c>
      <c r="M906" t="s">
        <v>2328</v>
      </c>
      <c r="N906" t="s">
        <v>2887</v>
      </c>
      <c r="O906" t="s">
        <v>3055</v>
      </c>
      <c r="P906" t="s">
        <v>3061</v>
      </c>
      <c r="Q906" t="s">
        <v>3407</v>
      </c>
      <c r="R906">
        <v>1004.41</v>
      </c>
      <c r="S906">
        <v>7</v>
      </c>
      <c r="T906">
        <v>0.15</v>
      </c>
      <c r="U906">
        <v>64.849999999999994</v>
      </c>
    </row>
    <row r="907" spans="1:21" x14ac:dyDescent="0.3">
      <c r="A907">
        <v>906</v>
      </c>
      <c r="B907" t="s">
        <v>926</v>
      </c>
      <c r="C907" s="2">
        <v>45316</v>
      </c>
      <c r="D907" s="2">
        <v>45318</v>
      </c>
      <c r="E907" t="s">
        <v>1524</v>
      </c>
      <c r="F907" t="s">
        <v>1590</v>
      </c>
      <c r="G907" t="s">
        <v>2117</v>
      </c>
      <c r="H907" t="s">
        <v>2314</v>
      </c>
      <c r="I907" t="s">
        <v>2317</v>
      </c>
      <c r="J907" t="s">
        <v>2325</v>
      </c>
      <c r="K907" t="s">
        <v>2325</v>
      </c>
      <c r="L907">
        <v>420762</v>
      </c>
      <c r="M907" t="s">
        <v>2332</v>
      </c>
      <c r="N907" t="s">
        <v>2799</v>
      </c>
      <c r="O907" t="s">
        <v>3053</v>
      </c>
      <c r="P907" t="s">
        <v>3065</v>
      </c>
      <c r="Q907" t="s">
        <v>3671</v>
      </c>
      <c r="R907">
        <v>287.22000000000003</v>
      </c>
      <c r="S907">
        <v>6</v>
      </c>
      <c r="T907">
        <v>0</v>
      </c>
      <c r="U907">
        <v>5.38</v>
      </c>
    </row>
    <row r="908" spans="1:21" x14ac:dyDescent="0.3">
      <c r="A908">
        <v>907</v>
      </c>
      <c r="B908" t="s">
        <v>927</v>
      </c>
      <c r="C908" s="2">
        <v>45871</v>
      </c>
      <c r="D908" s="2">
        <v>45873</v>
      </c>
      <c r="E908" t="s">
        <v>1524</v>
      </c>
      <c r="F908" t="s">
        <v>1705</v>
      </c>
      <c r="G908" t="s">
        <v>2029</v>
      </c>
      <c r="H908" t="s">
        <v>2314</v>
      </c>
      <c r="I908" t="s">
        <v>2317</v>
      </c>
      <c r="J908" t="s">
        <v>2319</v>
      </c>
      <c r="K908" t="s">
        <v>2319</v>
      </c>
      <c r="L908">
        <v>348053</v>
      </c>
      <c r="M908" t="s">
        <v>2329</v>
      </c>
      <c r="N908" t="s">
        <v>2683</v>
      </c>
      <c r="O908" t="s">
        <v>3054</v>
      </c>
      <c r="P908" t="s">
        <v>3058</v>
      </c>
      <c r="Q908" t="s">
        <v>3696</v>
      </c>
      <c r="R908">
        <v>130.93</v>
      </c>
      <c r="S908">
        <v>6</v>
      </c>
      <c r="T908">
        <v>0.05</v>
      </c>
      <c r="U908">
        <v>13.12</v>
      </c>
    </row>
    <row r="909" spans="1:21" x14ac:dyDescent="0.3">
      <c r="A909">
        <v>908</v>
      </c>
      <c r="B909" t="s">
        <v>928</v>
      </c>
      <c r="C909" s="2">
        <v>45685</v>
      </c>
      <c r="D909" s="2">
        <v>45689</v>
      </c>
      <c r="E909" t="s">
        <v>1523</v>
      </c>
      <c r="F909" t="s">
        <v>1705</v>
      </c>
      <c r="G909" t="s">
        <v>1934</v>
      </c>
      <c r="H909" t="s">
        <v>2315</v>
      </c>
      <c r="I909" t="s">
        <v>2317</v>
      </c>
      <c r="J909" t="s">
        <v>2327</v>
      </c>
      <c r="K909" t="s">
        <v>2327</v>
      </c>
      <c r="L909">
        <v>376925</v>
      </c>
      <c r="M909" t="s">
        <v>2330</v>
      </c>
      <c r="N909" t="s">
        <v>2379</v>
      </c>
      <c r="O909" t="s">
        <v>3055</v>
      </c>
      <c r="P909" t="s">
        <v>3060</v>
      </c>
      <c r="Q909" t="s">
        <v>3697</v>
      </c>
      <c r="R909">
        <v>2000.78</v>
      </c>
      <c r="S909">
        <v>4</v>
      </c>
      <c r="T909">
        <v>0.15</v>
      </c>
      <c r="U909">
        <v>138.55000000000001</v>
      </c>
    </row>
    <row r="910" spans="1:21" x14ac:dyDescent="0.3">
      <c r="A910">
        <v>909</v>
      </c>
      <c r="B910" t="s">
        <v>929</v>
      </c>
      <c r="C910" s="2">
        <v>45358</v>
      </c>
      <c r="D910" s="2">
        <v>45361</v>
      </c>
      <c r="E910" t="s">
        <v>1523</v>
      </c>
      <c r="F910" t="s">
        <v>1893</v>
      </c>
      <c r="G910" t="s">
        <v>2276</v>
      </c>
      <c r="H910" t="s">
        <v>2316</v>
      </c>
      <c r="I910" t="s">
        <v>2317</v>
      </c>
      <c r="J910" t="s">
        <v>2321</v>
      </c>
      <c r="K910" t="s">
        <v>2321</v>
      </c>
      <c r="L910">
        <v>667848</v>
      </c>
      <c r="M910" t="s">
        <v>2329</v>
      </c>
      <c r="N910" t="s">
        <v>2888</v>
      </c>
      <c r="O910" t="s">
        <v>3053</v>
      </c>
      <c r="P910" t="s">
        <v>3062</v>
      </c>
      <c r="Q910" t="s">
        <v>3110</v>
      </c>
      <c r="R910">
        <v>173.31</v>
      </c>
      <c r="S910">
        <v>9</v>
      </c>
      <c r="T910">
        <v>0.15</v>
      </c>
      <c r="U910">
        <v>-4.99</v>
      </c>
    </row>
    <row r="911" spans="1:21" x14ac:dyDescent="0.3">
      <c r="A911">
        <v>910</v>
      </c>
      <c r="B911" t="s">
        <v>930</v>
      </c>
      <c r="C911" s="2">
        <v>45524</v>
      </c>
      <c r="D911" s="2">
        <v>45529</v>
      </c>
      <c r="E911" t="s">
        <v>1524</v>
      </c>
      <c r="F911" t="s">
        <v>1679</v>
      </c>
      <c r="G911" t="s">
        <v>2180</v>
      </c>
      <c r="H911" t="s">
        <v>2315</v>
      </c>
      <c r="I911" t="s">
        <v>2317</v>
      </c>
      <c r="J911" t="s">
        <v>2327</v>
      </c>
      <c r="K911" t="s">
        <v>2327</v>
      </c>
      <c r="L911">
        <v>768298</v>
      </c>
      <c r="M911" t="s">
        <v>2330</v>
      </c>
      <c r="N911" t="s">
        <v>2712</v>
      </c>
      <c r="O911" t="s">
        <v>3054</v>
      </c>
      <c r="P911" t="s">
        <v>3058</v>
      </c>
      <c r="Q911" t="s">
        <v>3698</v>
      </c>
      <c r="R911">
        <v>100.15</v>
      </c>
      <c r="S911">
        <v>6</v>
      </c>
      <c r="T911">
        <v>0.15</v>
      </c>
      <c r="U911">
        <v>8.2100000000000009</v>
      </c>
    </row>
    <row r="912" spans="1:21" x14ac:dyDescent="0.3">
      <c r="A912">
        <v>911</v>
      </c>
      <c r="B912" t="s">
        <v>931</v>
      </c>
      <c r="C912" s="2">
        <v>45400</v>
      </c>
      <c r="D912" s="2">
        <v>45403</v>
      </c>
      <c r="E912" t="s">
        <v>1524</v>
      </c>
      <c r="F912" t="s">
        <v>1894</v>
      </c>
      <c r="G912" t="s">
        <v>2212</v>
      </c>
      <c r="H912" t="s">
        <v>2314</v>
      </c>
      <c r="I912" t="s">
        <v>2317</v>
      </c>
      <c r="J912" t="s">
        <v>2321</v>
      </c>
      <c r="K912" t="s">
        <v>2321</v>
      </c>
      <c r="L912">
        <v>599600</v>
      </c>
      <c r="M912" t="s">
        <v>2329</v>
      </c>
      <c r="N912" t="s">
        <v>2889</v>
      </c>
      <c r="O912" t="s">
        <v>3054</v>
      </c>
      <c r="P912" t="s">
        <v>3064</v>
      </c>
      <c r="Q912" t="s">
        <v>3427</v>
      </c>
      <c r="R912">
        <v>99.4</v>
      </c>
      <c r="S912">
        <v>2</v>
      </c>
      <c r="T912">
        <v>0.1</v>
      </c>
      <c r="U912">
        <v>-5.58</v>
      </c>
    </row>
    <row r="913" spans="1:21" x14ac:dyDescent="0.3">
      <c r="A913">
        <v>912</v>
      </c>
      <c r="B913" t="s">
        <v>932</v>
      </c>
      <c r="C913" s="2">
        <v>45437</v>
      </c>
      <c r="D913" s="2">
        <v>45440</v>
      </c>
      <c r="E913" t="s">
        <v>1523</v>
      </c>
      <c r="F913" t="s">
        <v>1820</v>
      </c>
      <c r="G913" t="s">
        <v>2193</v>
      </c>
      <c r="H913" t="s">
        <v>2314</v>
      </c>
      <c r="I913" t="s">
        <v>2317</v>
      </c>
      <c r="J913" t="s">
        <v>2319</v>
      </c>
      <c r="K913" t="s">
        <v>2319</v>
      </c>
      <c r="L913">
        <v>248608</v>
      </c>
      <c r="M913" t="s">
        <v>2329</v>
      </c>
      <c r="N913" t="s">
        <v>2497</v>
      </c>
      <c r="O913" t="s">
        <v>3054</v>
      </c>
      <c r="P913" t="s">
        <v>3064</v>
      </c>
      <c r="Q913" t="s">
        <v>3699</v>
      </c>
      <c r="R913">
        <v>281.69</v>
      </c>
      <c r="S913">
        <v>1</v>
      </c>
      <c r="T913">
        <v>0.4</v>
      </c>
      <c r="U913">
        <v>41.57</v>
      </c>
    </row>
    <row r="914" spans="1:21" x14ac:dyDescent="0.3">
      <c r="A914">
        <v>913</v>
      </c>
      <c r="B914" t="s">
        <v>933</v>
      </c>
      <c r="C914" s="2">
        <v>45402</v>
      </c>
      <c r="D914" s="2">
        <v>45405</v>
      </c>
      <c r="E914" t="s">
        <v>1524</v>
      </c>
      <c r="F914" t="s">
        <v>1748</v>
      </c>
      <c r="G914" t="s">
        <v>2037</v>
      </c>
      <c r="H914" t="s">
        <v>2314</v>
      </c>
      <c r="I914" t="s">
        <v>2317</v>
      </c>
      <c r="J914" t="s">
        <v>2320</v>
      </c>
      <c r="K914" t="s">
        <v>2320</v>
      </c>
      <c r="L914">
        <v>464523</v>
      </c>
      <c r="M914" t="s">
        <v>2330</v>
      </c>
      <c r="N914" t="s">
        <v>2352</v>
      </c>
      <c r="O914" t="s">
        <v>3054</v>
      </c>
      <c r="P914" t="s">
        <v>3064</v>
      </c>
      <c r="Q914" t="s">
        <v>3700</v>
      </c>
      <c r="R914">
        <v>80.77</v>
      </c>
      <c r="S914">
        <v>6</v>
      </c>
      <c r="T914">
        <v>0.3</v>
      </c>
      <c r="U914">
        <v>10.87</v>
      </c>
    </row>
    <row r="915" spans="1:21" x14ac:dyDescent="0.3">
      <c r="A915">
        <v>914</v>
      </c>
      <c r="B915" t="s">
        <v>934</v>
      </c>
      <c r="C915" s="2">
        <v>45519</v>
      </c>
      <c r="D915" s="2">
        <v>45521</v>
      </c>
      <c r="E915" t="s">
        <v>1523</v>
      </c>
      <c r="F915" t="s">
        <v>1895</v>
      </c>
      <c r="G915" t="s">
        <v>2228</v>
      </c>
      <c r="H915" t="s">
        <v>2315</v>
      </c>
      <c r="I915" t="s">
        <v>2317</v>
      </c>
      <c r="J915" t="s">
        <v>2322</v>
      </c>
      <c r="K915" t="s">
        <v>2322</v>
      </c>
      <c r="L915">
        <v>889908</v>
      </c>
      <c r="M915" t="s">
        <v>2331</v>
      </c>
      <c r="N915" t="s">
        <v>2648</v>
      </c>
      <c r="O915" t="s">
        <v>3054</v>
      </c>
      <c r="P915" t="s">
        <v>3058</v>
      </c>
      <c r="Q915" t="s">
        <v>3364</v>
      </c>
      <c r="R915">
        <v>25.22</v>
      </c>
      <c r="S915">
        <v>4</v>
      </c>
      <c r="T915">
        <v>0.05</v>
      </c>
      <c r="U915">
        <v>45.67</v>
      </c>
    </row>
    <row r="916" spans="1:21" x14ac:dyDescent="0.3">
      <c r="A916">
        <v>915</v>
      </c>
      <c r="B916" t="s">
        <v>935</v>
      </c>
      <c r="C916" s="2">
        <v>45402</v>
      </c>
      <c r="D916" s="2">
        <v>45405</v>
      </c>
      <c r="E916" t="s">
        <v>1522</v>
      </c>
      <c r="F916" t="s">
        <v>1589</v>
      </c>
      <c r="G916" t="s">
        <v>2122</v>
      </c>
      <c r="H916" t="s">
        <v>2315</v>
      </c>
      <c r="I916" t="s">
        <v>2317</v>
      </c>
      <c r="J916" t="s">
        <v>2320</v>
      </c>
      <c r="K916" t="s">
        <v>2320</v>
      </c>
      <c r="L916">
        <v>303195</v>
      </c>
      <c r="M916" t="s">
        <v>2330</v>
      </c>
      <c r="N916" t="s">
        <v>2508</v>
      </c>
      <c r="O916" t="s">
        <v>3053</v>
      </c>
      <c r="P916" t="s">
        <v>3062</v>
      </c>
      <c r="Q916" t="s">
        <v>3430</v>
      </c>
      <c r="R916">
        <v>377.71</v>
      </c>
      <c r="S916">
        <v>6</v>
      </c>
      <c r="T916">
        <v>0.2</v>
      </c>
      <c r="U916">
        <v>3.03</v>
      </c>
    </row>
    <row r="917" spans="1:21" x14ac:dyDescent="0.3">
      <c r="A917">
        <v>916</v>
      </c>
      <c r="B917" t="s">
        <v>936</v>
      </c>
      <c r="C917" s="2">
        <v>45761</v>
      </c>
      <c r="D917" s="2">
        <v>45764</v>
      </c>
      <c r="E917" t="s">
        <v>1521</v>
      </c>
      <c r="F917" t="s">
        <v>1710</v>
      </c>
      <c r="G917" t="s">
        <v>1939</v>
      </c>
      <c r="H917" t="s">
        <v>2315</v>
      </c>
      <c r="I917" t="s">
        <v>2317</v>
      </c>
      <c r="J917" t="s">
        <v>2321</v>
      </c>
      <c r="K917" t="s">
        <v>2321</v>
      </c>
      <c r="L917">
        <v>968750</v>
      </c>
      <c r="M917" t="s">
        <v>2329</v>
      </c>
      <c r="N917" t="s">
        <v>2443</v>
      </c>
      <c r="O917" t="s">
        <v>3054</v>
      </c>
      <c r="P917" t="s">
        <v>3058</v>
      </c>
      <c r="Q917" t="s">
        <v>3370</v>
      </c>
      <c r="R917">
        <v>145.46</v>
      </c>
      <c r="S917">
        <v>2</v>
      </c>
      <c r="T917">
        <v>0.1</v>
      </c>
      <c r="U917">
        <v>-9.2100000000000009</v>
      </c>
    </row>
    <row r="918" spans="1:21" x14ac:dyDescent="0.3">
      <c r="A918">
        <v>917</v>
      </c>
      <c r="B918" t="s">
        <v>937</v>
      </c>
      <c r="C918" s="2">
        <v>45325</v>
      </c>
      <c r="D918" s="2">
        <v>45327</v>
      </c>
      <c r="E918" t="s">
        <v>1521</v>
      </c>
      <c r="F918" t="s">
        <v>1621</v>
      </c>
      <c r="G918" t="s">
        <v>2117</v>
      </c>
      <c r="H918" t="s">
        <v>2316</v>
      </c>
      <c r="I918" t="s">
        <v>2317</v>
      </c>
      <c r="J918" t="s">
        <v>2323</v>
      </c>
      <c r="K918" t="s">
        <v>2323</v>
      </c>
      <c r="L918">
        <v>943354</v>
      </c>
      <c r="M918" t="s">
        <v>2328</v>
      </c>
      <c r="N918" t="s">
        <v>2889</v>
      </c>
      <c r="O918" t="s">
        <v>3055</v>
      </c>
      <c r="P918" t="s">
        <v>3060</v>
      </c>
      <c r="Q918" t="s">
        <v>3569</v>
      </c>
      <c r="R918">
        <v>407.94</v>
      </c>
      <c r="S918">
        <v>3</v>
      </c>
      <c r="T918">
        <v>0.15</v>
      </c>
      <c r="U918">
        <v>22.46</v>
      </c>
    </row>
    <row r="919" spans="1:21" x14ac:dyDescent="0.3">
      <c r="A919">
        <v>918</v>
      </c>
      <c r="B919" t="s">
        <v>938</v>
      </c>
      <c r="C919" s="2">
        <v>45914</v>
      </c>
      <c r="D919" s="2">
        <v>45915</v>
      </c>
      <c r="E919" t="s">
        <v>1522</v>
      </c>
      <c r="F919" t="s">
        <v>1551</v>
      </c>
      <c r="G919" t="s">
        <v>2289</v>
      </c>
      <c r="H919" t="s">
        <v>2315</v>
      </c>
      <c r="I919" t="s">
        <v>2317</v>
      </c>
      <c r="J919" t="s">
        <v>2322</v>
      </c>
      <c r="K919" t="s">
        <v>2322</v>
      </c>
      <c r="L919">
        <v>903765</v>
      </c>
      <c r="M919" t="s">
        <v>2331</v>
      </c>
      <c r="N919" t="s">
        <v>2890</v>
      </c>
      <c r="O919" t="s">
        <v>3054</v>
      </c>
      <c r="P919" t="s">
        <v>3057</v>
      </c>
      <c r="Q919" t="s">
        <v>3701</v>
      </c>
      <c r="R919">
        <v>48.49</v>
      </c>
      <c r="S919">
        <v>8</v>
      </c>
      <c r="T919">
        <v>0.4</v>
      </c>
      <c r="U919">
        <v>15.27</v>
      </c>
    </row>
    <row r="920" spans="1:21" x14ac:dyDescent="0.3">
      <c r="A920">
        <v>919</v>
      </c>
      <c r="B920" t="s">
        <v>939</v>
      </c>
      <c r="C920" s="2">
        <v>45660</v>
      </c>
      <c r="D920" s="2">
        <v>45662</v>
      </c>
      <c r="E920" t="s">
        <v>1522</v>
      </c>
      <c r="F920" t="s">
        <v>1533</v>
      </c>
      <c r="G920" t="s">
        <v>2000</v>
      </c>
      <c r="H920" t="s">
        <v>2315</v>
      </c>
      <c r="I920" t="s">
        <v>2317</v>
      </c>
      <c r="J920" t="s">
        <v>2322</v>
      </c>
      <c r="K920" t="s">
        <v>2322</v>
      </c>
      <c r="L920">
        <v>899362</v>
      </c>
      <c r="M920" t="s">
        <v>2331</v>
      </c>
      <c r="N920" t="s">
        <v>2891</v>
      </c>
      <c r="O920" t="s">
        <v>3053</v>
      </c>
      <c r="P920" t="s">
        <v>3065</v>
      </c>
      <c r="Q920" t="s">
        <v>3159</v>
      </c>
      <c r="R920">
        <v>365.55</v>
      </c>
      <c r="S920">
        <v>1</v>
      </c>
      <c r="T920">
        <v>0.4</v>
      </c>
      <c r="U920">
        <v>-45.6</v>
      </c>
    </row>
    <row r="921" spans="1:21" x14ac:dyDescent="0.3">
      <c r="A921">
        <v>920</v>
      </c>
      <c r="B921" t="s">
        <v>940</v>
      </c>
      <c r="C921" s="2">
        <v>45886</v>
      </c>
      <c r="D921" s="2">
        <v>45888</v>
      </c>
      <c r="E921" t="s">
        <v>1524</v>
      </c>
      <c r="F921" t="s">
        <v>1553</v>
      </c>
      <c r="G921" t="s">
        <v>2290</v>
      </c>
      <c r="H921" t="s">
        <v>2315</v>
      </c>
      <c r="I921" t="s">
        <v>2317</v>
      </c>
      <c r="J921" t="s">
        <v>2327</v>
      </c>
      <c r="K921" t="s">
        <v>2327</v>
      </c>
      <c r="L921">
        <v>315886</v>
      </c>
      <c r="M921" t="s">
        <v>2330</v>
      </c>
      <c r="N921" t="s">
        <v>2764</v>
      </c>
      <c r="O921" t="s">
        <v>3053</v>
      </c>
      <c r="P921" t="s">
        <v>3065</v>
      </c>
      <c r="Q921" t="s">
        <v>3637</v>
      </c>
      <c r="R921">
        <v>304.45</v>
      </c>
      <c r="S921">
        <v>4</v>
      </c>
      <c r="T921">
        <v>0.4</v>
      </c>
      <c r="U921">
        <v>-83.27</v>
      </c>
    </row>
    <row r="922" spans="1:21" x14ac:dyDescent="0.3">
      <c r="A922">
        <v>921</v>
      </c>
      <c r="B922" t="s">
        <v>941</v>
      </c>
      <c r="C922" s="2">
        <v>45845</v>
      </c>
      <c r="D922" s="2">
        <v>45850</v>
      </c>
      <c r="E922" t="s">
        <v>1522</v>
      </c>
      <c r="F922" t="s">
        <v>1656</v>
      </c>
      <c r="G922" t="s">
        <v>2155</v>
      </c>
      <c r="H922" t="s">
        <v>2315</v>
      </c>
      <c r="I922" t="s">
        <v>2317</v>
      </c>
      <c r="J922" t="s">
        <v>2325</v>
      </c>
      <c r="K922" t="s">
        <v>2325</v>
      </c>
      <c r="L922">
        <v>889575</v>
      </c>
      <c r="M922" t="s">
        <v>2332</v>
      </c>
      <c r="N922" t="s">
        <v>2839</v>
      </c>
      <c r="O922" t="s">
        <v>3055</v>
      </c>
      <c r="P922" t="s">
        <v>3060</v>
      </c>
      <c r="Q922" t="s">
        <v>3702</v>
      </c>
      <c r="R922">
        <v>392.97</v>
      </c>
      <c r="S922">
        <v>7</v>
      </c>
      <c r="T922">
        <v>0.1</v>
      </c>
      <c r="U922">
        <v>37.26</v>
      </c>
    </row>
    <row r="923" spans="1:21" x14ac:dyDescent="0.3">
      <c r="A923">
        <v>922</v>
      </c>
      <c r="B923" t="s">
        <v>942</v>
      </c>
      <c r="C923" s="2">
        <v>45716</v>
      </c>
      <c r="D923" s="2">
        <v>45718</v>
      </c>
      <c r="E923" t="s">
        <v>1521</v>
      </c>
      <c r="F923" t="s">
        <v>1709</v>
      </c>
      <c r="G923" t="s">
        <v>2209</v>
      </c>
      <c r="H923" t="s">
        <v>2314</v>
      </c>
      <c r="I923" t="s">
        <v>2317</v>
      </c>
      <c r="J923" t="s">
        <v>2327</v>
      </c>
      <c r="K923" t="s">
        <v>2327</v>
      </c>
      <c r="L923">
        <v>812495</v>
      </c>
      <c r="M923" t="s">
        <v>2330</v>
      </c>
      <c r="N923" t="s">
        <v>2797</v>
      </c>
      <c r="O923" t="s">
        <v>3054</v>
      </c>
      <c r="P923" t="s">
        <v>3057</v>
      </c>
      <c r="Q923" t="s">
        <v>3186</v>
      </c>
      <c r="R923">
        <v>47.67</v>
      </c>
      <c r="S923">
        <v>1</v>
      </c>
      <c r="T923">
        <v>0</v>
      </c>
      <c r="U923">
        <v>-28.25</v>
      </c>
    </row>
    <row r="924" spans="1:21" x14ac:dyDescent="0.3">
      <c r="A924">
        <v>923</v>
      </c>
      <c r="B924" t="s">
        <v>943</v>
      </c>
      <c r="C924" s="2">
        <v>45904</v>
      </c>
      <c r="D924" s="2">
        <v>45906</v>
      </c>
      <c r="E924" t="s">
        <v>1523</v>
      </c>
      <c r="F924" t="s">
        <v>1785</v>
      </c>
      <c r="G924" t="s">
        <v>1962</v>
      </c>
      <c r="H924" t="s">
        <v>2314</v>
      </c>
      <c r="I924" t="s">
        <v>2317</v>
      </c>
      <c r="J924" t="s">
        <v>2327</v>
      </c>
      <c r="K924" t="s">
        <v>2327</v>
      </c>
      <c r="L924">
        <v>660451</v>
      </c>
      <c r="M924" t="s">
        <v>2330</v>
      </c>
      <c r="N924" t="s">
        <v>2892</v>
      </c>
      <c r="O924" t="s">
        <v>3055</v>
      </c>
      <c r="P924" t="s">
        <v>3061</v>
      </c>
      <c r="Q924" t="s">
        <v>3535</v>
      </c>
      <c r="R924">
        <v>155.97</v>
      </c>
      <c r="S924">
        <v>3</v>
      </c>
      <c r="T924">
        <v>0</v>
      </c>
      <c r="U924">
        <v>7</v>
      </c>
    </row>
    <row r="925" spans="1:21" x14ac:dyDescent="0.3">
      <c r="A925">
        <v>924</v>
      </c>
      <c r="B925" t="s">
        <v>944</v>
      </c>
      <c r="C925" s="2">
        <v>45809</v>
      </c>
      <c r="D925" s="2">
        <v>45812</v>
      </c>
      <c r="E925" t="s">
        <v>1521</v>
      </c>
      <c r="F925" t="s">
        <v>1841</v>
      </c>
      <c r="G925" t="s">
        <v>2291</v>
      </c>
      <c r="H925" t="s">
        <v>2315</v>
      </c>
      <c r="I925" t="s">
        <v>2317</v>
      </c>
      <c r="J925" t="s">
        <v>2323</v>
      </c>
      <c r="K925" t="s">
        <v>2323</v>
      </c>
      <c r="L925">
        <v>879276</v>
      </c>
      <c r="M925" t="s">
        <v>2328</v>
      </c>
      <c r="N925" t="s">
        <v>2567</v>
      </c>
      <c r="O925" t="s">
        <v>3054</v>
      </c>
      <c r="P925" t="s">
        <v>3063</v>
      </c>
      <c r="Q925" t="s">
        <v>3703</v>
      </c>
      <c r="R925">
        <v>91.94</v>
      </c>
      <c r="S925">
        <v>7</v>
      </c>
      <c r="T925">
        <v>0.2</v>
      </c>
      <c r="U925">
        <v>-29.17</v>
      </c>
    </row>
    <row r="926" spans="1:21" x14ac:dyDescent="0.3">
      <c r="A926">
        <v>925</v>
      </c>
      <c r="B926" t="s">
        <v>945</v>
      </c>
      <c r="C926" s="2">
        <v>45983</v>
      </c>
      <c r="D926" s="2">
        <v>45986</v>
      </c>
      <c r="E926" t="s">
        <v>1524</v>
      </c>
      <c r="F926" t="s">
        <v>1819</v>
      </c>
      <c r="G926" t="s">
        <v>2170</v>
      </c>
      <c r="H926" t="s">
        <v>2316</v>
      </c>
      <c r="I926" t="s">
        <v>2317</v>
      </c>
      <c r="J926" t="s">
        <v>2320</v>
      </c>
      <c r="K926" t="s">
        <v>2320</v>
      </c>
      <c r="L926">
        <v>814564</v>
      </c>
      <c r="M926" t="s">
        <v>2330</v>
      </c>
      <c r="N926" t="s">
        <v>2893</v>
      </c>
      <c r="O926" t="s">
        <v>3054</v>
      </c>
      <c r="P926" t="s">
        <v>3058</v>
      </c>
      <c r="Q926" t="s">
        <v>3517</v>
      </c>
      <c r="R926">
        <v>141.26</v>
      </c>
      <c r="S926">
        <v>3</v>
      </c>
      <c r="T926">
        <v>0.1</v>
      </c>
      <c r="U926">
        <v>34.67</v>
      </c>
    </row>
    <row r="927" spans="1:21" x14ac:dyDescent="0.3">
      <c r="A927">
        <v>926</v>
      </c>
      <c r="B927" t="s">
        <v>946</v>
      </c>
      <c r="C927" s="2">
        <v>45573</v>
      </c>
      <c r="D927" s="2">
        <v>45576</v>
      </c>
      <c r="E927" t="s">
        <v>1521</v>
      </c>
      <c r="F927" t="s">
        <v>1808</v>
      </c>
      <c r="G927" t="s">
        <v>2018</v>
      </c>
      <c r="H927" t="s">
        <v>2314</v>
      </c>
      <c r="I927" t="s">
        <v>2317</v>
      </c>
      <c r="J927" t="s">
        <v>2320</v>
      </c>
      <c r="K927" t="s">
        <v>2320</v>
      </c>
      <c r="L927">
        <v>344955</v>
      </c>
      <c r="M927" t="s">
        <v>2330</v>
      </c>
      <c r="N927" t="s">
        <v>2894</v>
      </c>
      <c r="O927" t="s">
        <v>3055</v>
      </c>
      <c r="P927" t="s">
        <v>3059</v>
      </c>
      <c r="Q927" t="s">
        <v>3171</v>
      </c>
      <c r="R927">
        <v>693.45</v>
      </c>
      <c r="S927">
        <v>6</v>
      </c>
      <c r="T927">
        <v>0.3</v>
      </c>
      <c r="U927">
        <v>1.73</v>
      </c>
    </row>
    <row r="928" spans="1:21" x14ac:dyDescent="0.3">
      <c r="A928">
        <v>927</v>
      </c>
      <c r="B928" t="s">
        <v>947</v>
      </c>
      <c r="C928" s="2">
        <v>45611</v>
      </c>
      <c r="D928" s="2">
        <v>45613</v>
      </c>
      <c r="E928" t="s">
        <v>1523</v>
      </c>
      <c r="F928" t="s">
        <v>1751</v>
      </c>
      <c r="G928" t="s">
        <v>1973</v>
      </c>
      <c r="H928" t="s">
        <v>2315</v>
      </c>
      <c r="I928" t="s">
        <v>2317</v>
      </c>
      <c r="J928" t="s">
        <v>2324</v>
      </c>
      <c r="K928" t="s">
        <v>2324</v>
      </c>
      <c r="L928">
        <v>213104</v>
      </c>
      <c r="M928" t="s">
        <v>2330</v>
      </c>
      <c r="N928" t="s">
        <v>2895</v>
      </c>
      <c r="O928" t="s">
        <v>3054</v>
      </c>
      <c r="P928" t="s">
        <v>3058</v>
      </c>
      <c r="Q928" t="s">
        <v>3684</v>
      </c>
      <c r="R928">
        <v>35.17</v>
      </c>
      <c r="S928">
        <v>9</v>
      </c>
      <c r="T928">
        <v>0.2</v>
      </c>
      <c r="U928">
        <v>-38.82</v>
      </c>
    </row>
    <row r="929" spans="1:21" x14ac:dyDescent="0.3">
      <c r="A929">
        <v>928</v>
      </c>
      <c r="B929" t="s">
        <v>948</v>
      </c>
      <c r="C929" s="2">
        <v>45734</v>
      </c>
      <c r="D929" s="2">
        <v>45738</v>
      </c>
      <c r="E929" t="s">
        <v>1521</v>
      </c>
      <c r="F929" t="s">
        <v>1679</v>
      </c>
      <c r="G929" t="s">
        <v>1978</v>
      </c>
      <c r="H929" t="s">
        <v>2315</v>
      </c>
      <c r="I929" t="s">
        <v>2317</v>
      </c>
      <c r="J929" t="s">
        <v>2321</v>
      </c>
      <c r="K929" t="s">
        <v>2321</v>
      </c>
      <c r="L929">
        <v>118077</v>
      </c>
      <c r="M929" t="s">
        <v>2329</v>
      </c>
      <c r="N929" t="s">
        <v>2693</v>
      </c>
      <c r="O929" t="s">
        <v>3054</v>
      </c>
      <c r="P929" t="s">
        <v>3057</v>
      </c>
      <c r="Q929" t="s">
        <v>3357</v>
      </c>
      <c r="R929">
        <v>80.19</v>
      </c>
      <c r="S929">
        <v>1</v>
      </c>
      <c r="T929">
        <v>0.15</v>
      </c>
      <c r="U929">
        <v>2.95</v>
      </c>
    </row>
    <row r="930" spans="1:21" x14ac:dyDescent="0.3">
      <c r="A930">
        <v>929</v>
      </c>
      <c r="B930" t="s">
        <v>949</v>
      </c>
      <c r="C930" s="2">
        <v>45606</v>
      </c>
      <c r="D930" s="2">
        <v>45611</v>
      </c>
      <c r="E930" t="s">
        <v>1521</v>
      </c>
      <c r="F930" t="s">
        <v>1750</v>
      </c>
      <c r="G930" t="s">
        <v>2052</v>
      </c>
      <c r="H930" t="s">
        <v>2314</v>
      </c>
      <c r="I930" t="s">
        <v>2317</v>
      </c>
      <c r="J930" t="s">
        <v>2323</v>
      </c>
      <c r="K930" t="s">
        <v>2323</v>
      </c>
      <c r="L930">
        <v>623048</v>
      </c>
      <c r="M930" t="s">
        <v>2328</v>
      </c>
      <c r="N930" t="s">
        <v>2389</v>
      </c>
      <c r="O930" t="s">
        <v>3054</v>
      </c>
      <c r="P930" t="s">
        <v>3064</v>
      </c>
      <c r="Q930" t="s">
        <v>3695</v>
      </c>
      <c r="R930">
        <v>43.02</v>
      </c>
      <c r="S930">
        <v>4</v>
      </c>
      <c r="T930">
        <v>0.05</v>
      </c>
      <c r="U930">
        <v>19.23</v>
      </c>
    </row>
    <row r="931" spans="1:21" x14ac:dyDescent="0.3">
      <c r="A931">
        <v>930</v>
      </c>
      <c r="B931" t="s">
        <v>950</v>
      </c>
      <c r="C931" s="2">
        <v>45668</v>
      </c>
      <c r="D931" s="2">
        <v>45673</v>
      </c>
      <c r="E931" t="s">
        <v>1522</v>
      </c>
      <c r="F931" t="s">
        <v>1644</v>
      </c>
      <c r="G931" t="s">
        <v>1978</v>
      </c>
      <c r="H931" t="s">
        <v>2316</v>
      </c>
      <c r="I931" t="s">
        <v>2317</v>
      </c>
      <c r="J931" t="s">
        <v>2324</v>
      </c>
      <c r="K931" t="s">
        <v>2324</v>
      </c>
      <c r="L931">
        <v>373591</v>
      </c>
      <c r="M931" t="s">
        <v>2330</v>
      </c>
      <c r="N931" t="s">
        <v>2854</v>
      </c>
      <c r="O931" t="s">
        <v>3053</v>
      </c>
      <c r="P931" t="s">
        <v>3062</v>
      </c>
      <c r="Q931" t="s">
        <v>3533</v>
      </c>
      <c r="R931">
        <v>111.66</v>
      </c>
      <c r="S931">
        <v>1</v>
      </c>
      <c r="T931">
        <v>0.05</v>
      </c>
      <c r="U931">
        <v>28.82</v>
      </c>
    </row>
    <row r="932" spans="1:21" x14ac:dyDescent="0.3">
      <c r="A932">
        <v>931</v>
      </c>
      <c r="B932" t="s">
        <v>951</v>
      </c>
      <c r="C932" s="2">
        <v>45580</v>
      </c>
      <c r="D932" s="2">
        <v>45583</v>
      </c>
      <c r="E932" t="s">
        <v>1523</v>
      </c>
      <c r="F932" t="s">
        <v>1618</v>
      </c>
      <c r="G932" t="s">
        <v>2264</v>
      </c>
      <c r="H932" t="s">
        <v>2316</v>
      </c>
      <c r="I932" t="s">
        <v>2317</v>
      </c>
      <c r="J932" t="s">
        <v>2319</v>
      </c>
      <c r="K932" t="s">
        <v>2319</v>
      </c>
      <c r="L932">
        <v>416131</v>
      </c>
      <c r="M932" t="s">
        <v>2329</v>
      </c>
      <c r="N932" t="s">
        <v>2361</v>
      </c>
      <c r="O932" t="s">
        <v>3055</v>
      </c>
      <c r="P932" t="s">
        <v>3067</v>
      </c>
      <c r="Q932" t="s">
        <v>3704</v>
      </c>
      <c r="R932">
        <v>784.87</v>
      </c>
      <c r="S932">
        <v>2</v>
      </c>
      <c r="T932">
        <v>0</v>
      </c>
      <c r="U932">
        <v>119.16</v>
      </c>
    </row>
    <row r="933" spans="1:21" x14ac:dyDescent="0.3">
      <c r="A933">
        <v>932</v>
      </c>
      <c r="B933" t="s">
        <v>952</v>
      </c>
      <c r="C933" s="2">
        <v>45728</v>
      </c>
      <c r="D933" s="2">
        <v>45732</v>
      </c>
      <c r="E933" t="s">
        <v>1523</v>
      </c>
      <c r="F933" t="s">
        <v>1698</v>
      </c>
      <c r="G933" t="s">
        <v>2132</v>
      </c>
      <c r="H933" t="s">
        <v>2314</v>
      </c>
      <c r="I933" t="s">
        <v>2317</v>
      </c>
      <c r="J933" t="s">
        <v>2321</v>
      </c>
      <c r="K933" t="s">
        <v>2321</v>
      </c>
      <c r="L933">
        <v>705109</v>
      </c>
      <c r="M933" t="s">
        <v>2329</v>
      </c>
      <c r="N933" t="s">
        <v>2503</v>
      </c>
      <c r="O933" t="s">
        <v>3055</v>
      </c>
      <c r="P933" t="s">
        <v>3061</v>
      </c>
      <c r="Q933" t="s">
        <v>3336</v>
      </c>
      <c r="R933">
        <v>280.54000000000002</v>
      </c>
      <c r="S933">
        <v>1</v>
      </c>
      <c r="T933">
        <v>0.05</v>
      </c>
      <c r="U933">
        <v>31.53</v>
      </c>
    </row>
    <row r="934" spans="1:21" x14ac:dyDescent="0.3">
      <c r="A934">
        <v>933</v>
      </c>
      <c r="B934" t="s">
        <v>953</v>
      </c>
      <c r="C934" s="2">
        <v>45953</v>
      </c>
      <c r="D934" s="2">
        <v>45956</v>
      </c>
      <c r="E934" t="s">
        <v>1524</v>
      </c>
      <c r="F934" t="s">
        <v>1787</v>
      </c>
      <c r="G934" t="s">
        <v>2026</v>
      </c>
      <c r="H934" t="s">
        <v>2315</v>
      </c>
      <c r="I934" t="s">
        <v>2317</v>
      </c>
      <c r="J934" t="s">
        <v>2321</v>
      </c>
      <c r="K934" t="s">
        <v>2321</v>
      </c>
      <c r="L934">
        <v>621291</v>
      </c>
      <c r="M934" t="s">
        <v>2329</v>
      </c>
      <c r="N934" t="s">
        <v>2435</v>
      </c>
      <c r="O934" t="s">
        <v>3053</v>
      </c>
      <c r="P934" t="s">
        <v>3065</v>
      </c>
      <c r="Q934" t="s">
        <v>3537</v>
      </c>
      <c r="R934">
        <v>691.02</v>
      </c>
      <c r="S934">
        <v>6</v>
      </c>
      <c r="T934">
        <v>0.15</v>
      </c>
      <c r="U934">
        <v>15.86</v>
      </c>
    </row>
    <row r="935" spans="1:21" x14ac:dyDescent="0.3">
      <c r="A935">
        <v>934</v>
      </c>
      <c r="B935" t="s">
        <v>954</v>
      </c>
      <c r="C935" s="2">
        <v>45568</v>
      </c>
      <c r="D935" s="2">
        <v>45570</v>
      </c>
      <c r="E935" t="s">
        <v>1523</v>
      </c>
      <c r="F935" t="s">
        <v>1573</v>
      </c>
      <c r="G935" t="s">
        <v>2211</v>
      </c>
      <c r="H935" t="s">
        <v>2314</v>
      </c>
      <c r="I935" t="s">
        <v>2317</v>
      </c>
      <c r="J935" t="s">
        <v>2318</v>
      </c>
      <c r="K935" t="s">
        <v>2318</v>
      </c>
      <c r="L935">
        <v>957426</v>
      </c>
      <c r="M935" t="s">
        <v>2328</v>
      </c>
      <c r="N935" t="s">
        <v>2568</v>
      </c>
      <c r="O935" t="s">
        <v>3054</v>
      </c>
      <c r="P935" t="s">
        <v>3058</v>
      </c>
      <c r="Q935" t="s">
        <v>3705</v>
      </c>
      <c r="R935">
        <v>75.72</v>
      </c>
      <c r="S935">
        <v>6</v>
      </c>
      <c r="T935">
        <v>0.05</v>
      </c>
      <c r="U935">
        <v>0.05</v>
      </c>
    </row>
    <row r="936" spans="1:21" x14ac:dyDescent="0.3">
      <c r="A936">
        <v>935</v>
      </c>
      <c r="B936" t="s">
        <v>955</v>
      </c>
      <c r="C936" s="2">
        <v>46001</v>
      </c>
      <c r="D936" s="2">
        <v>46005</v>
      </c>
      <c r="E936" t="s">
        <v>1524</v>
      </c>
      <c r="F936" t="s">
        <v>1796</v>
      </c>
      <c r="G936" t="s">
        <v>1974</v>
      </c>
      <c r="H936" t="s">
        <v>2316</v>
      </c>
      <c r="I936" t="s">
        <v>2317</v>
      </c>
      <c r="J936" t="s">
        <v>2318</v>
      </c>
      <c r="K936" t="s">
        <v>2318</v>
      </c>
      <c r="L936">
        <v>548381</v>
      </c>
      <c r="M936" t="s">
        <v>2328</v>
      </c>
      <c r="N936" t="s">
        <v>2896</v>
      </c>
      <c r="O936" t="s">
        <v>3055</v>
      </c>
      <c r="P936" t="s">
        <v>3059</v>
      </c>
      <c r="Q936" t="s">
        <v>3706</v>
      </c>
      <c r="R936">
        <v>186.56</v>
      </c>
      <c r="S936">
        <v>2</v>
      </c>
      <c r="T936">
        <v>0.15</v>
      </c>
      <c r="U936">
        <v>1.66</v>
      </c>
    </row>
    <row r="937" spans="1:21" x14ac:dyDescent="0.3">
      <c r="A937">
        <v>936</v>
      </c>
      <c r="B937" t="s">
        <v>956</v>
      </c>
      <c r="C937" s="2">
        <v>45873</v>
      </c>
      <c r="D937" s="2">
        <v>45876</v>
      </c>
      <c r="E937" t="s">
        <v>1521</v>
      </c>
      <c r="F937" t="s">
        <v>1536</v>
      </c>
      <c r="G937" t="s">
        <v>2092</v>
      </c>
      <c r="H937" t="s">
        <v>2316</v>
      </c>
      <c r="I937" t="s">
        <v>2317</v>
      </c>
      <c r="J937" t="s">
        <v>2326</v>
      </c>
      <c r="K937" t="s">
        <v>2326</v>
      </c>
      <c r="L937">
        <v>734958</v>
      </c>
      <c r="M937" t="s">
        <v>2331</v>
      </c>
      <c r="N937" t="s">
        <v>2897</v>
      </c>
      <c r="O937" t="s">
        <v>3054</v>
      </c>
      <c r="P937" t="s">
        <v>3058</v>
      </c>
      <c r="Q937" t="s">
        <v>3707</v>
      </c>
      <c r="R937">
        <v>89.38</v>
      </c>
      <c r="S937">
        <v>5</v>
      </c>
      <c r="T937">
        <v>0.1</v>
      </c>
      <c r="U937">
        <v>-4.1500000000000004</v>
      </c>
    </row>
    <row r="938" spans="1:21" x14ac:dyDescent="0.3">
      <c r="A938">
        <v>937</v>
      </c>
      <c r="B938" t="s">
        <v>957</v>
      </c>
      <c r="C938" s="2">
        <v>45794</v>
      </c>
      <c r="D938" s="2">
        <v>45795</v>
      </c>
      <c r="E938" t="s">
        <v>1521</v>
      </c>
      <c r="F938" t="s">
        <v>1591</v>
      </c>
      <c r="G938" t="s">
        <v>2121</v>
      </c>
      <c r="H938" t="s">
        <v>2314</v>
      </c>
      <c r="I938" t="s">
        <v>2317</v>
      </c>
      <c r="J938" t="s">
        <v>2326</v>
      </c>
      <c r="K938" t="s">
        <v>2326</v>
      </c>
      <c r="L938">
        <v>922646</v>
      </c>
      <c r="M938" t="s">
        <v>2331</v>
      </c>
      <c r="N938" t="s">
        <v>2524</v>
      </c>
      <c r="O938" t="s">
        <v>3053</v>
      </c>
      <c r="P938" t="s">
        <v>3056</v>
      </c>
      <c r="Q938" t="s">
        <v>3367</v>
      </c>
      <c r="R938">
        <v>114.25</v>
      </c>
      <c r="S938">
        <v>2</v>
      </c>
      <c r="T938">
        <v>0.15</v>
      </c>
      <c r="U938">
        <v>5.27</v>
      </c>
    </row>
    <row r="939" spans="1:21" x14ac:dyDescent="0.3">
      <c r="A939">
        <v>938</v>
      </c>
      <c r="B939" t="s">
        <v>958</v>
      </c>
      <c r="C939" s="2">
        <v>45915</v>
      </c>
      <c r="D939" s="2">
        <v>45920</v>
      </c>
      <c r="E939" t="s">
        <v>1523</v>
      </c>
      <c r="F939" t="s">
        <v>1579</v>
      </c>
      <c r="G939" t="s">
        <v>2079</v>
      </c>
      <c r="H939" t="s">
        <v>2315</v>
      </c>
      <c r="I939" t="s">
        <v>2317</v>
      </c>
      <c r="J939" t="s">
        <v>2327</v>
      </c>
      <c r="K939" t="s">
        <v>2327</v>
      </c>
      <c r="L939">
        <v>888419</v>
      </c>
      <c r="M939" t="s">
        <v>2330</v>
      </c>
      <c r="N939" t="s">
        <v>2406</v>
      </c>
      <c r="O939" t="s">
        <v>3053</v>
      </c>
      <c r="P939" t="s">
        <v>3056</v>
      </c>
      <c r="Q939" t="s">
        <v>3708</v>
      </c>
      <c r="R939">
        <v>760.68</v>
      </c>
      <c r="S939">
        <v>5</v>
      </c>
      <c r="T939">
        <v>0.2</v>
      </c>
      <c r="U939">
        <v>22.54</v>
      </c>
    </row>
    <row r="940" spans="1:21" x14ac:dyDescent="0.3">
      <c r="A940">
        <v>939</v>
      </c>
      <c r="B940" t="s">
        <v>959</v>
      </c>
      <c r="C940" s="2">
        <v>45807</v>
      </c>
      <c r="D940" s="2">
        <v>45809</v>
      </c>
      <c r="E940" t="s">
        <v>1522</v>
      </c>
      <c r="F940" t="s">
        <v>1620</v>
      </c>
      <c r="G940" t="s">
        <v>1939</v>
      </c>
      <c r="H940" t="s">
        <v>2314</v>
      </c>
      <c r="I940" t="s">
        <v>2317</v>
      </c>
      <c r="J940" t="s">
        <v>2319</v>
      </c>
      <c r="K940" t="s">
        <v>2319</v>
      </c>
      <c r="L940">
        <v>692769</v>
      </c>
      <c r="M940" t="s">
        <v>2329</v>
      </c>
      <c r="N940" t="s">
        <v>2548</v>
      </c>
      <c r="O940" t="s">
        <v>3054</v>
      </c>
      <c r="P940" t="s">
        <v>3064</v>
      </c>
      <c r="Q940" t="s">
        <v>3169</v>
      </c>
      <c r="R940">
        <v>105.02</v>
      </c>
      <c r="S940">
        <v>4</v>
      </c>
      <c r="T940">
        <v>0.2</v>
      </c>
      <c r="U940">
        <v>-13.66</v>
      </c>
    </row>
    <row r="941" spans="1:21" x14ac:dyDescent="0.3">
      <c r="A941">
        <v>940</v>
      </c>
      <c r="B941" t="s">
        <v>960</v>
      </c>
      <c r="C941" s="2">
        <v>45641</v>
      </c>
      <c r="D941" s="2">
        <v>45644</v>
      </c>
      <c r="E941" t="s">
        <v>1522</v>
      </c>
      <c r="F941" t="s">
        <v>1721</v>
      </c>
      <c r="G941" t="s">
        <v>1960</v>
      </c>
      <c r="H941" t="s">
        <v>2314</v>
      </c>
      <c r="I941" t="s">
        <v>2317</v>
      </c>
      <c r="J941" t="s">
        <v>2322</v>
      </c>
      <c r="K941" t="s">
        <v>2322</v>
      </c>
      <c r="L941">
        <v>742469</v>
      </c>
      <c r="M941" t="s">
        <v>2331</v>
      </c>
      <c r="N941" t="s">
        <v>2619</v>
      </c>
      <c r="O941" t="s">
        <v>3054</v>
      </c>
      <c r="P941" t="s">
        <v>3057</v>
      </c>
      <c r="Q941" t="s">
        <v>3709</v>
      </c>
      <c r="R941">
        <v>263.02999999999997</v>
      </c>
      <c r="S941">
        <v>2</v>
      </c>
      <c r="T941">
        <v>0.1</v>
      </c>
      <c r="U941">
        <v>49.62</v>
      </c>
    </row>
    <row r="942" spans="1:21" x14ac:dyDescent="0.3">
      <c r="A942">
        <v>941</v>
      </c>
      <c r="B942" t="s">
        <v>961</v>
      </c>
      <c r="C942" s="2">
        <v>45737</v>
      </c>
      <c r="D942" s="2">
        <v>45740</v>
      </c>
      <c r="E942" t="s">
        <v>1521</v>
      </c>
      <c r="F942" t="s">
        <v>1677</v>
      </c>
      <c r="G942" t="s">
        <v>2262</v>
      </c>
      <c r="H942" t="s">
        <v>2316</v>
      </c>
      <c r="I942" t="s">
        <v>2317</v>
      </c>
      <c r="J942" t="s">
        <v>2322</v>
      </c>
      <c r="K942" t="s">
        <v>2322</v>
      </c>
      <c r="L942">
        <v>842711</v>
      </c>
      <c r="M942" t="s">
        <v>2331</v>
      </c>
      <c r="N942" t="s">
        <v>2898</v>
      </c>
      <c r="O942" t="s">
        <v>3053</v>
      </c>
      <c r="P942" t="s">
        <v>3062</v>
      </c>
      <c r="Q942" t="s">
        <v>3710</v>
      </c>
      <c r="R942">
        <v>199.05</v>
      </c>
      <c r="S942">
        <v>2</v>
      </c>
      <c r="T942">
        <v>0.2</v>
      </c>
      <c r="U942">
        <v>31.44</v>
      </c>
    </row>
    <row r="943" spans="1:21" x14ac:dyDescent="0.3">
      <c r="A943">
        <v>942</v>
      </c>
      <c r="B943" t="s">
        <v>962</v>
      </c>
      <c r="C943" s="2">
        <v>45641</v>
      </c>
      <c r="D943" s="2">
        <v>45643</v>
      </c>
      <c r="E943" t="s">
        <v>1523</v>
      </c>
      <c r="F943" t="s">
        <v>1651</v>
      </c>
      <c r="G943" t="s">
        <v>1929</v>
      </c>
      <c r="H943" t="s">
        <v>2314</v>
      </c>
      <c r="I943" t="s">
        <v>2317</v>
      </c>
      <c r="J943" t="s">
        <v>2318</v>
      </c>
      <c r="K943" t="s">
        <v>2318</v>
      </c>
      <c r="L943">
        <v>287660</v>
      </c>
      <c r="M943" t="s">
        <v>2328</v>
      </c>
      <c r="N943" t="s">
        <v>2899</v>
      </c>
      <c r="O943" t="s">
        <v>3053</v>
      </c>
      <c r="P943" t="s">
        <v>3065</v>
      </c>
      <c r="Q943" t="s">
        <v>3711</v>
      </c>
      <c r="R943">
        <v>433.02</v>
      </c>
      <c r="S943">
        <v>6</v>
      </c>
      <c r="T943">
        <v>0</v>
      </c>
      <c r="U943">
        <v>36.409999999999997</v>
      </c>
    </row>
    <row r="944" spans="1:21" x14ac:dyDescent="0.3">
      <c r="A944">
        <v>943</v>
      </c>
      <c r="B944" t="s">
        <v>963</v>
      </c>
      <c r="C944" s="2">
        <v>45898</v>
      </c>
      <c r="D944" s="2">
        <v>45900</v>
      </c>
      <c r="E944" t="s">
        <v>1524</v>
      </c>
      <c r="F944" t="s">
        <v>1793</v>
      </c>
      <c r="G944" t="s">
        <v>2215</v>
      </c>
      <c r="H944" t="s">
        <v>2316</v>
      </c>
      <c r="I944" t="s">
        <v>2317</v>
      </c>
      <c r="J944" t="s">
        <v>2318</v>
      </c>
      <c r="K944" t="s">
        <v>2318</v>
      </c>
      <c r="L944">
        <v>431422</v>
      </c>
      <c r="M944" t="s">
        <v>2328</v>
      </c>
      <c r="N944" t="s">
        <v>2815</v>
      </c>
      <c r="O944" t="s">
        <v>3053</v>
      </c>
      <c r="P944" t="s">
        <v>3066</v>
      </c>
      <c r="Q944" t="s">
        <v>3102</v>
      </c>
      <c r="R944">
        <v>230.1</v>
      </c>
      <c r="S944">
        <v>1</v>
      </c>
      <c r="T944">
        <v>0.3</v>
      </c>
      <c r="U944">
        <v>-82.92</v>
      </c>
    </row>
    <row r="945" spans="1:21" x14ac:dyDescent="0.3">
      <c r="A945">
        <v>944</v>
      </c>
      <c r="B945" t="s">
        <v>964</v>
      </c>
      <c r="C945" s="2">
        <v>45955</v>
      </c>
      <c r="D945" s="2">
        <v>45958</v>
      </c>
      <c r="E945" t="s">
        <v>1522</v>
      </c>
      <c r="F945" t="s">
        <v>1892</v>
      </c>
      <c r="G945" t="s">
        <v>1974</v>
      </c>
      <c r="H945" t="s">
        <v>2315</v>
      </c>
      <c r="I945" t="s">
        <v>2317</v>
      </c>
      <c r="J945" t="s">
        <v>2318</v>
      </c>
      <c r="K945" t="s">
        <v>2318</v>
      </c>
      <c r="L945">
        <v>873331</v>
      </c>
      <c r="M945" t="s">
        <v>2328</v>
      </c>
      <c r="N945" t="s">
        <v>2506</v>
      </c>
      <c r="O945" t="s">
        <v>3055</v>
      </c>
      <c r="P945" t="s">
        <v>3060</v>
      </c>
      <c r="Q945" t="s">
        <v>3712</v>
      </c>
      <c r="R945">
        <v>460.19</v>
      </c>
      <c r="S945">
        <v>7</v>
      </c>
      <c r="T945">
        <v>0.1</v>
      </c>
      <c r="U945">
        <v>81.86</v>
      </c>
    </row>
    <row r="946" spans="1:21" x14ac:dyDescent="0.3">
      <c r="A946">
        <v>945</v>
      </c>
      <c r="B946" t="s">
        <v>965</v>
      </c>
      <c r="C946" s="2">
        <v>45428</v>
      </c>
      <c r="D946" s="2">
        <v>45431</v>
      </c>
      <c r="E946" t="s">
        <v>1522</v>
      </c>
      <c r="F946" t="s">
        <v>1712</v>
      </c>
      <c r="G946" t="s">
        <v>2127</v>
      </c>
      <c r="H946" t="s">
        <v>2314</v>
      </c>
      <c r="I946" t="s">
        <v>2317</v>
      </c>
      <c r="J946" t="s">
        <v>2323</v>
      </c>
      <c r="K946" t="s">
        <v>2323</v>
      </c>
      <c r="L946">
        <v>419464</v>
      </c>
      <c r="M946" t="s">
        <v>2328</v>
      </c>
      <c r="N946" t="s">
        <v>2847</v>
      </c>
      <c r="O946" t="s">
        <v>3055</v>
      </c>
      <c r="P946" t="s">
        <v>3067</v>
      </c>
      <c r="Q946" t="s">
        <v>3713</v>
      </c>
      <c r="R946">
        <v>668.64</v>
      </c>
      <c r="S946">
        <v>6</v>
      </c>
      <c r="T946">
        <v>0.2</v>
      </c>
      <c r="U946">
        <v>92.64</v>
      </c>
    </row>
    <row r="947" spans="1:21" x14ac:dyDescent="0.3">
      <c r="A947">
        <v>946</v>
      </c>
      <c r="B947" t="s">
        <v>966</v>
      </c>
      <c r="C947" s="2">
        <v>45534</v>
      </c>
      <c r="D947" s="2">
        <v>45535</v>
      </c>
      <c r="E947" t="s">
        <v>1524</v>
      </c>
      <c r="F947" t="s">
        <v>1626</v>
      </c>
      <c r="G947" t="s">
        <v>2087</v>
      </c>
      <c r="H947" t="s">
        <v>2315</v>
      </c>
      <c r="I947" t="s">
        <v>2317</v>
      </c>
      <c r="J947" t="s">
        <v>2325</v>
      </c>
      <c r="K947" t="s">
        <v>2325</v>
      </c>
      <c r="L947">
        <v>990330</v>
      </c>
      <c r="M947" t="s">
        <v>2332</v>
      </c>
      <c r="N947" t="s">
        <v>2779</v>
      </c>
      <c r="O947" t="s">
        <v>3053</v>
      </c>
      <c r="P947" t="s">
        <v>3056</v>
      </c>
      <c r="Q947" t="s">
        <v>3714</v>
      </c>
      <c r="R947">
        <v>280.69</v>
      </c>
      <c r="S947">
        <v>5</v>
      </c>
      <c r="T947">
        <v>0.2</v>
      </c>
      <c r="U947">
        <v>-51.51</v>
      </c>
    </row>
    <row r="948" spans="1:21" x14ac:dyDescent="0.3">
      <c r="A948">
        <v>947</v>
      </c>
      <c r="B948" t="s">
        <v>967</v>
      </c>
      <c r="C948" s="2">
        <v>45834</v>
      </c>
      <c r="D948" s="2">
        <v>45838</v>
      </c>
      <c r="E948" t="s">
        <v>1522</v>
      </c>
      <c r="F948" t="s">
        <v>1693</v>
      </c>
      <c r="G948" t="s">
        <v>2251</v>
      </c>
      <c r="H948" t="s">
        <v>2314</v>
      </c>
      <c r="I948" t="s">
        <v>2317</v>
      </c>
      <c r="J948" t="s">
        <v>2326</v>
      </c>
      <c r="K948" t="s">
        <v>2326</v>
      </c>
      <c r="L948">
        <v>840233</v>
      </c>
      <c r="M948" t="s">
        <v>2331</v>
      </c>
      <c r="N948" t="s">
        <v>2900</v>
      </c>
      <c r="O948" t="s">
        <v>3053</v>
      </c>
      <c r="P948" t="s">
        <v>3056</v>
      </c>
      <c r="Q948" t="s">
        <v>3715</v>
      </c>
      <c r="R948">
        <v>482.46</v>
      </c>
      <c r="S948">
        <v>7</v>
      </c>
      <c r="T948">
        <v>0.3</v>
      </c>
      <c r="U948">
        <v>-80.23</v>
      </c>
    </row>
    <row r="949" spans="1:21" x14ac:dyDescent="0.3">
      <c r="A949">
        <v>948</v>
      </c>
      <c r="B949" t="s">
        <v>968</v>
      </c>
      <c r="C949" s="2">
        <v>45331</v>
      </c>
      <c r="D949" s="2">
        <v>45335</v>
      </c>
      <c r="E949" t="s">
        <v>1522</v>
      </c>
      <c r="F949" t="s">
        <v>1727</v>
      </c>
      <c r="G949" t="s">
        <v>1984</v>
      </c>
      <c r="H949" t="s">
        <v>2314</v>
      </c>
      <c r="I949" t="s">
        <v>2317</v>
      </c>
      <c r="J949" t="s">
        <v>2323</v>
      </c>
      <c r="K949" t="s">
        <v>2323</v>
      </c>
      <c r="L949">
        <v>226560</v>
      </c>
      <c r="M949" t="s">
        <v>2328</v>
      </c>
      <c r="N949" t="s">
        <v>2801</v>
      </c>
      <c r="O949" t="s">
        <v>3054</v>
      </c>
      <c r="P949" t="s">
        <v>3058</v>
      </c>
      <c r="Q949" t="s">
        <v>3230</v>
      </c>
      <c r="R949">
        <v>61</v>
      </c>
      <c r="S949">
        <v>4</v>
      </c>
      <c r="T949">
        <v>0.15</v>
      </c>
      <c r="U949">
        <v>53.84</v>
      </c>
    </row>
    <row r="950" spans="1:21" x14ac:dyDescent="0.3">
      <c r="A950">
        <v>949</v>
      </c>
      <c r="B950" t="s">
        <v>969</v>
      </c>
      <c r="C950" s="2">
        <v>45520</v>
      </c>
      <c r="D950" s="2">
        <v>45525</v>
      </c>
      <c r="E950" t="s">
        <v>1521</v>
      </c>
      <c r="F950" t="s">
        <v>1734</v>
      </c>
      <c r="G950" t="s">
        <v>2192</v>
      </c>
      <c r="H950" t="s">
        <v>2316</v>
      </c>
      <c r="I950" t="s">
        <v>2317</v>
      </c>
      <c r="J950" t="s">
        <v>2320</v>
      </c>
      <c r="K950" t="s">
        <v>2320</v>
      </c>
      <c r="L950">
        <v>781675</v>
      </c>
      <c r="M950" t="s">
        <v>2330</v>
      </c>
      <c r="N950" t="s">
        <v>2901</v>
      </c>
      <c r="O950" t="s">
        <v>3053</v>
      </c>
      <c r="P950" t="s">
        <v>3056</v>
      </c>
      <c r="Q950" t="s">
        <v>3714</v>
      </c>
      <c r="R950">
        <v>208.69</v>
      </c>
      <c r="S950">
        <v>4</v>
      </c>
      <c r="T950">
        <v>0</v>
      </c>
      <c r="U950">
        <v>43.84</v>
      </c>
    </row>
    <row r="951" spans="1:21" x14ac:dyDescent="0.3">
      <c r="A951">
        <v>950</v>
      </c>
      <c r="B951" t="s">
        <v>970</v>
      </c>
      <c r="C951" s="2">
        <v>45839</v>
      </c>
      <c r="D951" s="2">
        <v>45841</v>
      </c>
      <c r="E951" t="s">
        <v>1521</v>
      </c>
      <c r="F951" t="s">
        <v>1875</v>
      </c>
      <c r="G951" t="s">
        <v>1975</v>
      </c>
      <c r="H951" t="s">
        <v>2316</v>
      </c>
      <c r="I951" t="s">
        <v>2317</v>
      </c>
      <c r="J951" t="s">
        <v>2322</v>
      </c>
      <c r="K951" t="s">
        <v>2322</v>
      </c>
      <c r="L951">
        <v>841001</v>
      </c>
      <c r="M951" t="s">
        <v>2331</v>
      </c>
      <c r="N951" t="s">
        <v>2902</v>
      </c>
      <c r="O951" t="s">
        <v>3053</v>
      </c>
      <c r="P951" t="s">
        <v>3062</v>
      </c>
      <c r="Q951" t="s">
        <v>3716</v>
      </c>
      <c r="R951">
        <v>130.33000000000001</v>
      </c>
      <c r="S951">
        <v>4</v>
      </c>
      <c r="T951">
        <v>0.2</v>
      </c>
      <c r="U951">
        <v>37.25</v>
      </c>
    </row>
    <row r="952" spans="1:21" x14ac:dyDescent="0.3">
      <c r="A952">
        <v>951</v>
      </c>
      <c r="B952" t="s">
        <v>971</v>
      </c>
      <c r="C952" s="2">
        <v>45514</v>
      </c>
      <c r="D952" s="2">
        <v>45517</v>
      </c>
      <c r="E952" t="s">
        <v>1521</v>
      </c>
      <c r="F952" t="s">
        <v>1713</v>
      </c>
      <c r="G952" t="s">
        <v>2073</v>
      </c>
      <c r="H952" t="s">
        <v>2316</v>
      </c>
      <c r="I952" t="s">
        <v>2317</v>
      </c>
      <c r="J952" t="s">
        <v>2321</v>
      </c>
      <c r="K952" t="s">
        <v>2321</v>
      </c>
      <c r="L952">
        <v>176497</v>
      </c>
      <c r="M952" t="s">
        <v>2329</v>
      </c>
      <c r="N952" t="s">
        <v>2903</v>
      </c>
      <c r="O952" t="s">
        <v>3053</v>
      </c>
      <c r="P952" t="s">
        <v>3062</v>
      </c>
      <c r="Q952" t="s">
        <v>3655</v>
      </c>
      <c r="R952">
        <v>45.83</v>
      </c>
      <c r="S952">
        <v>8</v>
      </c>
      <c r="T952">
        <v>0.4</v>
      </c>
      <c r="U952">
        <v>6.41</v>
      </c>
    </row>
    <row r="953" spans="1:21" x14ac:dyDescent="0.3">
      <c r="A953">
        <v>952</v>
      </c>
      <c r="B953" t="s">
        <v>972</v>
      </c>
      <c r="C953" s="2">
        <v>45297</v>
      </c>
      <c r="D953" s="2">
        <v>45300</v>
      </c>
      <c r="E953" t="s">
        <v>1521</v>
      </c>
      <c r="F953" t="s">
        <v>1802</v>
      </c>
      <c r="G953" t="s">
        <v>2032</v>
      </c>
      <c r="H953" t="s">
        <v>2315</v>
      </c>
      <c r="I953" t="s">
        <v>2317</v>
      </c>
      <c r="J953" t="s">
        <v>2326</v>
      </c>
      <c r="K953" t="s">
        <v>2326</v>
      </c>
      <c r="L953">
        <v>797268</v>
      </c>
      <c r="M953" t="s">
        <v>2331</v>
      </c>
      <c r="N953" t="s">
        <v>2893</v>
      </c>
      <c r="O953" t="s">
        <v>3054</v>
      </c>
      <c r="P953" t="s">
        <v>3058</v>
      </c>
      <c r="Q953" t="s">
        <v>3463</v>
      </c>
      <c r="R953">
        <v>47.89</v>
      </c>
      <c r="S953">
        <v>9</v>
      </c>
      <c r="T953">
        <v>0.3</v>
      </c>
      <c r="U953">
        <v>19.16</v>
      </c>
    </row>
    <row r="954" spans="1:21" x14ac:dyDescent="0.3">
      <c r="A954">
        <v>953</v>
      </c>
      <c r="B954" t="s">
        <v>973</v>
      </c>
      <c r="C954" s="2">
        <v>45613</v>
      </c>
      <c r="D954" s="2">
        <v>45617</v>
      </c>
      <c r="E954" t="s">
        <v>1524</v>
      </c>
      <c r="F954" t="s">
        <v>1896</v>
      </c>
      <c r="G954" t="s">
        <v>2282</v>
      </c>
      <c r="H954" t="s">
        <v>2316</v>
      </c>
      <c r="I954" t="s">
        <v>2317</v>
      </c>
      <c r="J954" t="s">
        <v>2324</v>
      </c>
      <c r="K954" t="s">
        <v>2324</v>
      </c>
      <c r="L954">
        <v>618567</v>
      </c>
      <c r="M954" t="s">
        <v>2330</v>
      </c>
      <c r="N954" t="s">
        <v>2897</v>
      </c>
      <c r="O954" t="s">
        <v>3054</v>
      </c>
      <c r="P954" t="s">
        <v>3058</v>
      </c>
      <c r="Q954" t="s">
        <v>3717</v>
      </c>
      <c r="R954">
        <v>379.26</v>
      </c>
      <c r="S954">
        <v>7</v>
      </c>
      <c r="T954">
        <v>0</v>
      </c>
      <c r="U954">
        <v>65.19</v>
      </c>
    </row>
    <row r="955" spans="1:21" x14ac:dyDescent="0.3">
      <c r="A955">
        <v>954</v>
      </c>
      <c r="B955" t="s">
        <v>974</v>
      </c>
      <c r="C955" s="2">
        <v>45759</v>
      </c>
      <c r="D955" s="2">
        <v>45761</v>
      </c>
      <c r="E955" t="s">
        <v>1523</v>
      </c>
      <c r="F955" t="s">
        <v>1853</v>
      </c>
      <c r="G955" t="s">
        <v>1967</v>
      </c>
      <c r="H955" t="s">
        <v>2316</v>
      </c>
      <c r="I955" t="s">
        <v>2317</v>
      </c>
      <c r="J955" t="s">
        <v>2320</v>
      </c>
      <c r="K955" t="s">
        <v>2320</v>
      </c>
      <c r="L955">
        <v>401729</v>
      </c>
      <c r="M955" t="s">
        <v>2330</v>
      </c>
      <c r="N955" t="s">
        <v>2904</v>
      </c>
      <c r="O955" t="s">
        <v>3053</v>
      </c>
      <c r="P955" t="s">
        <v>3065</v>
      </c>
      <c r="Q955" t="s">
        <v>3090</v>
      </c>
      <c r="R955">
        <v>123.92</v>
      </c>
      <c r="S955">
        <v>3</v>
      </c>
      <c r="T955">
        <v>0.1</v>
      </c>
      <c r="U955">
        <v>35.81</v>
      </c>
    </row>
    <row r="956" spans="1:21" x14ac:dyDescent="0.3">
      <c r="A956">
        <v>955</v>
      </c>
      <c r="B956" t="s">
        <v>975</v>
      </c>
      <c r="C956" s="2">
        <v>45366</v>
      </c>
      <c r="D956" s="2">
        <v>45368</v>
      </c>
      <c r="E956" t="s">
        <v>1523</v>
      </c>
      <c r="F956" t="s">
        <v>1787</v>
      </c>
      <c r="G956" t="s">
        <v>2231</v>
      </c>
      <c r="H956" t="s">
        <v>2315</v>
      </c>
      <c r="I956" t="s">
        <v>2317</v>
      </c>
      <c r="J956" t="s">
        <v>2326</v>
      </c>
      <c r="K956" t="s">
        <v>2326</v>
      </c>
      <c r="L956">
        <v>289506</v>
      </c>
      <c r="M956" t="s">
        <v>2331</v>
      </c>
      <c r="N956" t="s">
        <v>2891</v>
      </c>
      <c r="O956" t="s">
        <v>3054</v>
      </c>
      <c r="P956" t="s">
        <v>3058</v>
      </c>
      <c r="Q956" t="s">
        <v>3378</v>
      </c>
      <c r="R956">
        <v>63.49</v>
      </c>
      <c r="S956">
        <v>9</v>
      </c>
      <c r="T956">
        <v>0</v>
      </c>
      <c r="U956">
        <v>-39.94</v>
      </c>
    </row>
    <row r="957" spans="1:21" x14ac:dyDescent="0.3">
      <c r="A957">
        <v>956</v>
      </c>
      <c r="B957" t="s">
        <v>976</v>
      </c>
      <c r="C957" s="2">
        <v>45295</v>
      </c>
      <c r="D957" s="2">
        <v>45301</v>
      </c>
      <c r="E957" t="s">
        <v>1524</v>
      </c>
      <c r="F957" t="s">
        <v>1867</v>
      </c>
      <c r="G957" t="s">
        <v>1975</v>
      </c>
      <c r="H957" t="s">
        <v>2314</v>
      </c>
      <c r="I957" t="s">
        <v>2317</v>
      </c>
      <c r="J957" t="s">
        <v>2323</v>
      </c>
      <c r="K957" t="s">
        <v>2323</v>
      </c>
      <c r="L957">
        <v>140693</v>
      </c>
      <c r="M957" t="s">
        <v>2328</v>
      </c>
      <c r="N957" t="s">
        <v>2552</v>
      </c>
      <c r="O957" t="s">
        <v>3055</v>
      </c>
      <c r="P957" t="s">
        <v>3061</v>
      </c>
      <c r="Q957" t="s">
        <v>3332</v>
      </c>
      <c r="R957">
        <v>209.75</v>
      </c>
      <c r="S957">
        <v>3</v>
      </c>
      <c r="T957">
        <v>0.2</v>
      </c>
      <c r="U957">
        <v>16.14</v>
      </c>
    </row>
    <row r="958" spans="1:21" x14ac:dyDescent="0.3">
      <c r="A958">
        <v>957</v>
      </c>
      <c r="B958" t="s">
        <v>977</v>
      </c>
      <c r="C958" s="2">
        <v>45937</v>
      </c>
      <c r="D958" s="2">
        <v>45942</v>
      </c>
      <c r="E958" t="s">
        <v>1523</v>
      </c>
      <c r="F958" t="s">
        <v>1556</v>
      </c>
      <c r="G958" t="s">
        <v>2018</v>
      </c>
      <c r="H958" t="s">
        <v>2315</v>
      </c>
      <c r="I958" t="s">
        <v>2317</v>
      </c>
      <c r="J958" t="s">
        <v>2319</v>
      </c>
      <c r="K958" t="s">
        <v>2319</v>
      </c>
      <c r="L958">
        <v>829063</v>
      </c>
      <c r="M958" t="s">
        <v>2329</v>
      </c>
      <c r="N958" t="s">
        <v>2652</v>
      </c>
      <c r="O958" t="s">
        <v>3053</v>
      </c>
      <c r="P958" t="s">
        <v>3065</v>
      </c>
      <c r="Q958" t="s">
        <v>3646</v>
      </c>
      <c r="R958">
        <v>785.71</v>
      </c>
      <c r="S958">
        <v>7</v>
      </c>
      <c r="T958">
        <v>0.2</v>
      </c>
      <c r="U958">
        <v>-16.920000000000002</v>
      </c>
    </row>
    <row r="959" spans="1:21" x14ac:dyDescent="0.3">
      <c r="A959">
        <v>958</v>
      </c>
      <c r="B959" t="s">
        <v>978</v>
      </c>
      <c r="C959" s="2">
        <v>45409</v>
      </c>
      <c r="D959" s="2">
        <v>45410</v>
      </c>
      <c r="E959" t="s">
        <v>1521</v>
      </c>
      <c r="F959" t="s">
        <v>1836</v>
      </c>
      <c r="G959" t="s">
        <v>2021</v>
      </c>
      <c r="H959" t="s">
        <v>2315</v>
      </c>
      <c r="I959" t="s">
        <v>2317</v>
      </c>
      <c r="J959" t="s">
        <v>2321</v>
      </c>
      <c r="K959" t="s">
        <v>2321</v>
      </c>
      <c r="L959">
        <v>997277</v>
      </c>
      <c r="M959" t="s">
        <v>2329</v>
      </c>
      <c r="N959" t="s">
        <v>2905</v>
      </c>
      <c r="O959" t="s">
        <v>3053</v>
      </c>
      <c r="P959" t="s">
        <v>3066</v>
      </c>
      <c r="Q959" t="s">
        <v>3189</v>
      </c>
      <c r="R959">
        <v>340.67</v>
      </c>
      <c r="S959">
        <v>3</v>
      </c>
      <c r="T959">
        <v>0.05</v>
      </c>
      <c r="U959">
        <v>-1.36</v>
      </c>
    </row>
    <row r="960" spans="1:21" x14ac:dyDescent="0.3">
      <c r="A960">
        <v>959</v>
      </c>
      <c r="B960" t="s">
        <v>979</v>
      </c>
      <c r="C960" s="2">
        <v>45897</v>
      </c>
      <c r="D960" s="2">
        <v>45901</v>
      </c>
      <c r="E960" t="s">
        <v>1522</v>
      </c>
      <c r="F960" t="s">
        <v>1574</v>
      </c>
      <c r="G960" t="s">
        <v>1927</v>
      </c>
      <c r="H960" t="s">
        <v>2314</v>
      </c>
      <c r="I960" t="s">
        <v>2317</v>
      </c>
      <c r="J960" t="s">
        <v>2326</v>
      </c>
      <c r="K960" t="s">
        <v>2326</v>
      </c>
      <c r="L960">
        <v>804410</v>
      </c>
      <c r="M960" t="s">
        <v>2331</v>
      </c>
      <c r="N960" t="s">
        <v>2906</v>
      </c>
      <c r="O960" t="s">
        <v>3053</v>
      </c>
      <c r="P960" t="s">
        <v>3056</v>
      </c>
      <c r="Q960" t="s">
        <v>3618</v>
      </c>
      <c r="R960">
        <v>200.71</v>
      </c>
      <c r="S960">
        <v>7</v>
      </c>
      <c r="T960">
        <v>0.4</v>
      </c>
      <c r="U960">
        <v>42.71</v>
      </c>
    </row>
    <row r="961" spans="1:21" x14ac:dyDescent="0.3">
      <c r="A961">
        <v>960</v>
      </c>
      <c r="B961" t="s">
        <v>980</v>
      </c>
      <c r="C961" s="2">
        <v>45795</v>
      </c>
      <c r="D961" s="2">
        <v>45797</v>
      </c>
      <c r="E961" t="s">
        <v>1521</v>
      </c>
      <c r="F961" t="s">
        <v>1897</v>
      </c>
      <c r="G961" t="s">
        <v>2071</v>
      </c>
      <c r="H961" t="s">
        <v>2316</v>
      </c>
      <c r="I961" t="s">
        <v>2317</v>
      </c>
      <c r="J961" t="s">
        <v>2325</v>
      </c>
      <c r="K961" t="s">
        <v>2325</v>
      </c>
      <c r="L961">
        <v>834664</v>
      </c>
      <c r="M961" t="s">
        <v>2332</v>
      </c>
      <c r="N961" t="s">
        <v>2622</v>
      </c>
      <c r="O961" t="s">
        <v>3054</v>
      </c>
      <c r="P961" t="s">
        <v>3058</v>
      </c>
      <c r="Q961" t="s">
        <v>3342</v>
      </c>
      <c r="R961">
        <v>45.36</v>
      </c>
      <c r="S961">
        <v>9</v>
      </c>
      <c r="T961">
        <v>0.1</v>
      </c>
      <c r="U961">
        <v>-17.329999999999998</v>
      </c>
    </row>
    <row r="962" spans="1:21" x14ac:dyDescent="0.3">
      <c r="A962">
        <v>961</v>
      </c>
      <c r="B962" t="s">
        <v>981</v>
      </c>
      <c r="C962" s="2">
        <v>45865</v>
      </c>
      <c r="D962" s="2">
        <v>45868</v>
      </c>
      <c r="E962" t="s">
        <v>1522</v>
      </c>
      <c r="F962" t="s">
        <v>1782</v>
      </c>
      <c r="G962" t="s">
        <v>2221</v>
      </c>
      <c r="H962" t="s">
        <v>2314</v>
      </c>
      <c r="I962" t="s">
        <v>2317</v>
      </c>
      <c r="J962" t="s">
        <v>2318</v>
      </c>
      <c r="K962" t="s">
        <v>2318</v>
      </c>
      <c r="L962">
        <v>189364</v>
      </c>
      <c r="M962" t="s">
        <v>2328</v>
      </c>
      <c r="N962" t="s">
        <v>2399</v>
      </c>
      <c r="O962" t="s">
        <v>3054</v>
      </c>
      <c r="P962" t="s">
        <v>3063</v>
      </c>
      <c r="Q962" t="s">
        <v>3117</v>
      </c>
      <c r="R962">
        <v>27.15</v>
      </c>
      <c r="S962">
        <v>3</v>
      </c>
      <c r="T962">
        <v>0.1</v>
      </c>
      <c r="U962">
        <v>-34.03</v>
      </c>
    </row>
    <row r="963" spans="1:21" x14ac:dyDescent="0.3">
      <c r="A963">
        <v>962</v>
      </c>
      <c r="B963" t="s">
        <v>982</v>
      </c>
      <c r="C963" s="2">
        <v>45732</v>
      </c>
      <c r="D963" s="2">
        <v>45736</v>
      </c>
      <c r="E963" t="s">
        <v>1523</v>
      </c>
      <c r="F963" t="s">
        <v>1570</v>
      </c>
      <c r="G963" t="s">
        <v>2070</v>
      </c>
      <c r="H963" t="s">
        <v>2314</v>
      </c>
      <c r="I963" t="s">
        <v>2317</v>
      </c>
      <c r="J963" t="s">
        <v>2318</v>
      </c>
      <c r="K963" t="s">
        <v>2318</v>
      </c>
      <c r="L963">
        <v>141410</v>
      </c>
      <c r="M963" t="s">
        <v>2328</v>
      </c>
      <c r="N963" t="s">
        <v>2907</v>
      </c>
      <c r="O963" t="s">
        <v>3055</v>
      </c>
      <c r="P963" t="s">
        <v>3059</v>
      </c>
      <c r="Q963" t="s">
        <v>3718</v>
      </c>
      <c r="R963">
        <v>404.04</v>
      </c>
      <c r="S963">
        <v>9</v>
      </c>
      <c r="T963">
        <v>0.3</v>
      </c>
      <c r="U963">
        <v>12.47</v>
      </c>
    </row>
    <row r="964" spans="1:21" x14ac:dyDescent="0.3">
      <c r="A964">
        <v>963</v>
      </c>
      <c r="B964" t="s">
        <v>983</v>
      </c>
      <c r="C964" s="2">
        <v>45485</v>
      </c>
      <c r="D964" s="2">
        <v>45486</v>
      </c>
      <c r="E964" t="s">
        <v>1522</v>
      </c>
      <c r="F964" t="s">
        <v>1896</v>
      </c>
      <c r="G964" t="s">
        <v>1950</v>
      </c>
      <c r="H964" t="s">
        <v>2316</v>
      </c>
      <c r="I964" t="s">
        <v>2317</v>
      </c>
      <c r="J964" t="s">
        <v>2321</v>
      </c>
      <c r="K964" t="s">
        <v>2321</v>
      </c>
      <c r="L964">
        <v>437563</v>
      </c>
      <c r="M964" t="s">
        <v>2329</v>
      </c>
      <c r="N964" t="s">
        <v>2722</v>
      </c>
      <c r="O964" t="s">
        <v>3054</v>
      </c>
      <c r="P964" t="s">
        <v>3057</v>
      </c>
      <c r="Q964" t="s">
        <v>3324</v>
      </c>
      <c r="R964">
        <v>157.66</v>
      </c>
      <c r="S964">
        <v>1</v>
      </c>
      <c r="T964">
        <v>0.3</v>
      </c>
      <c r="U964">
        <v>25.69</v>
      </c>
    </row>
    <row r="965" spans="1:21" x14ac:dyDescent="0.3">
      <c r="A965">
        <v>964</v>
      </c>
      <c r="B965" t="s">
        <v>984</v>
      </c>
      <c r="C965" s="2">
        <v>46006</v>
      </c>
      <c r="D965" s="2">
        <v>46009</v>
      </c>
      <c r="E965" t="s">
        <v>1524</v>
      </c>
      <c r="F965" t="s">
        <v>1766</v>
      </c>
      <c r="G965" t="s">
        <v>2280</v>
      </c>
      <c r="H965" t="s">
        <v>2315</v>
      </c>
      <c r="I965" t="s">
        <v>2317</v>
      </c>
      <c r="J965" t="s">
        <v>2323</v>
      </c>
      <c r="K965" t="s">
        <v>2323</v>
      </c>
      <c r="L965">
        <v>577258</v>
      </c>
      <c r="M965" t="s">
        <v>2328</v>
      </c>
      <c r="N965" t="s">
        <v>2736</v>
      </c>
      <c r="O965" t="s">
        <v>3053</v>
      </c>
      <c r="P965" t="s">
        <v>3066</v>
      </c>
      <c r="Q965" t="s">
        <v>3101</v>
      </c>
      <c r="R965">
        <v>473.02</v>
      </c>
      <c r="S965">
        <v>9</v>
      </c>
      <c r="T965">
        <v>0.15</v>
      </c>
      <c r="U965">
        <v>-28.82</v>
      </c>
    </row>
    <row r="966" spans="1:21" x14ac:dyDescent="0.3">
      <c r="A966">
        <v>965</v>
      </c>
      <c r="B966" t="s">
        <v>985</v>
      </c>
      <c r="C966" s="2">
        <v>45683</v>
      </c>
      <c r="D966" s="2">
        <v>45686</v>
      </c>
      <c r="E966" t="s">
        <v>1523</v>
      </c>
      <c r="F966" t="s">
        <v>1560</v>
      </c>
      <c r="G966" t="s">
        <v>1983</v>
      </c>
      <c r="H966" t="s">
        <v>2314</v>
      </c>
      <c r="I966" t="s">
        <v>2317</v>
      </c>
      <c r="J966" t="s">
        <v>2318</v>
      </c>
      <c r="K966" t="s">
        <v>2318</v>
      </c>
      <c r="L966">
        <v>334625</v>
      </c>
      <c r="M966" t="s">
        <v>2328</v>
      </c>
      <c r="N966" t="s">
        <v>2908</v>
      </c>
      <c r="O966" t="s">
        <v>3055</v>
      </c>
      <c r="P966" t="s">
        <v>3067</v>
      </c>
      <c r="Q966" t="s">
        <v>3118</v>
      </c>
      <c r="R966">
        <v>131.22999999999999</v>
      </c>
      <c r="S966">
        <v>3</v>
      </c>
      <c r="T966">
        <v>0.2</v>
      </c>
      <c r="U966">
        <v>26.32</v>
      </c>
    </row>
    <row r="967" spans="1:21" x14ac:dyDescent="0.3">
      <c r="A967">
        <v>966</v>
      </c>
      <c r="B967" t="s">
        <v>986</v>
      </c>
      <c r="C967" s="2">
        <v>45317</v>
      </c>
      <c r="D967" s="2">
        <v>45323</v>
      </c>
      <c r="E967" t="s">
        <v>1521</v>
      </c>
      <c r="F967" t="s">
        <v>1733</v>
      </c>
      <c r="G967" t="s">
        <v>2284</v>
      </c>
      <c r="H967" t="s">
        <v>2315</v>
      </c>
      <c r="I967" t="s">
        <v>2317</v>
      </c>
      <c r="J967" t="s">
        <v>2326</v>
      </c>
      <c r="K967" t="s">
        <v>2326</v>
      </c>
      <c r="L967">
        <v>351176</v>
      </c>
      <c r="M967" t="s">
        <v>2331</v>
      </c>
      <c r="N967" t="s">
        <v>2909</v>
      </c>
      <c r="O967" t="s">
        <v>3055</v>
      </c>
      <c r="P967" t="s">
        <v>3067</v>
      </c>
      <c r="Q967" t="s">
        <v>3719</v>
      </c>
      <c r="R967">
        <v>309.12</v>
      </c>
      <c r="S967">
        <v>8</v>
      </c>
      <c r="T967">
        <v>0.2</v>
      </c>
      <c r="U967">
        <v>39.479999999999997</v>
      </c>
    </row>
    <row r="968" spans="1:21" x14ac:dyDescent="0.3">
      <c r="A968">
        <v>967</v>
      </c>
      <c r="B968" t="s">
        <v>987</v>
      </c>
      <c r="C968" s="2">
        <v>45726</v>
      </c>
      <c r="D968" s="2">
        <v>45727</v>
      </c>
      <c r="E968" t="s">
        <v>1522</v>
      </c>
      <c r="F968" t="s">
        <v>1884</v>
      </c>
      <c r="G968" t="s">
        <v>1957</v>
      </c>
      <c r="H968" t="s">
        <v>2316</v>
      </c>
      <c r="I968" t="s">
        <v>2317</v>
      </c>
      <c r="J968" t="s">
        <v>2324</v>
      </c>
      <c r="K968" t="s">
        <v>2324</v>
      </c>
      <c r="L968">
        <v>779760</v>
      </c>
      <c r="M968" t="s">
        <v>2330</v>
      </c>
      <c r="N968" t="s">
        <v>2661</v>
      </c>
      <c r="O968" t="s">
        <v>3053</v>
      </c>
      <c r="P968" t="s">
        <v>3062</v>
      </c>
      <c r="Q968" t="s">
        <v>3720</v>
      </c>
      <c r="R968">
        <v>402</v>
      </c>
      <c r="S968">
        <v>7</v>
      </c>
      <c r="T968">
        <v>0.1</v>
      </c>
      <c r="U968">
        <v>62.23</v>
      </c>
    </row>
    <row r="969" spans="1:21" x14ac:dyDescent="0.3">
      <c r="A969">
        <v>968</v>
      </c>
      <c r="B969" t="s">
        <v>988</v>
      </c>
      <c r="C969" s="2">
        <v>45464</v>
      </c>
      <c r="D969" s="2">
        <v>45467</v>
      </c>
      <c r="E969" t="s">
        <v>1522</v>
      </c>
      <c r="F969" t="s">
        <v>1863</v>
      </c>
      <c r="G969" t="s">
        <v>2205</v>
      </c>
      <c r="H969" t="s">
        <v>2315</v>
      </c>
      <c r="I969" t="s">
        <v>2317</v>
      </c>
      <c r="J969" t="s">
        <v>2322</v>
      </c>
      <c r="K969" t="s">
        <v>2322</v>
      </c>
      <c r="L969">
        <v>157300</v>
      </c>
      <c r="M969" t="s">
        <v>2331</v>
      </c>
      <c r="N969" t="s">
        <v>2910</v>
      </c>
      <c r="O969" t="s">
        <v>3055</v>
      </c>
      <c r="P969" t="s">
        <v>3060</v>
      </c>
      <c r="Q969" t="s">
        <v>3721</v>
      </c>
      <c r="R969">
        <v>173.91</v>
      </c>
      <c r="S969">
        <v>5</v>
      </c>
      <c r="T969">
        <v>0.15</v>
      </c>
      <c r="U969">
        <v>31.68</v>
      </c>
    </row>
    <row r="970" spans="1:21" x14ac:dyDescent="0.3">
      <c r="A970">
        <v>969</v>
      </c>
      <c r="B970" t="s">
        <v>989</v>
      </c>
      <c r="C970" s="2">
        <v>45591</v>
      </c>
      <c r="D970" s="2">
        <v>45592</v>
      </c>
      <c r="E970" t="s">
        <v>1522</v>
      </c>
      <c r="F970" t="s">
        <v>1720</v>
      </c>
      <c r="G970" t="s">
        <v>2255</v>
      </c>
      <c r="H970" t="s">
        <v>2315</v>
      </c>
      <c r="I970" t="s">
        <v>2317</v>
      </c>
      <c r="J970" t="s">
        <v>2322</v>
      </c>
      <c r="K970" t="s">
        <v>2322</v>
      </c>
      <c r="L970">
        <v>847417</v>
      </c>
      <c r="M970" t="s">
        <v>2331</v>
      </c>
      <c r="N970" t="s">
        <v>2500</v>
      </c>
      <c r="O970" t="s">
        <v>3055</v>
      </c>
      <c r="P970" t="s">
        <v>3060</v>
      </c>
      <c r="Q970" t="s">
        <v>3317</v>
      </c>
      <c r="R970">
        <v>311</v>
      </c>
      <c r="S970">
        <v>1</v>
      </c>
      <c r="T970">
        <v>0</v>
      </c>
      <c r="U970">
        <v>26.23</v>
      </c>
    </row>
    <row r="971" spans="1:21" x14ac:dyDescent="0.3">
      <c r="A971">
        <v>970</v>
      </c>
      <c r="B971" t="s">
        <v>990</v>
      </c>
      <c r="C971" s="2">
        <v>45936</v>
      </c>
      <c r="D971" s="2">
        <v>45940</v>
      </c>
      <c r="E971" t="s">
        <v>1521</v>
      </c>
      <c r="F971" t="s">
        <v>1586</v>
      </c>
      <c r="G971" t="s">
        <v>2190</v>
      </c>
      <c r="H971" t="s">
        <v>2316</v>
      </c>
      <c r="I971" t="s">
        <v>2317</v>
      </c>
      <c r="J971" t="s">
        <v>2320</v>
      </c>
      <c r="K971" t="s">
        <v>2320</v>
      </c>
      <c r="L971">
        <v>324388</v>
      </c>
      <c r="M971" t="s">
        <v>2330</v>
      </c>
      <c r="N971" t="s">
        <v>2911</v>
      </c>
      <c r="O971" t="s">
        <v>3055</v>
      </c>
      <c r="P971" t="s">
        <v>3067</v>
      </c>
      <c r="Q971" t="s">
        <v>3625</v>
      </c>
      <c r="R971">
        <v>791.17</v>
      </c>
      <c r="S971">
        <v>8</v>
      </c>
      <c r="T971">
        <v>0.3</v>
      </c>
      <c r="U971">
        <v>27.33</v>
      </c>
    </row>
    <row r="972" spans="1:21" x14ac:dyDescent="0.3">
      <c r="A972">
        <v>971</v>
      </c>
      <c r="B972" t="s">
        <v>991</v>
      </c>
      <c r="C972" s="2">
        <v>45617</v>
      </c>
      <c r="D972" s="2">
        <v>45620</v>
      </c>
      <c r="E972" t="s">
        <v>1521</v>
      </c>
      <c r="F972" t="s">
        <v>1670</v>
      </c>
      <c r="G972" t="s">
        <v>2292</v>
      </c>
      <c r="H972" t="s">
        <v>2314</v>
      </c>
      <c r="I972" t="s">
        <v>2317</v>
      </c>
      <c r="J972" t="s">
        <v>2327</v>
      </c>
      <c r="K972" t="s">
        <v>2327</v>
      </c>
      <c r="L972">
        <v>616656</v>
      </c>
      <c r="M972" t="s">
        <v>2330</v>
      </c>
      <c r="N972" t="s">
        <v>2810</v>
      </c>
      <c r="O972" t="s">
        <v>3053</v>
      </c>
      <c r="P972" t="s">
        <v>3065</v>
      </c>
      <c r="Q972" t="s">
        <v>3465</v>
      </c>
      <c r="R972">
        <v>368.79</v>
      </c>
      <c r="S972">
        <v>6</v>
      </c>
      <c r="T972">
        <v>0.2</v>
      </c>
      <c r="U972">
        <v>50.16</v>
      </c>
    </row>
    <row r="973" spans="1:21" x14ac:dyDescent="0.3">
      <c r="A973">
        <v>972</v>
      </c>
      <c r="B973" t="s">
        <v>992</v>
      </c>
      <c r="C973" s="2">
        <v>45701</v>
      </c>
      <c r="D973" s="2">
        <v>45704</v>
      </c>
      <c r="E973" t="s">
        <v>1523</v>
      </c>
      <c r="F973" t="s">
        <v>1634</v>
      </c>
      <c r="G973" t="s">
        <v>1997</v>
      </c>
      <c r="H973" t="s">
        <v>2314</v>
      </c>
      <c r="I973" t="s">
        <v>2317</v>
      </c>
      <c r="J973" t="s">
        <v>2319</v>
      </c>
      <c r="K973" t="s">
        <v>2319</v>
      </c>
      <c r="L973">
        <v>526986</v>
      </c>
      <c r="M973" t="s">
        <v>2329</v>
      </c>
      <c r="N973" t="s">
        <v>2643</v>
      </c>
      <c r="O973" t="s">
        <v>3054</v>
      </c>
      <c r="P973" t="s">
        <v>3063</v>
      </c>
      <c r="Q973" t="s">
        <v>3722</v>
      </c>
      <c r="R973">
        <v>103.08</v>
      </c>
      <c r="S973">
        <v>5</v>
      </c>
      <c r="T973">
        <v>0.1</v>
      </c>
      <c r="U973">
        <v>14.76</v>
      </c>
    </row>
    <row r="974" spans="1:21" x14ac:dyDescent="0.3">
      <c r="A974">
        <v>973</v>
      </c>
      <c r="B974" t="s">
        <v>993</v>
      </c>
      <c r="C974" s="2">
        <v>45409</v>
      </c>
      <c r="D974" s="2">
        <v>45412</v>
      </c>
      <c r="E974" t="s">
        <v>1524</v>
      </c>
      <c r="F974" t="s">
        <v>1874</v>
      </c>
      <c r="G974" t="s">
        <v>2144</v>
      </c>
      <c r="H974" t="s">
        <v>2316</v>
      </c>
      <c r="I974" t="s">
        <v>2317</v>
      </c>
      <c r="J974" t="s">
        <v>2321</v>
      </c>
      <c r="K974" t="s">
        <v>2321</v>
      </c>
      <c r="L974">
        <v>244582</v>
      </c>
      <c r="M974" t="s">
        <v>2329</v>
      </c>
      <c r="N974" t="s">
        <v>2912</v>
      </c>
      <c r="O974" t="s">
        <v>3053</v>
      </c>
      <c r="P974" t="s">
        <v>3056</v>
      </c>
      <c r="Q974" t="s">
        <v>3553</v>
      </c>
      <c r="R974">
        <v>181.27</v>
      </c>
      <c r="S974">
        <v>4</v>
      </c>
      <c r="T974">
        <v>0.3</v>
      </c>
      <c r="U974">
        <v>38.65</v>
      </c>
    </row>
    <row r="975" spans="1:21" x14ac:dyDescent="0.3">
      <c r="A975">
        <v>974</v>
      </c>
      <c r="B975" t="s">
        <v>994</v>
      </c>
      <c r="C975" s="2">
        <v>46015</v>
      </c>
      <c r="D975" s="2">
        <v>46018</v>
      </c>
      <c r="E975" t="s">
        <v>1521</v>
      </c>
      <c r="F975" t="s">
        <v>1706</v>
      </c>
      <c r="G975" t="s">
        <v>2278</v>
      </c>
      <c r="H975" t="s">
        <v>2315</v>
      </c>
      <c r="I975" t="s">
        <v>2317</v>
      </c>
      <c r="J975" t="s">
        <v>2320</v>
      </c>
      <c r="K975" t="s">
        <v>2320</v>
      </c>
      <c r="L975">
        <v>666401</v>
      </c>
      <c r="M975" t="s">
        <v>2330</v>
      </c>
      <c r="N975" t="s">
        <v>2454</v>
      </c>
      <c r="O975" t="s">
        <v>3054</v>
      </c>
      <c r="P975" t="s">
        <v>3058</v>
      </c>
      <c r="Q975" t="s">
        <v>3303</v>
      </c>
      <c r="R975">
        <v>109.5</v>
      </c>
      <c r="S975">
        <v>1</v>
      </c>
      <c r="T975">
        <v>0.05</v>
      </c>
      <c r="U975">
        <v>47.87</v>
      </c>
    </row>
    <row r="976" spans="1:21" x14ac:dyDescent="0.3">
      <c r="A976">
        <v>975</v>
      </c>
      <c r="B976" t="s">
        <v>995</v>
      </c>
      <c r="C976" s="2">
        <v>45516</v>
      </c>
      <c r="D976" s="2">
        <v>45518</v>
      </c>
      <c r="E976" t="s">
        <v>1523</v>
      </c>
      <c r="F976" t="s">
        <v>1636</v>
      </c>
      <c r="G976" t="s">
        <v>2077</v>
      </c>
      <c r="H976" t="s">
        <v>2314</v>
      </c>
      <c r="I976" t="s">
        <v>2317</v>
      </c>
      <c r="J976" t="s">
        <v>2327</v>
      </c>
      <c r="K976" t="s">
        <v>2327</v>
      </c>
      <c r="L976">
        <v>799545</v>
      </c>
      <c r="M976" t="s">
        <v>2330</v>
      </c>
      <c r="N976" t="s">
        <v>2913</v>
      </c>
      <c r="O976" t="s">
        <v>3053</v>
      </c>
      <c r="P976" t="s">
        <v>3066</v>
      </c>
      <c r="Q976" t="s">
        <v>3216</v>
      </c>
      <c r="R976">
        <v>226.34</v>
      </c>
      <c r="S976">
        <v>2</v>
      </c>
      <c r="T976">
        <v>0.2</v>
      </c>
      <c r="U976">
        <v>30.57</v>
      </c>
    </row>
    <row r="977" spans="1:21" x14ac:dyDescent="0.3">
      <c r="A977">
        <v>976</v>
      </c>
      <c r="B977" t="s">
        <v>996</v>
      </c>
      <c r="C977" s="2">
        <v>45823</v>
      </c>
      <c r="D977" s="2">
        <v>45825</v>
      </c>
      <c r="E977" t="s">
        <v>1521</v>
      </c>
      <c r="F977" t="s">
        <v>1658</v>
      </c>
      <c r="G977" t="s">
        <v>2018</v>
      </c>
      <c r="H977" t="s">
        <v>2316</v>
      </c>
      <c r="I977" t="s">
        <v>2317</v>
      </c>
      <c r="J977" t="s">
        <v>2323</v>
      </c>
      <c r="K977" t="s">
        <v>2323</v>
      </c>
      <c r="L977">
        <v>728510</v>
      </c>
      <c r="M977" t="s">
        <v>2328</v>
      </c>
      <c r="N977" t="s">
        <v>2677</v>
      </c>
      <c r="O977" t="s">
        <v>3054</v>
      </c>
      <c r="P977" t="s">
        <v>3057</v>
      </c>
      <c r="Q977" t="s">
        <v>3701</v>
      </c>
      <c r="R977">
        <v>52.77</v>
      </c>
      <c r="S977">
        <v>1</v>
      </c>
      <c r="T977">
        <v>0.15</v>
      </c>
      <c r="U977">
        <v>17.850000000000001</v>
      </c>
    </row>
    <row r="978" spans="1:21" x14ac:dyDescent="0.3">
      <c r="A978">
        <v>977</v>
      </c>
      <c r="B978" t="s">
        <v>997</v>
      </c>
      <c r="C978" s="2">
        <v>45404</v>
      </c>
      <c r="D978" s="2">
        <v>45406</v>
      </c>
      <c r="E978" t="s">
        <v>1524</v>
      </c>
      <c r="F978" t="s">
        <v>1735</v>
      </c>
      <c r="G978" t="s">
        <v>2108</v>
      </c>
      <c r="H978" t="s">
        <v>2316</v>
      </c>
      <c r="I978" t="s">
        <v>2317</v>
      </c>
      <c r="J978" t="s">
        <v>2325</v>
      </c>
      <c r="K978" t="s">
        <v>2325</v>
      </c>
      <c r="L978">
        <v>674382</v>
      </c>
      <c r="M978" t="s">
        <v>2332</v>
      </c>
      <c r="N978" t="s">
        <v>2710</v>
      </c>
      <c r="O978" t="s">
        <v>3054</v>
      </c>
      <c r="P978" t="s">
        <v>3058</v>
      </c>
      <c r="Q978" t="s">
        <v>3723</v>
      </c>
      <c r="R978">
        <v>272.11</v>
      </c>
      <c r="S978">
        <v>4</v>
      </c>
      <c r="T978">
        <v>0.2</v>
      </c>
      <c r="U978">
        <v>-21.38</v>
      </c>
    </row>
    <row r="979" spans="1:21" x14ac:dyDescent="0.3">
      <c r="A979">
        <v>978</v>
      </c>
      <c r="B979" t="s">
        <v>998</v>
      </c>
      <c r="C979" s="2">
        <v>45431</v>
      </c>
      <c r="D979" s="2">
        <v>45433</v>
      </c>
      <c r="E979" t="s">
        <v>1524</v>
      </c>
      <c r="F979" t="s">
        <v>1811</v>
      </c>
      <c r="G979" t="s">
        <v>1932</v>
      </c>
      <c r="H979" t="s">
        <v>2314</v>
      </c>
      <c r="I979" t="s">
        <v>2317</v>
      </c>
      <c r="J979" t="s">
        <v>2325</v>
      </c>
      <c r="K979" t="s">
        <v>2325</v>
      </c>
      <c r="L979">
        <v>946801</v>
      </c>
      <c r="M979" t="s">
        <v>2332</v>
      </c>
      <c r="N979" t="s">
        <v>2914</v>
      </c>
      <c r="O979" t="s">
        <v>3054</v>
      </c>
      <c r="P979" t="s">
        <v>3063</v>
      </c>
      <c r="Q979" t="s">
        <v>3628</v>
      </c>
      <c r="R979">
        <v>38.65</v>
      </c>
      <c r="S979">
        <v>4</v>
      </c>
      <c r="T979">
        <v>0.1</v>
      </c>
      <c r="U979">
        <v>-23.21</v>
      </c>
    </row>
    <row r="980" spans="1:21" x14ac:dyDescent="0.3">
      <c r="A980">
        <v>979</v>
      </c>
      <c r="B980" t="s">
        <v>999</v>
      </c>
      <c r="C980" s="2">
        <v>45850</v>
      </c>
      <c r="D980" s="2">
        <v>45855</v>
      </c>
      <c r="E980" t="s">
        <v>1524</v>
      </c>
      <c r="F980" t="s">
        <v>1600</v>
      </c>
      <c r="G980" t="s">
        <v>2250</v>
      </c>
      <c r="H980" t="s">
        <v>2315</v>
      </c>
      <c r="I980" t="s">
        <v>2317</v>
      </c>
      <c r="J980" t="s">
        <v>2319</v>
      </c>
      <c r="K980" t="s">
        <v>2319</v>
      </c>
      <c r="L980">
        <v>941341</v>
      </c>
      <c r="M980" t="s">
        <v>2329</v>
      </c>
      <c r="N980" t="s">
        <v>2915</v>
      </c>
      <c r="O980" t="s">
        <v>3053</v>
      </c>
      <c r="P980" t="s">
        <v>3065</v>
      </c>
      <c r="Q980" t="s">
        <v>3724</v>
      </c>
      <c r="R980">
        <v>140.55000000000001</v>
      </c>
      <c r="S980">
        <v>5</v>
      </c>
      <c r="T980">
        <v>0.4</v>
      </c>
      <c r="U980">
        <v>-32.590000000000003</v>
      </c>
    </row>
    <row r="981" spans="1:21" x14ac:dyDescent="0.3">
      <c r="A981">
        <v>980</v>
      </c>
      <c r="B981" t="s">
        <v>1000</v>
      </c>
      <c r="C981" s="2">
        <v>45292</v>
      </c>
      <c r="D981" s="2">
        <v>45294</v>
      </c>
      <c r="E981" t="s">
        <v>1521</v>
      </c>
      <c r="F981" t="s">
        <v>1868</v>
      </c>
      <c r="G981" t="s">
        <v>1951</v>
      </c>
      <c r="H981" t="s">
        <v>2314</v>
      </c>
      <c r="I981" t="s">
        <v>2317</v>
      </c>
      <c r="J981" t="s">
        <v>2318</v>
      </c>
      <c r="K981" t="s">
        <v>2318</v>
      </c>
      <c r="L981">
        <v>292974</v>
      </c>
      <c r="M981" t="s">
        <v>2328</v>
      </c>
      <c r="N981" t="s">
        <v>2824</v>
      </c>
      <c r="O981" t="s">
        <v>3054</v>
      </c>
      <c r="P981" t="s">
        <v>3057</v>
      </c>
      <c r="Q981" t="s">
        <v>3664</v>
      </c>
      <c r="R981">
        <v>85.72</v>
      </c>
      <c r="S981">
        <v>8</v>
      </c>
      <c r="T981">
        <v>0.1</v>
      </c>
      <c r="U981">
        <v>30.04</v>
      </c>
    </row>
    <row r="982" spans="1:21" x14ac:dyDescent="0.3">
      <c r="A982">
        <v>981</v>
      </c>
      <c r="B982" t="s">
        <v>1001</v>
      </c>
      <c r="C982" s="2">
        <v>45381</v>
      </c>
      <c r="D982" s="2">
        <v>45386</v>
      </c>
      <c r="E982" t="s">
        <v>1524</v>
      </c>
      <c r="F982" t="s">
        <v>1598</v>
      </c>
      <c r="G982" t="s">
        <v>2060</v>
      </c>
      <c r="H982" t="s">
        <v>2316</v>
      </c>
      <c r="I982" t="s">
        <v>2317</v>
      </c>
      <c r="J982" t="s">
        <v>2326</v>
      </c>
      <c r="K982" t="s">
        <v>2326</v>
      </c>
      <c r="L982">
        <v>506743</v>
      </c>
      <c r="M982" t="s">
        <v>2331</v>
      </c>
      <c r="N982" t="s">
        <v>2916</v>
      </c>
      <c r="O982" t="s">
        <v>3055</v>
      </c>
      <c r="P982" t="s">
        <v>3059</v>
      </c>
      <c r="Q982" t="s">
        <v>3252</v>
      </c>
      <c r="R982">
        <v>412.53</v>
      </c>
      <c r="S982">
        <v>2</v>
      </c>
      <c r="T982">
        <v>0.2</v>
      </c>
      <c r="U982">
        <v>57.04</v>
      </c>
    </row>
    <row r="983" spans="1:21" x14ac:dyDescent="0.3">
      <c r="A983">
        <v>982</v>
      </c>
      <c r="B983" t="s">
        <v>1002</v>
      </c>
      <c r="C983" s="2">
        <v>45945</v>
      </c>
      <c r="D983" s="2">
        <v>45947</v>
      </c>
      <c r="E983" t="s">
        <v>1521</v>
      </c>
      <c r="F983" t="s">
        <v>1800</v>
      </c>
      <c r="G983" t="s">
        <v>2162</v>
      </c>
      <c r="H983" t="s">
        <v>2316</v>
      </c>
      <c r="I983" t="s">
        <v>2317</v>
      </c>
      <c r="J983" t="s">
        <v>2320</v>
      </c>
      <c r="K983" t="s">
        <v>2320</v>
      </c>
      <c r="L983">
        <v>539090</v>
      </c>
      <c r="M983" t="s">
        <v>2330</v>
      </c>
      <c r="N983" t="s">
        <v>2917</v>
      </c>
      <c r="O983" t="s">
        <v>3053</v>
      </c>
      <c r="P983" t="s">
        <v>3062</v>
      </c>
      <c r="Q983" t="s">
        <v>3210</v>
      </c>
      <c r="R983">
        <v>703.96</v>
      </c>
      <c r="S983">
        <v>2</v>
      </c>
      <c r="T983">
        <v>0.2</v>
      </c>
      <c r="U983">
        <v>19.600000000000001</v>
      </c>
    </row>
    <row r="984" spans="1:21" x14ac:dyDescent="0.3">
      <c r="A984">
        <v>983</v>
      </c>
      <c r="B984" t="s">
        <v>1003</v>
      </c>
      <c r="C984" s="2">
        <v>45611</v>
      </c>
      <c r="D984" s="2">
        <v>45615</v>
      </c>
      <c r="E984" t="s">
        <v>1521</v>
      </c>
      <c r="F984" t="s">
        <v>1573</v>
      </c>
      <c r="G984" t="s">
        <v>2002</v>
      </c>
      <c r="H984" t="s">
        <v>2315</v>
      </c>
      <c r="I984" t="s">
        <v>2317</v>
      </c>
      <c r="J984" t="s">
        <v>2320</v>
      </c>
      <c r="K984" t="s">
        <v>2320</v>
      </c>
      <c r="L984">
        <v>962155</v>
      </c>
      <c r="M984" t="s">
        <v>2330</v>
      </c>
      <c r="N984" t="s">
        <v>2401</v>
      </c>
      <c r="O984" t="s">
        <v>3053</v>
      </c>
      <c r="P984" t="s">
        <v>3062</v>
      </c>
      <c r="Q984" t="s">
        <v>3725</v>
      </c>
      <c r="R984">
        <v>140.93</v>
      </c>
      <c r="S984">
        <v>1</v>
      </c>
      <c r="T984">
        <v>0.4</v>
      </c>
      <c r="U984">
        <v>-16.21</v>
      </c>
    </row>
    <row r="985" spans="1:21" x14ac:dyDescent="0.3">
      <c r="A985">
        <v>984</v>
      </c>
      <c r="B985" t="s">
        <v>1004</v>
      </c>
      <c r="C985" s="2">
        <v>45841</v>
      </c>
      <c r="D985" s="2">
        <v>45843</v>
      </c>
      <c r="E985" t="s">
        <v>1522</v>
      </c>
      <c r="F985" t="s">
        <v>1626</v>
      </c>
      <c r="G985" t="s">
        <v>1921</v>
      </c>
      <c r="H985" t="s">
        <v>2314</v>
      </c>
      <c r="I985" t="s">
        <v>2317</v>
      </c>
      <c r="J985" t="s">
        <v>2321</v>
      </c>
      <c r="K985" t="s">
        <v>2321</v>
      </c>
      <c r="L985">
        <v>629680</v>
      </c>
      <c r="M985" t="s">
        <v>2329</v>
      </c>
      <c r="N985" t="s">
        <v>2562</v>
      </c>
      <c r="O985" t="s">
        <v>3053</v>
      </c>
      <c r="P985" t="s">
        <v>3065</v>
      </c>
      <c r="Q985" t="s">
        <v>3726</v>
      </c>
      <c r="R985">
        <v>181.97</v>
      </c>
      <c r="S985">
        <v>4</v>
      </c>
      <c r="T985">
        <v>0.1</v>
      </c>
      <c r="U985">
        <v>21.83</v>
      </c>
    </row>
    <row r="986" spans="1:21" x14ac:dyDescent="0.3">
      <c r="A986">
        <v>985</v>
      </c>
      <c r="B986" t="s">
        <v>1005</v>
      </c>
      <c r="C986" s="2">
        <v>45430</v>
      </c>
      <c r="D986" s="2">
        <v>45434</v>
      </c>
      <c r="E986" t="s">
        <v>1522</v>
      </c>
      <c r="F986" t="s">
        <v>1885</v>
      </c>
      <c r="G986" t="s">
        <v>2031</v>
      </c>
      <c r="H986" t="s">
        <v>2314</v>
      </c>
      <c r="I986" t="s">
        <v>2317</v>
      </c>
      <c r="J986" t="s">
        <v>2321</v>
      </c>
      <c r="K986" t="s">
        <v>2321</v>
      </c>
      <c r="L986">
        <v>758672</v>
      </c>
      <c r="M986" t="s">
        <v>2329</v>
      </c>
      <c r="N986" t="s">
        <v>2918</v>
      </c>
      <c r="O986" t="s">
        <v>3055</v>
      </c>
      <c r="P986" t="s">
        <v>3061</v>
      </c>
      <c r="Q986" t="s">
        <v>3727</v>
      </c>
      <c r="R986">
        <v>186.11</v>
      </c>
      <c r="S986">
        <v>6</v>
      </c>
      <c r="T986">
        <v>0.1</v>
      </c>
      <c r="U986">
        <v>-2.84</v>
      </c>
    </row>
    <row r="987" spans="1:21" x14ac:dyDescent="0.3">
      <c r="A987">
        <v>986</v>
      </c>
      <c r="B987" t="s">
        <v>1006</v>
      </c>
      <c r="C987" s="2">
        <v>45802</v>
      </c>
      <c r="D987" s="2">
        <v>45806</v>
      </c>
      <c r="E987" t="s">
        <v>1521</v>
      </c>
      <c r="F987" t="s">
        <v>1898</v>
      </c>
      <c r="G987" t="s">
        <v>1951</v>
      </c>
      <c r="H987" t="s">
        <v>2315</v>
      </c>
      <c r="I987" t="s">
        <v>2317</v>
      </c>
      <c r="J987" t="s">
        <v>2325</v>
      </c>
      <c r="K987" t="s">
        <v>2325</v>
      </c>
      <c r="L987">
        <v>652561</v>
      </c>
      <c r="M987" t="s">
        <v>2332</v>
      </c>
      <c r="N987" t="s">
        <v>2792</v>
      </c>
      <c r="O987" t="s">
        <v>3054</v>
      </c>
      <c r="P987" t="s">
        <v>3063</v>
      </c>
      <c r="Q987" t="s">
        <v>3728</v>
      </c>
      <c r="R987">
        <v>188.16</v>
      </c>
      <c r="S987">
        <v>9</v>
      </c>
      <c r="T987">
        <v>0.3</v>
      </c>
      <c r="U987">
        <v>18.989999999999998</v>
      </c>
    </row>
    <row r="988" spans="1:21" x14ac:dyDescent="0.3">
      <c r="A988">
        <v>987</v>
      </c>
      <c r="B988" t="s">
        <v>1007</v>
      </c>
      <c r="C988" s="2">
        <v>45550</v>
      </c>
      <c r="D988" s="2">
        <v>45553</v>
      </c>
      <c r="E988" t="s">
        <v>1522</v>
      </c>
      <c r="F988" t="s">
        <v>1535</v>
      </c>
      <c r="G988" t="s">
        <v>2293</v>
      </c>
      <c r="H988" t="s">
        <v>2315</v>
      </c>
      <c r="I988" t="s">
        <v>2317</v>
      </c>
      <c r="J988" t="s">
        <v>2325</v>
      </c>
      <c r="K988" t="s">
        <v>2325</v>
      </c>
      <c r="L988">
        <v>996553</v>
      </c>
      <c r="M988" t="s">
        <v>2332</v>
      </c>
      <c r="N988" t="s">
        <v>2801</v>
      </c>
      <c r="O988" t="s">
        <v>3054</v>
      </c>
      <c r="P988" t="s">
        <v>3058</v>
      </c>
      <c r="Q988" t="s">
        <v>3378</v>
      </c>
      <c r="R988">
        <v>202.24</v>
      </c>
      <c r="S988">
        <v>5</v>
      </c>
      <c r="T988">
        <v>0.05</v>
      </c>
      <c r="U988">
        <v>27.68</v>
      </c>
    </row>
    <row r="989" spans="1:21" x14ac:dyDescent="0.3">
      <c r="A989">
        <v>988</v>
      </c>
      <c r="B989" t="s">
        <v>1008</v>
      </c>
      <c r="C989" s="2">
        <v>45964</v>
      </c>
      <c r="D989" s="2">
        <v>45966</v>
      </c>
      <c r="E989" t="s">
        <v>1521</v>
      </c>
      <c r="F989" t="s">
        <v>1581</v>
      </c>
      <c r="G989" t="s">
        <v>1933</v>
      </c>
      <c r="H989" t="s">
        <v>2315</v>
      </c>
      <c r="I989" t="s">
        <v>2317</v>
      </c>
      <c r="J989" t="s">
        <v>2324</v>
      </c>
      <c r="K989" t="s">
        <v>2324</v>
      </c>
      <c r="L989">
        <v>835922</v>
      </c>
      <c r="M989" t="s">
        <v>2330</v>
      </c>
      <c r="N989" t="s">
        <v>2614</v>
      </c>
      <c r="O989" t="s">
        <v>3053</v>
      </c>
      <c r="P989" t="s">
        <v>3066</v>
      </c>
      <c r="Q989" t="s">
        <v>3141</v>
      </c>
      <c r="R989">
        <v>45.58</v>
      </c>
      <c r="S989">
        <v>3</v>
      </c>
      <c r="T989">
        <v>0.3</v>
      </c>
      <c r="U989">
        <v>-30.82</v>
      </c>
    </row>
    <row r="990" spans="1:21" x14ac:dyDescent="0.3">
      <c r="A990">
        <v>989</v>
      </c>
      <c r="B990" t="s">
        <v>1009</v>
      </c>
      <c r="C990" s="2">
        <v>45981</v>
      </c>
      <c r="D990" s="2">
        <v>45984</v>
      </c>
      <c r="E990" t="s">
        <v>1521</v>
      </c>
      <c r="F990" t="s">
        <v>1899</v>
      </c>
      <c r="G990" t="s">
        <v>1976</v>
      </c>
      <c r="H990" t="s">
        <v>2314</v>
      </c>
      <c r="I990" t="s">
        <v>2317</v>
      </c>
      <c r="J990" t="s">
        <v>2324</v>
      </c>
      <c r="K990" t="s">
        <v>2324</v>
      </c>
      <c r="L990">
        <v>440323</v>
      </c>
      <c r="M990" t="s">
        <v>2330</v>
      </c>
      <c r="N990" t="s">
        <v>2458</v>
      </c>
      <c r="O990" t="s">
        <v>3054</v>
      </c>
      <c r="P990" t="s">
        <v>3058</v>
      </c>
      <c r="Q990" t="s">
        <v>3729</v>
      </c>
      <c r="R990">
        <v>219.5</v>
      </c>
      <c r="S990">
        <v>4</v>
      </c>
      <c r="T990">
        <v>0.1</v>
      </c>
      <c r="U990">
        <v>-12.9</v>
      </c>
    </row>
    <row r="991" spans="1:21" x14ac:dyDescent="0.3">
      <c r="A991">
        <v>990</v>
      </c>
      <c r="B991" t="s">
        <v>1010</v>
      </c>
      <c r="C991" s="2">
        <v>45301</v>
      </c>
      <c r="D991" s="2">
        <v>45305</v>
      </c>
      <c r="E991" t="s">
        <v>1524</v>
      </c>
      <c r="F991" t="s">
        <v>1636</v>
      </c>
      <c r="G991" t="s">
        <v>2107</v>
      </c>
      <c r="H991" t="s">
        <v>2314</v>
      </c>
      <c r="I991" t="s">
        <v>2317</v>
      </c>
      <c r="J991" t="s">
        <v>2318</v>
      </c>
      <c r="K991" t="s">
        <v>2318</v>
      </c>
      <c r="L991">
        <v>981979</v>
      </c>
      <c r="M991" t="s">
        <v>2328</v>
      </c>
      <c r="N991" t="s">
        <v>2581</v>
      </c>
      <c r="O991" t="s">
        <v>3053</v>
      </c>
      <c r="P991" t="s">
        <v>3065</v>
      </c>
      <c r="Q991" t="s">
        <v>3552</v>
      </c>
      <c r="R991">
        <v>632.76</v>
      </c>
      <c r="S991">
        <v>7</v>
      </c>
      <c r="T991">
        <v>0.4</v>
      </c>
      <c r="U991">
        <v>-103.65</v>
      </c>
    </row>
    <row r="992" spans="1:21" x14ac:dyDescent="0.3">
      <c r="A992">
        <v>991</v>
      </c>
      <c r="B992" t="s">
        <v>1011</v>
      </c>
      <c r="C992" s="2">
        <v>45552</v>
      </c>
      <c r="D992" s="2">
        <v>45556</v>
      </c>
      <c r="E992" t="s">
        <v>1523</v>
      </c>
      <c r="F992" t="s">
        <v>1539</v>
      </c>
      <c r="G992" t="s">
        <v>2178</v>
      </c>
      <c r="H992" t="s">
        <v>2314</v>
      </c>
      <c r="I992" t="s">
        <v>2317</v>
      </c>
      <c r="J992" t="s">
        <v>2324</v>
      </c>
      <c r="K992" t="s">
        <v>2324</v>
      </c>
      <c r="L992">
        <v>682840</v>
      </c>
      <c r="M992" t="s">
        <v>2330</v>
      </c>
      <c r="N992" t="s">
        <v>2651</v>
      </c>
      <c r="O992" t="s">
        <v>3054</v>
      </c>
      <c r="P992" t="s">
        <v>3058</v>
      </c>
      <c r="Q992" t="s">
        <v>3730</v>
      </c>
      <c r="R992">
        <v>66.819999999999993</v>
      </c>
      <c r="S992">
        <v>1</v>
      </c>
      <c r="T992">
        <v>0.2</v>
      </c>
      <c r="U992">
        <v>2.9</v>
      </c>
    </row>
    <row r="993" spans="1:21" x14ac:dyDescent="0.3">
      <c r="A993">
        <v>992</v>
      </c>
      <c r="B993" t="s">
        <v>1012</v>
      </c>
      <c r="C993" s="2">
        <v>45941</v>
      </c>
      <c r="D993" s="2">
        <v>45943</v>
      </c>
      <c r="E993" t="s">
        <v>1523</v>
      </c>
      <c r="F993" t="s">
        <v>1717</v>
      </c>
      <c r="G993" t="s">
        <v>2161</v>
      </c>
      <c r="H993" t="s">
        <v>2314</v>
      </c>
      <c r="I993" t="s">
        <v>2317</v>
      </c>
      <c r="J993" t="s">
        <v>2326</v>
      </c>
      <c r="K993" t="s">
        <v>2326</v>
      </c>
      <c r="L993">
        <v>598493</v>
      </c>
      <c r="M993" t="s">
        <v>2331</v>
      </c>
      <c r="N993" t="s">
        <v>2372</v>
      </c>
      <c r="O993" t="s">
        <v>3053</v>
      </c>
      <c r="P993" t="s">
        <v>3065</v>
      </c>
      <c r="Q993" t="s">
        <v>3731</v>
      </c>
      <c r="R993">
        <v>170.81</v>
      </c>
      <c r="S993">
        <v>7</v>
      </c>
      <c r="T993">
        <v>0.15</v>
      </c>
      <c r="U993">
        <v>-28.22</v>
      </c>
    </row>
    <row r="994" spans="1:21" x14ac:dyDescent="0.3">
      <c r="A994">
        <v>993</v>
      </c>
      <c r="B994" t="s">
        <v>1013</v>
      </c>
      <c r="C994" s="2">
        <v>45463</v>
      </c>
      <c r="D994" s="2">
        <v>45466</v>
      </c>
      <c r="E994" t="s">
        <v>1521</v>
      </c>
      <c r="F994" t="s">
        <v>1647</v>
      </c>
      <c r="G994" t="s">
        <v>2205</v>
      </c>
      <c r="H994" t="s">
        <v>2314</v>
      </c>
      <c r="I994" t="s">
        <v>2317</v>
      </c>
      <c r="J994" t="s">
        <v>2326</v>
      </c>
      <c r="K994" t="s">
        <v>2326</v>
      </c>
      <c r="L994">
        <v>854380</v>
      </c>
      <c r="M994" t="s">
        <v>2331</v>
      </c>
      <c r="N994" t="s">
        <v>2540</v>
      </c>
      <c r="O994" t="s">
        <v>3055</v>
      </c>
      <c r="P994" t="s">
        <v>3060</v>
      </c>
      <c r="Q994" t="s">
        <v>3732</v>
      </c>
      <c r="R994">
        <v>250.18</v>
      </c>
      <c r="S994">
        <v>8</v>
      </c>
      <c r="T994">
        <v>0.1</v>
      </c>
      <c r="U994">
        <v>43.74</v>
      </c>
    </row>
    <row r="995" spans="1:21" x14ac:dyDescent="0.3">
      <c r="A995">
        <v>994</v>
      </c>
      <c r="B995" t="s">
        <v>1014</v>
      </c>
      <c r="C995" s="2">
        <v>45304</v>
      </c>
      <c r="D995" s="2">
        <v>45306</v>
      </c>
      <c r="E995" t="s">
        <v>1524</v>
      </c>
      <c r="F995" t="s">
        <v>1542</v>
      </c>
      <c r="G995" t="s">
        <v>2294</v>
      </c>
      <c r="H995" t="s">
        <v>2315</v>
      </c>
      <c r="I995" t="s">
        <v>2317</v>
      </c>
      <c r="J995" t="s">
        <v>2320</v>
      </c>
      <c r="K995" t="s">
        <v>2320</v>
      </c>
      <c r="L995">
        <v>577154</v>
      </c>
      <c r="M995" t="s">
        <v>2330</v>
      </c>
      <c r="N995" t="s">
        <v>2897</v>
      </c>
      <c r="O995" t="s">
        <v>3054</v>
      </c>
      <c r="P995" t="s">
        <v>3057</v>
      </c>
      <c r="Q995" t="s">
        <v>3733</v>
      </c>
      <c r="R995">
        <v>102.26</v>
      </c>
      <c r="S995">
        <v>1</v>
      </c>
      <c r="T995">
        <v>0.1</v>
      </c>
      <c r="U995">
        <v>65.78</v>
      </c>
    </row>
    <row r="996" spans="1:21" x14ac:dyDescent="0.3">
      <c r="A996">
        <v>995</v>
      </c>
      <c r="B996" t="s">
        <v>1015</v>
      </c>
      <c r="C996" s="2">
        <v>45459</v>
      </c>
      <c r="D996" s="2">
        <v>45462</v>
      </c>
      <c r="E996" t="s">
        <v>1522</v>
      </c>
      <c r="F996" t="s">
        <v>1797</v>
      </c>
      <c r="G996" t="s">
        <v>2200</v>
      </c>
      <c r="H996" t="s">
        <v>2315</v>
      </c>
      <c r="I996" t="s">
        <v>2317</v>
      </c>
      <c r="J996" t="s">
        <v>2322</v>
      </c>
      <c r="K996" t="s">
        <v>2322</v>
      </c>
      <c r="L996">
        <v>232316</v>
      </c>
      <c r="M996" t="s">
        <v>2331</v>
      </c>
      <c r="N996" t="s">
        <v>2426</v>
      </c>
      <c r="O996" t="s">
        <v>3054</v>
      </c>
      <c r="P996" t="s">
        <v>3064</v>
      </c>
      <c r="Q996" t="s">
        <v>3619</v>
      </c>
      <c r="R996">
        <v>125.59</v>
      </c>
      <c r="S996">
        <v>7</v>
      </c>
      <c r="T996">
        <v>0.05</v>
      </c>
      <c r="U996">
        <v>42.62</v>
      </c>
    </row>
    <row r="997" spans="1:21" x14ac:dyDescent="0.3">
      <c r="A997">
        <v>996</v>
      </c>
      <c r="B997" t="s">
        <v>1016</v>
      </c>
      <c r="C997" s="2">
        <v>45933</v>
      </c>
      <c r="D997" s="2">
        <v>45936</v>
      </c>
      <c r="E997" t="s">
        <v>1523</v>
      </c>
      <c r="F997" t="s">
        <v>1871</v>
      </c>
      <c r="G997" t="s">
        <v>2223</v>
      </c>
      <c r="H997" t="s">
        <v>2316</v>
      </c>
      <c r="I997" t="s">
        <v>2317</v>
      </c>
      <c r="J997" t="s">
        <v>2326</v>
      </c>
      <c r="K997" t="s">
        <v>2326</v>
      </c>
      <c r="L997">
        <v>305532</v>
      </c>
      <c r="M997" t="s">
        <v>2331</v>
      </c>
      <c r="N997" t="s">
        <v>2517</v>
      </c>
      <c r="O997" t="s">
        <v>3054</v>
      </c>
      <c r="P997" t="s">
        <v>3058</v>
      </c>
      <c r="Q997" t="s">
        <v>3135</v>
      </c>
      <c r="R997">
        <v>84.9</v>
      </c>
      <c r="S997">
        <v>9</v>
      </c>
      <c r="T997">
        <v>0.2</v>
      </c>
      <c r="U997">
        <v>24.57</v>
      </c>
    </row>
    <row r="998" spans="1:21" x14ac:dyDescent="0.3">
      <c r="A998">
        <v>997</v>
      </c>
      <c r="B998" t="s">
        <v>1017</v>
      </c>
      <c r="C998" s="2">
        <v>45887</v>
      </c>
      <c r="D998" s="2">
        <v>45892</v>
      </c>
      <c r="E998" t="s">
        <v>1523</v>
      </c>
      <c r="F998" t="s">
        <v>1844</v>
      </c>
      <c r="G998" t="s">
        <v>2007</v>
      </c>
      <c r="H998" t="s">
        <v>2315</v>
      </c>
      <c r="I998" t="s">
        <v>2317</v>
      </c>
      <c r="J998" t="s">
        <v>2327</v>
      </c>
      <c r="K998" t="s">
        <v>2327</v>
      </c>
      <c r="L998">
        <v>828666</v>
      </c>
      <c r="M998" t="s">
        <v>2330</v>
      </c>
      <c r="N998" t="s">
        <v>2630</v>
      </c>
      <c r="O998" t="s">
        <v>3054</v>
      </c>
      <c r="P998" t="s">
        <v>3057</v>
      </c>
      <c r="Q998" t="s">
        <v>3353</v>
      </c>
      <c r="R998">
        <v>83.08</v>
      </c>
      <c r="S998">
        <v>8</v>
      </c>
      <c r="T998">
        <v>0.1</v>
      </c>
      <c r="U998">
        <v>41.58</v>
      </c>
    </row>
    <row r="999" spans="1:21" x14ac:dyDescent="0.3">
      <c r="A999">
        <v>998</v>
      </c>
      <c r="B999" t="s">
        <v>1018</v>
      </c>
      <c r="C999" s="2">
        <v>45612</v>
      </c>
      <c r="D999" s="2">
        <v>45617</v>
      </c>
      <c r="E999" t="s">
        <v>1523</v>
      </c>
      <c r="F999" t="s">
        <v>1638</v>
      </c>
      <c r="G999" t="s">
        <v>1922</v>
      </c>
      <c r="H999" t="s">
        <v>2315</v>
      </c>
      <c r="I999" t="s">
        <v>2317</v>
      </c>
      <c r="J999" t="s">
        <v>2325</v>
      </c>
      <c r="K999" t="s">
        <v>2325</v>
      </c>
      <c r="L999">
        <v>974634</v>
      </c>
      <c r="M999" t="s">
        <v>2332</v>
      </c>
      <c r="N999" t="s">
        <v>2919</v>
      </c>
      <c r="O999" t="s">
        <v>3054</v>
      </c>
      <c r="P999" t="s">
        <v>3058</v>
      </c>
      <c r="Q999" t="s">
        <v>3364</v>
      </c>
      <c r="R999">
        <v>131.72</v>
      </c>
      <c r="S999">
        <v>9</v>
      </c>
      <c r="T999">
        <v>0.2</v>
      </c>
      <c r="U999">
        <v>24.74</v>
      </c>
    </row>
    <row r="1000" spans="1:21" x14ac:dyDescent="0.3">
      <c r="A1000">
        <v>999</v>
      </c>
      <c r="B1000" t="s">
        <v>1019</v>
      </c>
      <c r="C1000" s="2">
        <v>45610</v>
      </c>
      <c r="D1000" s="2">
        <v>45611</v>
      </c>
      <c r="E1000" t="s">
        <v>1521</v>
      </c>
      <c r="F1000" t="s">
        <v>1734</v>
      </c>
      <c r="G1000" t="s">
        <v>2270</v>
      </c>
      <c r="H1000" t="s">
        <v>2315</v>
      </c>
      <c r="I1000" t="s">
        <v>2317</v>
      </c>
      <c r="J1000" t="s">
        <v>2321</v>
      </c>
      <c r="K1000" t="s">
        <v>2321</v>
      </c>
      <c r="L1000">
        <v>592402</v>
      </c>
      <c r="M1000" t="s">
        <v>2329</v>
      </c>
      <c r="N1000" t="s">
        <v>2920</v>
      </c>
      <c r="O1000" t="s">
        <v>3054</v>
      </c>
      <c r="P1000" t="s">
        <v>3064</v>
      </c>
      <c r="Q1000" t="s">
        <v>3665</v>
      </c>
      <c r="R1000">
        <v>25.62</v>
      </c>
      <c r="S1000">
        <v>6</v>
      </c>
      <c r="T1000">
        <v>0.3</v>
      </c>
      <c r="U1000">
        <v>28.61</v>
      </c>
    </row>
    <row r="1001" spans="1:21" x14ac:dyDescent="0.3">
      <c r="A1001">
        <v>1000</v>
      </c>
      <c r="B1001" t="s">
        <v>1020</v>
      </c>
      <c r="C1001" s="2">
        <v>45904</v>
      </c>
      <c r="D1001" s="2">
        <v>45906</v>
      </c>
      <c r="E1001" t="s">
        <v>1524</v>
      </c>
      <c r="F1001" t="s">
        <v>1642</v>
      </c>
      <c r="G1001" t="s">
        <v>2276</v>
      </c>
      <c r="H1001" t="s">
        <v>2315</v>
      </c>
      <c r="I1001" t="s">
        <v>2317</v>
      </c>
      <c r="J1001" t="s">
        <v>2324</v>
      </c>
      <c r="K1001" t="s">
        <v>2324</v>
      </c>
      <c r="L1001">
        <v>973668</v>
      </c>
      <c r="M1001" t="s">
        <v>2330</v>
      </c>
      <c r="N1001" t="s">
        <v>2921</v>
      </c>
      <c r="O1001" t="s">
        <v>3054</v>
      </c>
      <c r="P1001" t="s">
        <v>3057</v>
      </c>
      <c r="Q1001" t="s">
        <v>3402</v>
      </c>
      <c r="R1001">
        <v>161.88999999999999</v>
      </c>
      <c r="S1001">
        <v>4</v>
      </c>
      <c r="T1001">
        <v>0.05</v>
      </c>
      <c r="U1001">
        <v>19.39</v>
      </c>
    </row>
    <row r="1002" spans="1:21" x14ac:dyDescent="0.3">
      <c r="A1002">
        <v>1001</v>
      </c>
      <c r="B1002" t="s">
        <v>1021</v>
      </c>
      <c r="C1002" s="2">
        <v>45620</v>
      </c>
      <c r="D1002" s="2">
        <v>45626</v>
      </c>
      <c r="E1002" t="s">
        <v>1524</v>
      </c>
      <c r="F1002" t="s">
        <v>1798</v>
      </c>
      <c r="G1002" t="s">
        <v>2295</v>
      </c>
      <c r="H1002" t="s">
        <v>2316</v>
      </c>
      <c r="I1002" t="s">
        <v>2317</v>
      </c>
      <c r="J1002" t="s">
        <v>2320</v>
      </c>
      <c r="K1002" t="s">
        <v>2320</v>
      </c>
      <c r="L1002">
        <v>546590</v>
      </c>
      <c r="M1002" t="s">
        <v>2330</v>
      </c>
      <c r="N1002" t="s">
        <v>2922</v>
      </c>
      <c r="O1002" t="s">
        <v>3054</v>
      </c>
      <c r="P1002" t="s">
        <v>3057</v>
      </c>
      <c r="Q1002" t="s">
        <v>3436</v>
      </c>
      <c r="R1002">
        <v>164.12</v>
      </c>
      <c r="S1002">
        <v>7</v>
      </c>
      <c r="T1002">
        <v>0.3</v>
      </c>
      <c r="U1002">
        <v>-59.46</v>
      </c>
    </row>
    <row r="1003" spans="1:21" x14ac:dyDescent="0.3">
      <c r="A1003">
        <v>1002</v>
      </c>
      <c r="B1003" t="s">
        <v>1022</v>
      </c>
      <c r="C1003" s="2">
        <v>45841</v>
      </c>
      <c r="D1003" s="2">
        <v>45844</v>
      </c>
      <c r="E1003" t="s">
        <v>1524</v>
      </c>
      <c r="F1003" t="s">
        <v>1777</v>
      </c>
      <c r="G1003" t="s">
        <v>2284</v>
      </c>
      <c r="H1003" t="s">
        <v>2316</v>
      </c>
      <c r="I1003" t="s">
        <v>2317</v>
      </c>
      <c r="J1003" t="s">
        <v>2319</v>
      </c>
      <c r="K1003" t="s">
        <v>2319</v>
      </c>
      <c r="L1003">
        <v>647929</v>
      </c>
      <c r="M1003" t="s">
        <v>2329</v>
      </c>
      <c r="N1003" t="s">
        <v>2710</v>
      </c>
      <c r="O1003" t="s">
        <v>3053</v>
      </c>
      <c r="P1003" t="s">
        <v>3065</v>
      </c>
      <c r="Q1003" t="s">
        <v>3376</v>
      </c>
      <c r="R1003">
        <v>128.68</v>
      </c>
      <c r="S1003">
        <v>9</v>
      </c>
      <c r="T1003">
        <v>0.1</v>
      </c>
      <c r="U1003">
        <v>37.36</v>
      </c>
    </row>
    <row r="1004" spans="1:21" x14ac:dyDescent="0.3">
      <c r="A1004">
        <v>1003</v>
      </c>
      <c r="B1004" t="s">
        <v>1023</v>
      </c>
      <c r="C1004" s="2">
        <v>45710</v>
      </c>
      <c r="D1004" s="2">
        <v>45714</v>
      </c>
      <c r="E1004" t="s">
        <v>1521</v>
      </c>
      <c r="F1004" t="s">
        <v>1528</v>
      </c>
      <c r="G1004" t="s">
        <v>2051</v>
      </c>
      <c r="H1004" t="s">
        <v>2315</v>
      </c>
      <c r="I1004" t="s">
        <v>2317</v>
      </c>
      <c r="J1004" t="s">
        <v>2321</v>
      </c>
      <c r="K1004" t="s">
        <v>2321</v>
      </c>
      <c r="L1004">
        <v>207966</v>
      </c>
      <c r="M1004" t="s">
        <v>2329</v>
      </c>
      <c r="N1004" t="s">
        <v>2567</v>
      </c>
      <c r="O1004" t="s">
        <v>3054</v>
      </c>
      <c r="P1004" t="s">
        <v>3063</v>
      </c>
      <c r="Q1004" t="s">
        <v>3734</v>
      </c>
      <c r="R1004">
        <v>122.39</v>
      </c>
      <c r="S1004">
        <v>1</v>
      </c>
      <c r="T1004">
        <v>0.2</v>
      </c>
      <c r="U1004">
        <v>-20.98</v>
      </c>
    </row>
    <row r="1005" spans="1:21" x14ac:dyDescent="0.3">
      <c r="A1005">
        <v>1004</v>
      </c>
      <c r="B1005" t="s">
        <v>1024</v>
      </c>
      <c r="C1005" s="2">
        <v>45897</v>
      </c>
      <c r="D1005" s="2">
        <v>45899</v>
      </c>
      <c r="E1005" t="s">
        <v>1524</v>
      </c>
      <c r="F1005" t="s">
        <v>1754</v>
      </c>
      <c r="G1005" t="s">
        <v>2120</v>
      </c>
      <c r="H1005" t="s">
        <v>2314</v>
      </c>
      <c r="I1005" t="s">
        <v>2317</v>
      </c>
      <c r="J1005" t="s">
        <v>2327</v>
      </c>
      <c r="K1005" t="s">
        <v>2327</v>
      </c>
      <c r="L1005">
        <v>259574</v>
      </c>
      <c r="M1005" t="s">
        <v>2330</v>
      </c>
      <c r="N1005" t="s">
        <v>2401</v>
      </c>
      <c r="O1005" t="s">
        <v>3055</v>
      </c>
      <c r="P1005" t="s">
        <v>3059</v>
      </c>
      <c r="Q1005" t="s">
        <v>3735</v>
      </c>
      <c r="R1005">
        <v>258.89999999999998</v>
      </c>
      <c r="S1005">
        <v>6</v>
      </c>
      <c r="T1005">
        <v>0.2</v>
      </c>
      <c r="U1005">
        <v>15.68</v>
      </c>
    </row>
    <row r="1006" spans="1:21" x14ac:dyDescent="0.3">
      <c r="A1006">
        <v>1005</v>
      </c>
      <c r="B1006" t="s">
        <v>1025</v>
      </c>
      <c r="C1006" s="2">
        <v>45386</v>
      </c>
      <c r="D1006" s="2">
        <v>45389</v>
      </c>
      <c r="E1006" t="s">
        <v>1524</v>
      </c>
      <c r="F1006" t="s">
        <v>1759</v>
      </c>
      <c r="G1006" t="s">
        <v>2091</v>
      </c>
      <c r="H1006" t="s">
        <v>2316</v>
      </c>
      <c r="I1006" t="s">
        <v>2317</v>
      </c>
      <c r="J1006" t="s">
        <v>2324</v>
      </c>
      <c r="K1006" t="s">
        <v>2324</v>
      </c>
      <c r="L1006">
        <v>980369</v>
      </c>
      <c r="M1006" t="s">
        <v>2330</v>
      </c>
      <c r="N1006" t="s">
        <v>2413</v>
      </c>
      <c r="O1006" t="s">
        <v>3054</v>
      </c>
      <c r="P1006" t="s">
        <v>3058</v>
      </c>
      <c r="Q1006" t="s">
        <v>3736</v>
      </c>
      <c r="R1006">
        <v>88.99</v>
      </c>
      <c r="S1006">
        <v>8</v>
      </c>
      <c r="T1006">
        <v>0.05</v>
      </c>
      <c r="U1006">
        <v>-5</v>
      </c>
    </row>
    <row r="1007" spans="1:21" x14ac:dyDescent="0.3">
      <c r="A1007">
        <v>1006</v>
      </c>
      <c r="B1007" t="s">
        <v>1026</v>
      </c>
      <c r="C1007" s="2">
        <v>45872</v>
      </c>
      <c r="D1007" s="2">
        <v>45875</v>
      </c>
      <c r="E1007" t="s">
        <v>1524</v>
      </c>
      <c r="F1007" t="s">
        <v>1725</v>
      </c>
      <c r="G1007" t="s">
        <v>1923</v>
      </c>
      <c r="H1007" t="s">
        <v>2316</v>
      </c>
      <c r="I1007" t="s">
        <v>2317</v>
      </c>
      <c r="J1007" t="s">
        <v>2327</v>
      </c>
      <c r="K1007" t="s">
        <v>2327</v>
      </c>
      <c r="L1007">
        <v>147565</v>
      </c>
      <c r="M1007" t="s">
        <v>2330</v>
      </c>
      <c r="N1007" t="s">
        <v>2459</v>
      </c>
      <c r="O1007" t="s">
        <v>3054</v>
      </c>
      <c r="P1007" t="s">
        <v>3064</v>
      </c>
      <c r="Q1007" t="s">
        <v>3451</v>
      </c>
      <c r="R1007">
        <v>71.37</v>
      </c>
      <c r="S1007">
        <v>8</v>
      </c>
      <c r="T1007">
        <v>0</v>
      </c>
      <c r="U1007">
        <v>15.42</v>
      </c>
    </row>
    <row r="1008" spans="1:21" x14ac:dyDescent="0.3">
      <c r="A1008">
        <v>1007</v>
      </c>
      <c r="B1008" t="s">
        <v>1027</v>
      </c>
      <c r="C1008" s="2">
        <v>45609</v>
      </c>
      <c r="D1008" s="2">
        <v>45612</v>
      </c>
      <c r="E1008" t="s">
        <v>1524</v>
      </c>
      <c r="F1008" t="s">
        <v>1894</v>
      </c>
      <c r="G1008" t="s">
        <v>1964</v>
      </c>
      <c r="H1008" t="s">
        <v>2315</v>
      </c>
      <c r="I1008" t="s">
        <v>2317</v>
      </c>
      <c r="J1008" t="s">
        <v>2325</v>
      </c>
      <c r="K1008" t="s">
        <v>2325</v>
      </c>
      <c r="L1008">
        <v>449706</v>
      </c>
      <c r="M1008" t="s">
        <v>2332</v>
      </c>
      <c r="N1008" t="s">
        <v>2672</v>
      </c>
      <c r="O1008" t="s">
        <v>3054</v>
      </c>
      <c r="P1008" t="s">
        <v>3058</v>
      </c>
      <c r="Q1008" t="s">
        <v>3729</v>
      </c>
      <c r="R1008">
        <v>86.45</v>
      </c>
      <c r="S1008">
        <v>9</v>
      </c>
      <c r="T1008">
        <v>0.2</v>
      </c>
      <c r="U1008">
        <v>11.49</v>
      </c>
    </row>
    <row r="1009" spans="1:21" x14ac:dyDescent="0.3">
      <c r="A1009">
        <v>1008</v>
      </c>
      <c r="B1009" t="s">
        <v>1028</v>
      </c>
      <c r="C1009" s="2">
        <v>45527</v>
      </c>
      <c r="D1009" s="2">
        <v>45529</v>
      </c>
      <c r="E1009" t="s">
        <v>1523</v>
      </c>
      <c r="F1009" t="s">
        <v>1723</v>
      </c>
      <c r="G1009" t="s">
        <v>2255</v>
      </c>
      <c r="H1009" t="s">
        <v>2314</v>
      </c>
      <c r="I1009" t="s">
        <v>2317</v>
      </c>
      <c r="J1009" t="s">
        <v>2325</v>
      </c>
      <c r="K1009" t="s">
        <v>2325</v>
      </c>
      <c r="L1009">
        <v>828493</v>
      </c>
      <c r="M1009" t="s">
        <v>2332</v>
      </c>
      <c r="N1009" t="s">
        <v>2821</v>
      </c>
      <c r="O1009" t="s">
        <v>3054</v>
      </c>
      <c r="P1009" t="s">
        <v>3063</v>
      </c>
      <c r="Q1009" t="s">
        <v>3737</v>
      </c>
      <c r="R1009">
        <v>55.16</v>
      </c>
      <c r="S1009">
        <v>2</v>
      </c>
      <c r="T1009">
        <v>0.1</v>
      </c>
      <c r="U1009">
        <v>27.28</v>
      </c>
    </row>
    <row r="1010" spans="1:21" x14ac:dyDescent="0.3">
      <c r="A1010">
        <v>1009</v>
      </c>
      <c r="B1010" t="s">
        <v>1029</v>
      </c>
      <c r="C1010" s="2">
        <v>45625</v>
      </c>
      <c r="D1010" s="2">
        <v>45627</v>
      </c>
      <c r="E1010" t="s">
        <v>1522</v>
      </c>
      <c r="F1010" t="s">
        <v>1740</v>
      </c>
      <c r="G1010" t="s">
        <v>2273</v>
      </c>
      <c r="H1010" t="s">
        <v>2315</v>
      </c>
      <c r="I1010" t="s">
        <v>2317</v>
      </c>
      <c r="J1010" t="s">
        <v>2318</v>
      </c>
      <c r="K1010" t="s">
        <v>2318</v>
      </c>
      <c r="L1010">
        <v>905064</v>
      </c>
      <c r="M1010" t="s">
        <v>2328</v>
      </c>
      <c r="N1010" t="s">
        <v>2923</v>
      </c>
      <c r="O1010" t="s">
        <v>3054</v>
      </c>
      <c r="P1010" t="s">
        <v>3058</v>
      </c>
      <c r="Q1010" t="s">
        <v>3675</v>
      </c>
      <c r="R1010">
        <v>13.59</v>
      </c>
      <c r="S1010">
        <v>1</v>
      </c>
      <c r="T1010">
        <v>0</v>
      </c>
      <c r="U1010">
        <v>-61.13</v>
      </c>
    </row>
    <row r="1011" spans="1:21" x14ac:dyDescent="0.3">
      <c r="A1011">
        <v>1010</v>
      </c>
      <c r="B1011" t="s">
        <v>1030</v>
      </c>
      <c r="C1011" s="2">
        <v>45667</v>
      </c>
      <c r="D1011" s="2">
        <v>45669</v>
      </c>
      <c r="E1011" t="s">
        <v>1524</v>
      </c>
      <c r="F1011" t="s">
        <v>1700</v>
      </c>
      <c r="G1011" t="s">
        <v>2062</v>
      </c>
      <c r="H1011" t="s">
        <v>2315</v>
      </c>
      <c r="I1011" t="s">
        <v>2317</v>
      </c>
      <c r="J1011" t="s">
        <v>2320</v>
      </c>
      <c r="K1011" t="s">
        <v>2320</v>
      </c>
      <c r="L1011">
        <v>309939</v>
      </c>
      <c r="M1011" t="s">
        <v>2330</v>
      </c>
      <c r="N1011" t="s">
        <v>2821</v>
      </c>
      <c r="O1011" t="s">
        <v>3053</v>
      </c>
      <c r="P1011" t="s">
        <v>3062</v>
      </c>
      <c r="Q1011" t="s">
        <v>3143</v>
      </c>
      <c r="R1011">
        <v>281.13</v>
      </c>
      <c r="S1011">
        <v>2</v>
      </c>
      <c r="T1011">
        <v>0</v>
      </c>
      <c r="U1011">
        <v>5.1100000000000003</v>
      </c>
    </row>
    <row r="1012" spans="1:21" x14ac:dyDescent="0.3">
      <c r="A1012">
        <v>1011</v>
      </c>
      <c r="B1012" t="s">
        <v>1031</v>
      </c>
      <c r="C1012" s="2">
        <v>45750</v>
      </c>
      <c r="D1012" s="2">
        <v>45752</v>
      </c>
      <c r="E1012" t="s">
        <v>1521</v>
      </c>
      <c r="F1012" t="s">
        <v>1691</v>
      </c>
      <c r="G1012" t="s">
        <v>2047</v>
      </c>
      <c r="H1012" t="s">
        <v>2314</v>
      </c>
      <c r="I1012" t="s">
        <v>2317</v>
      </c>
      <c r="J1012" t="s">
        <v>2321</v>
      </c>
      <c r="K1012" t="s">
        <v>2321</v>
      </c>
      <c r="L1012">
        <v>918964</v>
      </c>
      <c r="M1012" t="s">
        <v>2329</v>
      </c>
      <c r="N1012" t="s">
        <v>2924</v>
      </c>
      <c r="O1012" t="s">
        <v>3054</v>
      </c>
      <c r="P1012" t="s">
        <v>3057</v>
      </c>
      <c r="Q1012" t="s">
        <v>3288</v>
      </c>
      <c r="R1012">
        <v>45.56</v>
      </c>
      <c r="S1012">
        <v>8</v>
      </c>
      <c r="T1012">
        <v>0.15</v>
      </c>
      <c r="U1012">
        <v>-25.5</v>
      </c>
    </row>
    <row r="1013" spans="1:21" x14ac:dyDescent="0.3">
      <c r="A1013">
        <v>1012</v>
      </c>
      <c r="B1013" t="s">
        <v>1032</v>
      </c>
      <c r="C1013" s="2">
        <v>45428</v>
      </c>
      <c r="D1013" s="2">
        <v>45432</v>
      </c>
      <c r="E1013" t="s">
        <v>1524</v>
      </c>
      <c r="F1013" t="s">
        <v>1636</v>
      </c>
      <c r="G1013" t="s">
        <v>1977</v>
      </c>
      <c r="H1013" t="s">
        <v>2316</v>
      </c>
      <c r="I1013" t="s">
        <v>2317</v>
      </c>
      <c r="J1013" t="s">
        <v>2323</v>
      </c>
      <c r="K1013" t="s">
        <v>2323</v>
      </c>
      <c r="L1013">
        <v>937430</v>
      </c>
      <c r="M1013" t="s">
        <v>2328</v>
      </c>
      <c r="N1013" t="s">
        <v>2779</v>
      </c>
      <c r="O1013" t="s">
        <v>3055</v>
      </c>
      <c r="P1013" t="s">
        <v>3060</v>
      </c>
      <c r="Q1013" t="s">
        <v>3523</v>
      </c>
      <c r="R1013">
        <v>353.72</v>
      </c>
      <c r="S1013">
        <v>8</v>
      </c>
      <c r="T1013">
        <v>0.15</v>
      </c>
      <c r="U1013">
        <v>40.64</v>
      </c>
    </row>
    <row r="1014" spans="1:21" x14ac:dyDescent="0.3">
      <c r="A1014">
        <v>1013</v>
      </c>
      <c r="B1014" t="s">
        <v>1033</v>
      </c>
      <c r="C1014" s="2">
        <v>45879</v>
      </c>
      <c r="D1014" s="2">
        <v>45880</v>
      </c>
      <c r="E1014" t="s">
        <v>1522</v>
      </c>
      <c r="F1014" t="s">
        <v>1744</v>
      </c>
      <c r="G1014" t="s">
        <v>2175</v>
      </c>
      <c r="H1014" t="s">
        <v>2314</v>
      </c>
      <c r="I1014" t="s">
        <v>2317</v>
      </c>
      <c r="J1014" t="s">
        <v>2323</v>
      </c>
      <c r="K1014" t="s">
        <v>2323</v>
      </c>
      <c r="L1014">
        <v>126515</v>
      </c>
      <c r="M1014" t="s">
        <v>2328</v>
      </c>
      <c r="N1014" t="s">
        <v>2656</v>
      </c>
      <c r="O1014" t="s">
        <v>3055</v>
      </c>
      <c r="P1014" t="s">
        <v>3059</v>
      </c>
      <c r="Q1014" t="s">
        <v>3738</v>
      </c>
      <c r="R1014">
        <v>541.09</v>
      </c>
      <c r="S1014">
        <v>8</v>
      </c>
      <c r="T1014">
        <v>0.15</v>
      </c>
      <c r="U1014">
        <v>31.6</v>
      </c>
    </row>
    <row r="1015" spans="1:21" x14ac:dyDescent="0.3">
      <c r="A1015">
        <v>1014</v>
      </c>
      <c r="B1015" t="s">
        <v>1034</v>
      </c>
      <c r="C1015" s="2">
        <v>45838</v>
      </c>
      <c r="D1015" s="2">
        <v>45842</v>
      </c>
      <c r="E1015" t="s">
        <v>1523</v>
      </c>
      <c r="F1015" t="s">
        <v>1537</v>
      </c>
      <c r="G1015" t="s">
        <v>2136</v>
      </c>
      <c r="H1015" t="s">
        <v>2316</v>
      </c>
      <c r="I1015" t="s">
        <v>2317</v>
      </c>
      <c r="J1015" t="s">
        <v>2321</v>
      </c>
      <c r="K1015" t="s">
        <v>2321</v>
      </c>
      <c r="L1015">
        <v>548912</v>
      </c>
      <c r="M1015" t="s">
        <v>2329</v>
      </c>
      <c r="N1015" t="s">
        <v>2520</v>
      </c>
      <c r="O1015" t="s">
        <v>3055</v>
      </c>
      <c r="P1015" t="s">
        <v>3067</v>
      </c>
      <c r="Q1015" t="s">
        <v>3739</v>
      </c>
      <c r="R1015">
        <v>182.28</v>
      </c>
      <c r="S1015">
        <v>8</v>
      </c>
      <c r="T1015">
        <v>0.4</v>
      </c>
      <c r="U1015">
        <v>-1.8</v>
      </c>
    </row>
    <row r="1016" spans="1:21" x14ac:dyDescent="0.3">
      <c r="A1016">
        <v>1015</v>
      </c>
      <c r="B1016" t="s">
        <v>1035</v>
      </c>
      <c r="C1016" s="2">
        <v>45804</v>
      </c>
      <c r="D1016" s="2">
        <v>45807</v>
      </c>
      <c r="E1016" t="s">
        <v>1524</v>
      </c>
      <c r="F1016" t="s">
        <v>1761</v>
      </c>
      <c r="G1016" t="s">
        <v>2254</v>
      </c>
      <c r="H1016" t="s">
        <v>2316</v>
      </c>
      <c r="I1016" t="s">
        <v>2317</v>
      </c>
      <c r="J1016" t="s">
        <v>2319</v>
      </c>
      <c r="K1016" t="s">
        <v>2319</v>
      </c>
      <c r="L1016">
        <v>662952</v>
      </c>
      <c r="M1016" t="s">
        <v>2329</v>
      </c>
      <c r="N1016" t="s">
        <v>2844</v>
      </c>
      <c r="O1016" t="s">
        <v>3053</v>
      </c>
      <c r="P1016" t="s">
        <v>3066</v>
      </c>
      <c r="Q1016" t="s">
        <v>3740</v>
      </c>
      <c r="R1016">
        <v>64.349999999999994</v>
      </c>
      <c r="S1016">
        <v>8</v>
      </c>
      <c r="T1016">
        <v>0.05</v>
      </c>
      <c r="U1016">
        <v>18.649999999999999</v>
      </c>
    </row>
    <row r="1017" spans="1:21" x14ac:dyDescent="0.3">
      <c r="A1017">
        <v>1016</v>
      </c>
      <c r="B1017" t="s">
        <v>1036</v>
      </c>
      <c r="C1017" s="2">
        <v>45587</v>
      </c>
      <c r="D1017" s="2">
        <v>45589</v>
      </c>
      <c r="E1017" t="s">
        <v>1522</v>
      </c>
      <c r="F1017" t="s">
        <v>1750</v>
      </c>
      <c r="G1017" t="s">
        <v>2095</v>
      </c>
      <c r="H1017" t="s">
        <v>2315</v>
      </c>
      <c r="I1017" t="s">
        <v>2317</v>
      </c>
      <c r="J1017" t="s">
        <v>2320</v>
      </c>
      <c r="K1017" t="s">
        <v>2320</v>
      </c>
      <c r="L1017">
        <v>481610</v>
      </c>
      <c r="M1017" t="s">
        <v>2330</v>
      </c>
      <c r="N1017" t="s">
        <v>2925</v>
      </c>
      <c r="O1017" t="s">
        <v>3053</v>
      </c>
      <c r="P1017" t="s">
        <v>3056</v>
      </c>
      <c r="Q1017" t="s">
        <v>3741</v>
      </c>
      <c r="R1017">
        <v>113.5</v>
      </c>
      <c r="S1017">
        <v>2</v>
      </c>
      <c r="T1017">
        <v>0.2</v>
      </c>
      <c r="U1017">
        <v>-27.15</v>
      </c>
    </row>
    <row r="1018" spans="1:21" x14ac:dyDescent="0.3">
      <c r="A1018">
        <v>1017</v>
      </c>
      <c r="B1018" t="s">
        <v>1037</v>
      </c>
      <c r="C1018" s="2">
        <v>45611</v>
      </c>
      <c r="D1018" s="2">
        <v>45613</v>
      </c>
      <c r="E1018" t="s">
        <v>1521</v>
      </c>
      <c r="F1018" t="s">
        <v>1693</v>
      </c>
      <c r="G1018" t="s">
        <v>1995</v>
      </c>
      <c r="H1018" t="s">
        <v>2314</v>
      </c>
      <c r="I1018" t="s">
        <v>2317</v>
      </c>
      <c r="J1018" t="s">
        <v>2327</v>
      </c>
      <c r="K1018" t="s">
        <v>2327</v>
      </c>
      <c r="L1018">
        <v>623324</v>
      </c>
      <c r="M1018" t="s">
        <v>2330</v>
      </c>
      <c r="N1018" t="s">
        <v>2735</v>
      </c>
      <c r="O1018" t="s">
        <v>3054</v>
      </c>
      <c r="P1018" t="s">
        <v>3057</v>
      </c>
      <c r="Q1018" t="s">
        <v>3219</v>
      </c>
      <c r="R1018">
        <v>89.95</v>
      </c>
      <c r="S1018">
        <v>5</v>
      </c>
      <c r="T1018">
        <v>0.1</v>
      </c>
      <c r="U1018">
        <v>-22.34</v>
      </c>
    </row>
    <row r="1019" spans="1:21" x14ac:dyDescent="0.3">
      <c r="A1019">
        <v>1018</v>
      </c>
      <c r="B1019" t="s">
        <v>1038</v>
      </c>
      <c r="C1019" s="2">
        <v>45863</v>
      </c>
      <c r="D1019" s="2">
        <v>45867</v>
      </c>
      <c r="E1019" t="s">
        <v>1521</v>
      </c>
      <c r="F1019" t="s">
        <v>1556</v>
      </c>
      <c r="G1019" t="s">
        <v>2208</v>
      </c>
      <c r="H1019" t="s">
        <v>2314</v>
      </c>
      <c r="I1019" t="s">
        <v>2317</v>
      </c>
      <c r="J1019" t="s">
        <v>2319</v>
      </c>
      <c r="K1019" t="s">
        <v>2319</v>
      </c>
      <c r="L1019">
        <v>765508</v>
      </c>
      <c r="M1019" t="s">
        <v>2329</v>
      </c>
      <c r="N1019" t="s">
        <v>2404</v>
      </c>
      <c r="O1019" t="s">
        <v>3053</v>
      </c>
      <c r="P1019" t="s">
        <v>3065</v>
      </c>
      <c r="Q1019" t="s">
        <v>3742</v>
      </c>
      <c r="R1019">
        <v>92.96</v>
      </c>
      <c r="S1019">
        <v>3</v>
      </c>
      <c r="T1019">
        <v>0.2</v>
      </c>
      <c r="U1019">
        <v>33.65</v>
      </c>
    </row>
    <row r="1020" spans="1:21" x14ac:dyDescent="0.3">
      <c r="A1020">
        <v>1019</v>
      </c>
      <c r="B1020" t="s">
        <v>1039</v>
      </c>
      <c r="C1020" s="2">
        <v>45640</v>
      </c>
      <c r="D1020" s="2">
        <v>45644</v>
      </c>
      <c r="E1020" t="s">
        <v>1522</v>
      </c>
      <c r="F1020" t="s">
        <v>1900</v>
      </c>
      <c r="G1020" t="s">
        <v>2292</v>
      </c>
      <c r="H1020" t="s">
        <v>2315</v>
      </c>
      <c r="I1020" t="s">
        <v>2317</v>
      </c>
      <c r="J1020" t="s">
        <v>2322</v>
      </c>
      <c r="K1020" t="s">
        <v>2322</v>
      </c>
      <c r="L1020">
        <v>123119</v>
      </c>
      <c r="M1020" t="s">
        <v>2331</v>
      </c>
      <c r="N1020" t="s">
        <v>2894</v>
      </c>
      <c r="O1020" t="s">
        <v>3053</v>
      </c>
      <c r="P1020" t="s">
        <v>3056</v>
      </c>
      <c r="Q1020" t="s">
        <v>3743</v>
      </c>
      <c r="R1020">
        <v>67.11</v>
      </c>
      <c r="S1020">
        <v>1</v>
      </c>
      <c r="T1020">
        <v>0.1</v>
      </c>
      <c r="U1020">
        <v>8.19</v>
      </c>
    </row>
    <row r="1021" spans="1:21" x14ac:dyDescent="0.3">
      <c r="A1021">
        <v>1020</v>
      </c>
      <c r="B1021" t="s">
        <v>1040</v>
      </c>
      <c r="C1021" s="2">
        <v>45520</v>
      </c>
      <c r="D1021" s="2">
        <v>45523</v>
      </c>
      <c r="E1021" t="s">
        <v>1524</v>
      </c>
      <c r="F1021" t="s">
        <v>1884</v>
      </c>
      <c r="G1021" t="s">
        <v>2016</v>
      </c>
      <c r="H1021" t="s">
        <v>2314</v>
      </c>
      <c r="I1021" t="s">
        <v>2317</v>
      </c>
      <c r="J1021" t="s">
        <v>2321</v>
      </c>
      <c r="K1021" t="s">
        <v>2321</v>
      </c>
      <c r="L1021">
        <v>214090</v>
      </c>
      <c r="M1021" t="s">
        <v>2329</v>
      </c>
      <c r="N1021" t="s">
        <v>2462</v>
      </c>
      <c r="O1021" t="s">
        <v>3055</v>
      </c>
      <c r="P1021" t="s">
        <v>3067</v>
      </c>
      <c r="Q1021" t="s">
        <v>3188</v>
      </c>
      <c r="R1021">
        <v>828.14</v>
      </c>
      <c r="S1021">
        <v>3</v>
      </c>
      <c r="T1021">
        <v>0.15</v>
      </c>
      <c r="U1021">
        <v>39.869999999999997</v>
      </c>
    </row>
    <row r="1022" spans="1:21" x14ac:dyDescent="0.3">
      <c r="A1022">
        <v>1021</v>
      </c>
      <c r="B1022" t="s">
        <v>1041</v>
      </c>
      <c r="C1022" s="2">
        <v>45561</v>
      </c>
      <c r="D1022" s="2">
        <v>45563</v>
      </c>
      <c r="E1022" t="s">
        <v>1522</v>
      </c>
      <c r="F1022" t="s">
        <v>1901</v>
      </c>
      <c r="G1022" t="s">
        <v>2027</v>
      </c>
      <c r="H1022" t="s">
        <v>2315</v>
      </c>
      <c r="I1022" t="s">
        <v>2317</v>
      </c>
      <c r="J1022" t="s">
        <v>2327</v>
      </c>
      <c r="K1022" t="s">
        <v>2327</v>
      </c>
      <c r="L1022">
        <v>144350</v>
      </c>
      <c r="M1022" t="s">
        <v>2330</v>
      </c>
      <c r="N1022" t="s">
        <v>2899</v>
      </c>
      <c r="O1022" t="s">
        <v>3053</v>
      </c>
      <c r="P1022" t="s">
        <v>3066</v>
      </c>
      <c r="Q1022" t="s">
        <v>3140</v>
      </c>
      <c r="R1022">
        <v>167.2</v>
      </c>
      <c r="S1022">
        <v>9</v>
      </c>
      <c r="T1022">
        <v>0.2</v>
      </c>
      <c r="U1022">
        <v>-6.73</v>
      </c>
    </row>
    <row r="1023" spans="1:21" x14ac:dyDescent="0.3">
      <c r="A1023">
        <v>1022</v>
      </c>
      <c r="B1023" t="s">
        <v>1042</v>
      </c>
      <c r="C1023" s="2">
        <v>45582</v>
      </c>
      <c r="D1023" s="2">
        <v>45585</v>
      </c>
      <c r="E1023" t="s">
        <v>1522</v>
      </c>
      <c r="F1023" t="s">
        <v>1726</v>
      </c>
      <c r="G1023" t="s">
        <v>2187</v>
      </c>
      <c r="H1023" t="s">
        <v>2315</v>
      </c>
      <c r="I1023" t="s">
        <v>2317</v>
      </c>
      <c r="J1023" t="s">
        <v>2323</v>
      </c>
      <c r="K1023" t="s">
        <v>2323</v>
      </c>
      <c r="L1023">
        <v>982980</v>
      </c>
      <c r="M1023" t="s">
        <v>2328</v>
      </c>
      <c r="N1023" t="s">
        <v>2741</v>
      </c>
      <c r="O1023" t="s">
        <v>3054</v>
      </c>
      <c r="P1023" t="s">
        <v>3063</v>
      </c>
      <c r="Q1023" t="s">
        <v>3642</v>
      </c>
      <c r="R1023">
        <v>220.91</v>
      </c>
      <c r="S1023">
        <v>8</v>
      </c>
      <c r="T1023">
        <v>0.3</v>
      </c>
      <c r="U1023">
        <v>-20.85</v>
      </c>
    </row>
    <row r="1024" spans="1:21" x14ac:dyDescent="0.3">
      <c r="A1024">
        <v>1023</v>
      </c>
      <c r="B1024" t="s">
        <v>1043</v>
      </c>
      <c r="C1024" s="2">
        <v>46016</v>
      </c>
      <c r="D1024" s="2">
        <v>46020</v>
      </c>
      <c r="E1024" t="s">
        <v>1524</v>
      </c>
      <c r="F1024" t="s">
        <v>1788</v>
      </c>
      <c r="G1024" t="s">
        <v>2165</v>
      </c>
      <c r="H1024" t="s">
        <v>2314</v>
      </c>
      <c r="I1024" t="s">
        <v>2317</v>
      </c>
      <c r="J1024" t="s">
        <v>2326</v>
      </c>
      <c r="K1024" t="s">
        <v>2326</v>
      </c>
      <c r="L1024">
        <v>881863</v>
      </c>
      <c r="M1024" t="s">
        <v>2331</v>
      </c>
      <c r="N1024" t="s">
        <v>2731</v>
      </c>
      <c r="O1024" t="s">
        <v>3055</v>
      </c>
      <c r="P1024" t="s">
        <v>3067</v>
      </c>
      <c r="Q1024" t="s">
        <v>3744</v>
      </c>
      <c r="R1024">
        <v>258.43</v>
      </c>
      <c r="S1024">
        <v>7</v>
      </c>
      <c r="T1024">
        <v>0.15</v>
      </c>
      <c r="U1024">
        <v>10.82</v>
      </c>
    </row>
    <row r="1025" spans="1:21" x14ac:dyDescent="0.3">
      <c r="A1025">
        <v>1024</v>
      </c>
      <c r="B1025" t="s">
        <v>1044</v>
      </c>
      <c r="C1025" s="2">
        <v>45456</v>
      </c>
      <c r="D1025" s="2">
        <v>45458</v>
      </c>
      <c r="E1025" t="s">
        <v>1522</v>
      </c>
      <c r="F1025" t="s">
        <v>1864</v>
      </c>
      <c r="G1025" t="s">
        <v>1996</v>
      </c>
      <c r="H1025" t="s">
        <v>2314</v>
      </c>
      <c r="I1025" t="s">
        <v>2317</v>
      </c>
      <c r="J1025" t="s">
        <v>2318</v>
      </c>
      <c r="K1025" t="s">
        <v>2318</v>
      </c>
      <c r="L1025">
        <v>576848</v>
      </c>
      <c r="M1025" t="s">
        <v>2328</v>
      </c>
      <c r="N1025" t="s">
        <v>2753</v>
      </c>
      <c r="O1025" t="s">
        <v>3055</v>
      </c>
      <c r="P1025" t="s">
        <v>3059</v>
      </c>
      <c r="Q1025" t="s">
        <v>3745</v>
      </c>
      <c r="R1025">
        <v>138.19999999999999</v>
      </c>
      <c r="S1025">
        <v>7</v>
      </c>
      <c r="T1025">
        <v>0.4</v>
      </c>
      <c r="U1025">
        <v>-66.25</v>
      </c>
    </row>
    <row r="1026" spans="1:21" x14ac:dyDescent="0.3">
      <c r="A1026">
        <v>1025</v>
      </c>
      <c r="B1026" t="s">
        <v>1045</v>
      </c>
      <c r="C1026" s="2">
        <v>45296</v>
      </c>
      <c r="D1026" s="2">
        <v>45298</v>
      </c>
      <c r="E1026" t="s">
        <v>1522</v>
      </c>
      <c r="F1026" t="s">
        <v>1868</v>
      </c>
      <c r="G1026" t="s">
        <v>2054</v>
      </c>
      <c r="H1026" t="s">
        <v>2314</v>
      </c>
      <c r="I1026" t="s">
        <v>2317</v>
      </c>
      <c r="J1026" t="s">
        <v>2323</v>
      </c>
      <c r="K1026" t="s">
        <v>2323</v>
      </c>
      <c r="L1026">
        <v>935422</v>
      </c>
      <c r="M1026" t="s">
        <v>2328</v>
      </c>
      <c r="N1026" t="s">
        <v>2338</v>
      </c>
      <c r="O1026" t="s">
        <v>3055</v>
      </c>
      <c r="P1026" t="s">
        <v>3067</v>
      </c>
      <c r="Q1026" t="s">
        <v>3571</v>
      </c>
      <c r="R1026">
        <v>411.29</v>
      </c>
      <c r="S1026">
        <v>3</v>
      </c>
      <c r="T1026">
        <v>0.15</v>
      </c>
      <c r="U1026">
        <v>14.3</v>
      </c>
    </row>
    <row r="1027" spans="1:21" x14ac:dyDescent="0.3">
      <c r="A1027">
        <v>1026</v>
      </c>
      <c r="B1027" t="s">
        <v>1046</v>
      </c>
      <c r="C1027" s="2">
        <v>45670</v>
      </c>
      <c r="D1027" s="2">
        <v>45673</v>
      </c>
      <c r="E1027" t="s">
        <v>1521</v>
      </c>
      <c r="F1027" t="s">
        <v>1813</v>
      </c>
      <c r="G1027" t="s">
        <v>1936</v>
      </c>
      <c r="H1027" t="s">
        <v>2316</v>
      </c>
      <c r="I1027" t="s">
        <v>2317</v>
      </c>
      <c r="J1027" t="s">
        <v>2320</v>
      </c>
      <c r="K1027" t="s">
        <v>2320</v>
      </c>
      <c r="L1027">
        <v>634328</v>
      </c>
      <c r="M1027" t="s">
        <v>2330</v>
      </c>
      <c r="N1027" t="s">
        <v>2926</v>
      </c>
      <c r="O1027" t="s">
        <v>3055</v>
      </c>
      <c r="P1027" t="s">
        <v>3059</v>
      </c>
      <c r="Q1027" t="s">
        <v>3746</v>
      </c>
      <c r="R1027">
        <v>483.54</v>
      </c>
      <c r="S1027">
        <v>6</v>
      </c>
      <c r="T1027">
        <v>0.2</v>
      </c>
      <c r="U1027">
        <v>36.56</v>
      </c>
    </row>
    <row r="1028" spans="1:21" x14ac:dyDescent="0.3">
      <c r="A1028">
        <v>1027</v>
      </c>
      <c r="B1028" t="s">
        <v>1047</v>
      </c>
      <c r="C1028" s="2">
        <v>45369</v>
      </c>
      <c r="D1028" s="2">
        <v>45372</v>
      </c>
      <c r="E1028" t="s">
        <v>1524</v>
      </c>
      <c r="F1028" t="s">
        <v>1719</v>
      </c>
      <c r="G1028" t="s">
        <v>2279</v>
      </c>
      <c r="H1028" t="s">
        <v>2314</v>
      </c>
      <c r="I1028" t="s">
        <v>2317</v>
      </c>
      <c r="J1028" t="s">
        <v>2325</v>
      </c>
      <c r="K1028" t="s">
        <v>2325</v>
      </c>
      <c r="L1028">
        <v>531600</v>
      </c>
      <c r="M1028" t="s">
        <v>2332</v>
      </c>
      <c r="N1028" t="s">
        <v>2927</v>
      </c>
      <c r="O1028" t="s">
        <v>3053</v>
      </c>
      <c r="P1028" t="s">
        <v>3062</v>
      </c>
      <c r="Q1028" t="s">
        <v>3390</v>
      </c>
      <c r="R1028">
        <v>105.88</v>
      </c>
      <c r="S1028">
        <v>6</v>
      </c>
      <c r="T1028">
        <v>0.15</v>
      </c>
      <c r="U1028">
        <v>4.8099999999999996</v>
      </c>
    </row>
    <row r="1029" spans="1:21" x14ac:dyDescent="0.3">
      <c r="A1029">
        <v>1028</v>
      </c>
      <c r="B1029" t="s">
        <v>1048</v>
      </c>
      <c r="C1029" s="2">
        <v>45701</v>
      </c>
      <c r="D1029" s="2">
        <v>45702</v>
      </c>
      <c r="E1029" t="s">
        <v>1521</v>
      </c>
      <c r="F1029" t="s">
        <v>1902</v>
      </c>
      <c r="G1029" t="s">
        <v>2238</v>
      </c>
      <c r="H1029" t="s">
        <v>2314</v>
      </c>
      <c r="I1029" t="s">
        <v>2317</v>
      </c>
      <c r="J1029" t="s">
        <v>2326</v>
      </c>
      <c r="K1029" t="s">
        <v>2326</v>
      </c>
      <c r="L1029">
        <v>659268</v>
      </c>
      <c r="M1029" t="s">
        <v>2331</v>
      </c>
      <c r="N1029" t="s">
        <v>2928</v>
      </c>
      <c r="O1029" t="s">
        <v>3055</v>
      </c>
      <c r="P1029" t="s">
        <v>3059</v>
      </c>
      <c r="Q1029" t="s">
        <v>3747</v>
      </c>
      <c r="R1029">
        <v>806.25</v>
      </c>
      <c r="S1029">
        <v>7</v>
      </c>
      <c r="T1029">
        <v>0</v>
      </c>
      <c r="U1029">
        <v>200.34</v>
      </c>
    </row>
    <row r="1030" spans="1:21" x14ac:dyDescent="0.3">
      <c r="A1030">
        <v>1029</v>
      </c>
      <c r="B1030" t="s">
        <v>1049</v>
      </c>
      <c r="C1030" s="2">
        <v>45865</v>
      </c>
      <c r="D1030" s="2">
        <v>45869</v>
      </c>
      <c r="E1030" t="s">
        <v>1524</v>
      </c>
      <c r="F1030" t="s">
        <v>1711</v>
      </c>
      <c r="G1030" t="s">
        <v>2296</v>
      </c>
      <c r="H1030" t="s">
        <v>2315</v>
      </c>
      <c r="I1030" t="s">
        <v>2317</v>
      </c>
      <c r="J1030" t="s">
        <v>2318</v>
      </c>
      <c r="K1030" t="s">
        <v>2318</v>
      </c>
      <c r="L1030">
        <v>174491</v>
      </c>
      <c r="M1030" t="s">
        <v>2328</v>
      </c>
      <c r="N1030" t="s">
        <v>2764</v>
      </c>
      <c r="O1030" t="s">
        <v>3054</v>
      </c>
      <c r="P1030" t="s">
        <v>3058</v>
      </c>
      <c r="Q1030" t="s">
        <v>3717</v>
      </c>
      <c r="R1030">
        <v>84.04</v>
      </c>
      <c r="S1030">
        <v>4</v>
      </c>
      <c r="T1030">
        <v>0.05</v>
      </c>
      <c r="U1030">
        <v>-31.41</v>
      </c>
    </row>
    <row r="1031" spans="1:21" x14ac:dyDescent="0.3">
      <c r="A1031">
        <v>1030</v>
      </c>
      <c r="B1031" t="s">
        <v>1050</v>
      </c>
      <c r="C1031" s="2">
        <v>45423</v>
      </c>
      <c r="D1031" s="2">
        <v>45426</v>
      </c>
      <c r="E1031" t="s">
        <v>1523</v>
      </c>
      <c r="F1031" t="s">
        <v>1709</v>
      </c>
      <c r="G1031" t="s">
        <v>2256</v>
      </c>
      <c r="H1031" t="s">
        <v>2314</v>
      </c>
      <c r="I1031" t="s">
        <v>2317</v>
      </c>
      <c r="J1031" t="s">
        <v>2318</v>
      </c>
      <c r="K1031" t="s">
        <v>2318</v>
      </c>
      <c r="L1031">
        <v>629465</v>
      </c>
      <c r="M1031" t="s">
        <v>2328</v>
      </c>
      <c r="N1031" t="s">
        <v>2419</v>
      </c>
      <c r="O1031" t="s">
        <v>3054</v>
      </c>
      <c r="P1031" t="s">
        <v>3063</v>
      </c>
      <c r="Q1031" t="s">
        <v>3362</v>
      </c>
      <c r="R1031">
        <v>272.3</v>
      </c>
      <c r="S1031">
        <v>7</v>
      </c>
      <c r="T1031">
        <v>0.05</v>
      </c>
      <c r="U1031">
        <v>25.68</v>
      </c>
    </row>
    <row r="1032" spans="1:21" x14ac:dyDescent="0.3">
      <c r="A1032">
        <v>1031</v>
      </c>
      <c r="B1032" t="s">
        <v>1051</v>
      </c>
      <c r="C1032" s="2">
        <v>45892</v>
      </c>
      <c r="D1032" s="2">
        <v>45896</v>
      </c>
      <c r="E1032" t="s">
        <v>1522</v>
      </c>
      <c r="F1032" t="s">
        <v>1593</v>
      </c>
      <c r="G1032" t="s">
        <v>2260</v>
      </c>
      <c r="H1032" t="s">
        <v>2314</v>
      </c>
      <c r="I1032" t="s">
        <v>2317</v>
      </c>
      <c r="J1032" t="s">
        <v>2322</v>
      </c>
      <c r="K1032" t="s">
        <v>2322</v>
      </c>
      <c r="L1032">
        <v>275225</v>
      </c>
      <c r="M1032" t="s">
        <v>2331</v>
      </c>
      <c r="N1032" t="s">
        <v>2577</v>
      </c>
      <c r="O1032" t="s">
        <v>3053</v>
      </c>
      <c r="P1032" t="s">
        <v>3062</v>
      </c>
      <c r="Q1032" t="s">
        <v>3654</v>
      </c>
      <c r="R1032">
        <v>397.87</v>
      </c>
      <c r="S1032">
        <v>8</v>
      </c>
      <c r="T1032">
        <v>0.1</v>
      </c>
      <c r="U1032">
        <v>5.83</v>
      </c>
    </row>
    <row r="1033" spans="1:21" x14ac:dyDescent="0.3">
      <c r="A1033">
        <v>1032</v>
      </c>
      <c r="B1033" t="s">
        <v>1052</v>
      </c>
      <c r="C1033" s="2">
        <v>45333</v>
      </c>
      <c r="D1033" s="2">
        <v>45335</v>
      </c>
      <c r="E1033" t="s">
        <v>1524</v>
      </c>
      <c r="F1033" t="s">
        <v>1642</v>
      </c>
      <c r="G1033" t="s">
        <v>1966</v>
      </c>
      <c r="H1033" t="s">
        <v>2314</v>
      </c>
      <c r="I1033" t="s">
        <v>2317</v>
      </c>
      <c r="J1033" t="s">
        <v>2322</v>
      </c>
      <c r="K1033" t="s">
        <v>2322</v>
      </c>
      <c r="L1033">
        <v>683053</v>
      </c>
      <c r="M1033" t="s">
        <v>2331</v>
      </c>
      <c r="N1033" t="s">
        <v>2929</v>
      </c>
      <c r="O1033" t="s">
        <v>3054</v>
      </c>
      <c r="P1033" t="s">
        <v>3063</v>
      </c>
      <c r="Q1033" t="s">
        <v>3349</v>
      </c>
      <c r="R1033">
        <v>80.08</v>
      </c>
      <c r="S1033">
        <v>3</v>
      </c>
      <c r="T1033">
        <v>0.15</v>
      </c>
      <c r="U1033">
        <v>-40.64</v>
      </c>
    </row>
    <row r="1034" spans="1:21" x14ac:dyDescent="0.3">
      <c r="A1034">
        <v>1033</v>
      </c>
      <c r="B1034" t="s">
        <v>1053</v>
      </c>
      <c r="C1034" s="2">
        <v>45380</v>
      </c>
      <c r="D1034" s="2">
        <v>45381</v>
      </c>
      <c r="E1034" t="s">
        <v>1522</v>
      </c>
      <c r="F1034" t="s">
        <v>1543</v>
      </c>
      <c r="G1034" t="s">
        <v>2054</v>
      </c>
      <c r="H1034" t="s">
        <v>2315</v>
      </c>
      <c r="I1034" t="s">
        <v>2317</v>
      </c>
      <c r="J1034" t="s">
        <v>2324</v>
      </c>
      <c r="K1034" t="s">
        <v>2324</v>
      </c>
      <c r="L1034">
        <v>279809</v>
      </c>
      <c r="M1034" t="s">
        <v>2330</v>
      </c>
      <c r="N1034" t="s">
        <v>2748</v>
      </c>
      <c r="O1034" t="s">
        <v>3053</v>
      </c>
      <c r="P1034" t="s">
        <v>3062</v>
      </c>
      <c r="Q1034" t="s">
        <v>3748</v>
      </c>
      <c r="R1034">
        <v>130.47</v>
      </c>
      <c r="S1034">
        <v>8</v>
      </c>
      <c r="T1034">
        <v>0.4</v>
      </c>
      <c r="U1034">
        <v>-33.270000000000003</v>
      </c>
    </row>
    <row r="1035" spans="1:21" x14ac:dyDescent="0.3">
      <c r="A1035">
        <v>1034</v>
      </c>
      <c r="B1035" t="s">
        <v>1054</v>
      </c>
      <c r="C1035" s="2">
        <v>45693</v>
      </c>
      <c r="D1035" s="2">
        <v>45695</v>
      </c>
      <c r="E1035" t="s">
        <v>1524</v>
      </c>
      <c r="F1035" t="s">
        <v>1774</v>
      </c>
      <c r="G1035" t="s">
        <v>2020</v>
      </c>
      <c r="H1035" t="s">
        <v>2314</v>
      </c>
      <c r="I1035" t="s">
        <v>2317</v>
      </c>
      <c r="J1035" t="s">
        <v>2323</v>
      </c>
      <c r="K1035" t="s">
        <v>2323</v>
      </c>
      <c r="L1035">
        <v>784873</v>
      </c>
      <c r="M1035" t="s">
        <v>2328</v>
      </c>
      <c r="N1035" t="s">
        <v>2930</v>
      </c>
      <c r="O1035" t="s">
        <v>3053</v>
      </c>
      <c r="P1035" t="s">
        <v>3065</v>
      </c>
      <c r="Q1035" t="s">
        <v>3296</v>
      </c>
      <c r="R1035">
        <v>383.06</v>
      </c>
      <c r="S1035">
        <v>7</v>
      </c>
      <c r="T1035">
        <v>0</v>
      </c>
      <c r="U1035">
        <v>55.26</v>
      </c>
    </row>
    <row r="1036" spans="1:21" x14ac:dyDescent="0.3">
      <c r="A1036">
        <v>1035</v>
      </c>
      <c r="B1036" t="s">
        <v>1055</v>
      </c>
      <c r="C1036" s="2">
        <v>45587</v>
      </c>
      <c r="D1036" s="2">
        <v>45590</v>
      </c>
      <c r="E1036" t="s">
        <v>1522</v>
      </c>
      <c r="F1036" t="s">
        <v>1736</v>
      </c>
      <c r="G1036" t="s">
        <v>2019</v>
      </c>
      <c r="H1036" t="s">
        <v>2315</v>
      </c>
      <c r="I1036" t="s">
        <v>2317</v>
      </c>
      <c r="J1036" t="s">
        <v>2323</v>
      </c>
      <c r="K1036" t="s">
        <v>2323</v>
      </c>
      <c r="L1036">
        <v>532329</v>
      </c>
      <c r="M1036" t="s">
        <v>2328</v>
      </c>
      <c r="N1036" t="s">
        <v>2642</v>
      </c>
      <c r="O1036" t="s">
        <v>3054</v>
      </c>
      <c r="P1036" t="s">
        <v>3058</v>
      </c>
      <c r="Q1036" t="s">
        <v>3157</v>
      </c>
      <c r="R1036">
        <v>41.59</v>
      </c>
      <c r="S1036">
        <v>1</v>
      </c>
      <c r="T1036">
        <v>0.15</v>
      </c>
      <c r="U1036">
        <v>-0.74</v>
      </c>
    </row>
    <row r="1037" spans="1:21" x14ac:dyDescent="0.3">
      <c r="A1037">
        <v>1036</v>
      </c>
      <c r="B1037" t="s">
        <v>1056</v>
      </c>
      <c r="C1037" s="2">
        <v>45586</v>
      </c>
      <c r="D1037" s="2">
        <v>45590</v>
      </c>
      <c r="E1037" t="s">
        <v>1524</v>
      </c>
      <c r="F1037" t="s">
        <v>1604</v>
      </c>
      <c r="G1037" t="s">
        <v>1949</v>
      </c>
      <c r="H1037" t="s">
        <v>2315</v>
      </c>
      <c r="I1037" t="s">
        <v>2317</v>
      </c>
      <c r="J1037" t="s">
        <v>2323</v>
      </c>
      <c r="K1037" t="s">
        <v>2323</v>
      </c>
      <c r="L1037">
        <v>841449</v>
      </c>
      <c r="M1037" t="s">
        <v>2328</v>
      </c>
      <c r="N1037" t="s">
        <v>2561</v>
      </c>
      <c r="O1037" t="s">
        <v>3055</v>
      </c>
      <c r="P1037" t="s">
        <v>3061</v>
      </c>
      <c r="Q1037" t="s">
        <v>3543</v>
      </c>
      <c r="R1037">
        <v>1018.07</v>
      </c>
      <c r="S1037">
        <v>9</v>
      </c>
      <c r="T1037">
        <v>0.15</v>
      </c>
      <c r="U1037">
        <v>50.9</v>
      </c>
    </row>
    <row r="1038" spans="1:21" x14ac:dyDescent="0.3">
      <c r="A1038">
        <v>1037</v>
      </c>
      <c r="B1038" t="s">
        <v>1057</v>
      </c>
      <c r="C1038" s="2">
        <v>45907</v>
      </c>
      <c r="D1038" s="2">
        <v>45913</v>
      </c>
      <c r="E1038" t="s">
        <v>1521</v>
      </c>
      <c r="F1038" t="s">
        <v>1755</v>
      </c>
      <c r="G1038" t="s">
        <v>2296</v>
      </c>
      <c r="H1038" t="s">
        <v>2316</v>
      </c>
      <c r="I1038" t="s">
        <v>2317</v>
      </c>
      <c r="J1038" t="s">
        <v>2324</v>
      </c>
      <c r="K1038" t="s">
        <v>2324</v>
      </c>
      <c r="L1038">
        <v>116375</v>
      </c>
      <c r="M1038" t="s">
        <v>2330</v>
      </c>
      <c r="N1038" t="s">
        <v>2527</v>
      </c>
      <c r="O1038" t="s">
        <v>3054</v>
      </c>
      <c r="P1038" t="s">
        <v>3057</v>
      </c>
      <c r="Q1038" t="s">
        <v>3749</v>
      </c>
      <c r="R1038">
        <v>82.81</v>
      </c>
      <c r="S1038">
        <v>4</v>
      </c>
      <c r="T1038">
        <v>0.15</v>
      </c>
      <c r="U1038">
        <v>3.14</v>
      </c>
    </row>
    <row r="1039" spans="1:21" x14ac:dyDescent="0.3">
      <c r="A1039">
        <v>1038</v>
      </c>
      <c r="B1039" t="s">
        <v>1058</v>
      </c>
      <c r="C1039" s="2">
        <v>45817</v>
      </c>
      <c r="D1039" s="2">
        <v>45820</v>
      </c>
      <c r="E1039" t="s">
        <v>1522</v>
      </c>
      <c r="F1039" t="s">
        <v>1903</v>
      </c>
      <c r="G1039" t="s">
        <v>2211</v>
      </c>
      <c r="H1039" t="s">
        <v>2315</v>
      </c>
      <c r="I1039" t="s">
        <v>2317</v>
      </c>
      <c r="J1039" t="s">
        <v>2319</v>
      </c>
      <c r="K1039" t="s">
        <v>2319</v>
      </c>
      <c r="L1039">
        <v>134510</v>
      </c>
      <c r="M1039" t="s">
        <v>2329</v>
      </c>
      <c r="N1039" t="s">
        <v>2545</v>
      </c>
      <c r="O1039" t="s">
        <v>3055</v>
      </c>
      <c r="P1039" t="s">
        <v>3061</v>
      </c>
      <c r="Q1039" t="s">
        <v>3750</v>
      </c>
      <c r="R1039">
        <v>209.68</v>
      </c>
      <c r="S1039">
        <v>2</v>
      </c>
      <c r="T1039">
        <v>0.4</v>
      </c>
      <c r="U1039">
        <v>-39.03</v>
      </c>
    </row>
    <row r="1040" spans="1:21" x14ac:dyDescent="0.3">
      <c r="A1040">
        <v>1039</v>
      </c>
      <c r="B1040" t="s">
        <v>1059</v>
      </c>
      <c r="C1040" s="2">
        <v>45982</v>
      </c>
      <c r="D1040" s="2">
        <v>45986</v>
      </c>
      <c r="E1040" t="s">
        <v>1523</v>
      </c>
      <c r="F1040" t="s">
        <v>1531</v>
      </c>
      <c r="G1040" t="s">
        <v>2147</v>
      </c>
      <c r="H1040" t="s">
        <v>2314</v>
      </c>
      <c r="I1040" t="s">
        <v>2317</v>
      </c>
      <c r="J1040" t="s">
        <v>2318</v>
      </c>
      <c r="K1040" t="s">
        <v>2318</v>
      </c>
      <c r="L1040">
        <v>155313</v>
      </c>
      <c r="M1040" t="s">
        <v>2328</v>
      </c>
      <c r="N1040" t="s">
        <v>2569</v>
      </c>
      <c r="O1040" t="s">
        <v>3053</v>
      </c>
      <c r="P1040" t="s">
        <v>3062</v>
      </c>
      <c r="Q1040" t="s">
        <v>3751</v>
      </c>
      <c r="R1040">
        <v>421.08</v>
      </c>
      <c r="S1040">
        <v>3</v>
      </c>
      <c r="T1040">
        <v>0.15</v>
      </c>
      <c r="U1040">
        <v>41.15</v>
      </c>
    </row>
    <row r="1041" spans="1:21" x14ac:dyDescent="0.3">
      <c r="A1041">
        <v>1040</v>
      </c>
      <c r="B1041" t="s">
        <v>1060</v>
      </c>
      <c r="C1041" s="2">
        <v>45928</v>
      </c>
      <c r="D1041" s="2">
        <v>45930</v>
      </c>
      <c r="E1041" t="s">
        <v>1522</v>
      </c>
      <c r="F1041" t="s">
        <v>1720</v>
      </c>
      <c r="G1041" t="s">
        <v>2267</v>
      </c>
      <c r="H1041" t="s">
        <v>2314</v>
      </c>
      <c r="I1041" t="s">
        <v>2317</v>
      </c>
      <c r="J1041" t="s">
        <v>2326</v>
      </c>
      <c r="K1041" t="s">
        <v>2326</v>
      </c>
      <c r="L1041">
        <v>761950</v>
      </c>
      <c r="M1041" t="s">
        <v>2331</v>
      </c>
      <c r="N1041" t="s">
        <v>2931</v>
      </c>
      <c r="O1041" t="s">
        <v>3055</v>
      </c>
      <c r="P1041" t="s">
        <v>3059</v>
      </c>
      <c r="Q1041" t="s">
        <v>3752</v>
      </c>
      <c r="R1041">
        <v>316.76</v>
      </c>
      <c r="S1041">
        <v>3</v>
      </c>
      <c r="T1041">
        <v>0.4</v>
      </c>
      <c r="U1041">
        <v>-40.67</v>
      </c>
    </row>
    <row r="1042" spans="1:21" x14ac:dyDescent="0.3">
      <c r="A1042">
        <v>1041</v>
      </c>
      <c r="B1042" t="s">
        <v>1061</v>
      </c>
      <c r="C1042" s="2">
        <v>45713</v>
      </c>
      <c r="D1042" s="2">
        <v>45716</v>
      </c>
      <c r="E1042" t="s">
        <v>1523</v>
      </c>
      <c r="F1042" t="s">
        <v>1864</v>
      </c>
      <c r="G1042" t="s">
        <v>2221</v>
      </c>
      <c r="H1042" t="s">
        <v>2316</v>
      </c>
      <c r="I1042" t="s">
        <v>2317</v>
      </c>
      <c r="J1042" t="s">
        <v>2320</v>
      </c>
      <c r="K1042" t="s">
        <v>2320</v>
      </c>
      <c r="L1042">
        <v>748869</v>
      </c>
      <c r="M1042" t="s">
        <v>2330</v>
      </c>
      <c r="N1042" t="s">
        <v>2516</v>
      </c>
      <c r="O1042" t="s">
        <v>3054</v>
      </c>
      <c r="P1042" t="s">
        <v>3063</v>
      </c>
      <c r="Q1042" t="s">
        <v>3499</v>
      </c>
      <c r="R1042">
        <v>139.85</v>
      </c>
      <c r="S1042">
        <v>4</v>
      </c>
      <c r="T1042">
        <v>0.2</v>
      </c>
      <c r="U1042">
        <v>-10.46</v>
      </c>
    </row>
    <row r="1043" spans="1:21" x14ac:dyDescent="0.3">
      <c r="A1043">
        <v>1042</v>
      </c>
      <c r="B1043" t="s">
        <v>1062</v>
      </c>
      <c r="C1043" s="2">
        <v>45314</v>
      </c>
      <c r="D1043" s="2">
        <v>45316</v>
      </c>
      <c r="E1043" t="s">
        <v>1524</v>
      </c>
      <c r="F1043" t="s">
        <v>1738</v>
      </c>
      <c r="G1043" t="s">
        <v>1940</v>
      </c>
      <c r="H1043" t="s">
        <v>2316</v>
      </c>
      <c r="I1043" t="s">
        <v>2317</v>
      </c>
      <c r="J1043" t="s">
        <v>2318</v>
      </c>
      <c r="K1043" t="s">
        <v>2318</v>
      </c>
      <c r="L1043">
        <v>999054</v>
      </c>
      <c r="M1043" t="s">
        <v>2328</v>
      </c>
      <c r="N1043" t="s">
        <v>2932</v>
      </c>
      <c r="O1043" t="s">
        <v>3054</v>
      </c>
      <c r="P1043" t="s">
        <v>3057</v>
      </c>
      <c r="Q1043" t="s">
        <v>3186</v>
      </c>
      <c r="R1043">
        <v>68.739999999999995</v>
      </c>
      <c r="S1043">
        <v>2</v>
      </c>
      <c r="T1043">
        <v>0.15</v>
      </c>
      <c r="U1043">
        <v>43.31</v>
      </c>
    </row>
    <row r="1044" spans="1:21" x14ac:dyDescent="0.3">
      <c r="A1044">
        <v>1043</v>
      </c>
      <c r="B1044" t="s">
        <v>1063</v>
      </c>
      <c r="C1044" s="2">
        <v>45866</v>
      </c>
      <c r="D1044" s="2">
        <v>45870</v>
      </c>
      <c r="E1044" t="s">
        <v>1523</v>
      </c>
      <c r="F1044" t="s">
        <v>1553</v>
      </c>
      <c r="G1044" t="s">
        <v>2050</v>
      </c>
      <c r="H1044" t="s">
        <v>2314</v>
      </c>
      <c r="I1044" t="s">
        <v>2317</v>
      </c>
      <c r="J1044" t="s">
        <v>2322</v>
      </c>
      <c r="K1044" t="s">
        <v>2322</v>
      </c>
      <c r="L1044">
        <v>966195</v>
      </c>
      <c r="M1044" t="s">
        <v>2331</v>
      </c>
      <c r="N1044" t="s">
        <v>2566</v>
      </c>
      <c r="O1044" t="s">
        <v>3054</v>
      </c>
      <c r="P1044" t="s">
        <v>3063</v>
      </c>
      <c r="Q1044" t="s">
        <v>3154</v>
      </c>
      <c r="R1044">
        <v>153.58000000000001</v>
      </c>
      <c r="S1044">
        <v>9</v>
      </c>
      <c r="T1044">
        <v>0.2</v>
      </c>
      <c r="U1044">
        <v>-11.83</v>
      </c>
    </row>
    <row r="1045" spans="1:21" x14ac:dyDescent="0.3">
      <c r="A1045">
        <v>1044</v>
      </c>
      <c r="B1045" t="s">
        <v>1064</v>
      </c>
      <c r="C1045" s="2">
        <v>45434</v>
      </c>
      <c r="D1045" s="2">
        <v>45437</v>
      </c>
      <c r="E1045" t="s">
        <v>1522</v>
      </c>
      <c r="F1045" t="s">
        <v>1831</v>
      </c>
      <c r="G1045" t="s">
        <v>2130</v>
      </c>
      <c r="H1045" t="s">
        <v>2316</v>
      </c>
      <c r="I1045" t="s">
        <v>2317</v>
      </c>
      <c r="J1045" t="s">
        <v>2327</v>
      </c>
      <c r="K1045" t="s">
        <v>2327</v>
      </c>
      <c r="L1045">
        <v>147361</v>
      </c>
      <c r="M1045" t="s">
        <v>2330</v>
      </c>
      <c r="N1045" t="s">
        <v>2933</v>
      </c>
      <c r="O1045" t="s">
        <v>3053</v>
      </c>
      <c r="P1045" t="s">
        <v>3066</v>
      </c>
      <c r="Q1045" t="s">
        <v>3633</v>
      </c>
      <c r="R1045">
        <v>250.12</v>
      </c>
      <c r="S1045">
        <v>8</v>
      </c>
      <c r="T1045">
        <v>0.1</v>
      </c>
      <c r="U1045">
        <v>14.83</v>
      </c>
    </row>
    <row r="1046" spans="1:21" x14ac:dyDescent="0.3">
      <c r="A1046">
        <v>1045</v>
      </c>
      <c r="B1046" t="s">
        <v>1065</v>
      </c>
      <c r="C1046" s="2">
        <v>45956</v>
      </c>
      <c r="D1046" s="2">
        <v>45958</v>
      </c>
      <c r="E1046" t="s">
        <v>1522</v>
      </c>
      <c r="F1046" t="s">
        <v>1634</v>
      </c>
      <c r="G1046" t="s">
        <v>1993</v>
      </c>
      <c r="H1046" t="s">
        <v>2316</v>
      </c>
      <c r="I1046" t="s">
        <v>2317</v>
      </c>
      <c r="J1046" t="s">
        <v>2325</v>
      </c>
      <c r="K1046" t="s">
        <v>2325</v>
      </c>
      <c r="L1046">
        <v>553682</v>
      </c>
      <c r="M1046" t="s">
        <v>2332</v>
      </c>
      <c r="N1046" t="s">
        <v>2898</v>
      </c>
      <c r="O1046" t="s">
        <v>3053</v>
      </c>
      <c r="P1046" t="s">
        <v>3065</v>
      </c>
      <c r="Q1046" t="s">
        <v>3227</v>
      </c>
      <c r="R1046">
        <v>124.88</v>
      </c>
      <c r="S1046">
        <v>2</v>
      </c>
      <c r="T1046">
        <v>0.2</v>
      </c>
      <c r="U1046">
        <v>42.24</v>
      </c>
    </row>
    <row r="1047" spans="1:21" x14ac:dyDescent="0.3">
      <c r="A1047">
        <v>1046</v>
      </c>
      <c r="B1047" t="s">
        <v>1066</v>
      </c>
      <c r="C1047" s="2">
        <v>45436</v>
      </c>
      <c r="D1047" s="2">
        <v>45438</v>
      </c>
      <c r="E1047" t="s">
        <v>1522</v>
      </c>
      <c r="F1047" t="s">
        <v>1735</v>
      </c>
      <c r="G1047" t="s">
        <v>2279</v>
      </c>
      <c r="H1047" t="s">
        <v>2316</v>
      </c>
      <c r="I1047" t="s">
        <v>2317</v>
      </c>
      <c r="J1047" t="s">
        <v>2324</v>
      </c>
      <c r="K1047" t="s">
        <v>2324</v>
      </c>
      <c r="L1047">
        <v>530898</v>
      </c>
      <c r="M1047" t="s">
        <v>2330</v>
      </c>
      <c r="N1047" t="s">
        <v>2498</v>
      </c>
      <c r="O1047" t="s">
        <v>3055</v>
      </c>
      <c r="P1047" t="s">
        <v>3059</v>
      </c>
      <c r="Q1047" t="s">
        <v>3753</v>
      </c>
      <c r="R1047">
        <v>362.36</v>
      </c>
      <c r="S1047">
        <v>5</v>
      </c>
      <c r="T1047">
        <v>0.2</v>
      </c>
      <c r="U1047">
        <v>33.82</v>
      </c>
    </row>
    <row r="1048" spans="1:21" x14ac:dyDescent="0.3">
      <c r="A1048">
        <v>1047</v>
      </c>
      <c r="B1048" t="s">
        <v>1067</v>
      </c>
      <c r="C1048" s="2">
        <v>45516</v>
      </c>
      <c r="D1048" s="2">
        <v>45519</v>
      </c>
      <c r="E1048" t="s">
        <v>1521</v>
      </c>
      <c r="F1048" t="s">
        <v>1881</v>
      </c>
      <c r="G1048" t="s">
        <v>2150</v>
      </c>
      <c r="H1048" t="s">
        <v>2315</v>
      </c>
      <c r="I1048" t="s">
        <v>2317</v>
      </c>
      <c r="J1048" t="s">
        <v>2321</v>
      </c>
      <c r="K1048" t="s">
        <v>2321</v>
      </c>
      <c r="L1048">
        <v>534610</v>
      </c>
      <c r="M1048" t="s">
        <v>2329</v>
      </c>
      <c r="N1048" t="s">
        <v>2934</v>
      </c>
      <c r="O1048" t="s">
        <v>3053</v>
      </c>
      <c r="P1048" t="s">
        <v>3066</v>
      </c>
      <c r="Q1048" t="s">
        <v>3140</v>
      </c>
      <c r="R1048">
        <v>189.86</v>
      </c>
      <c r="S1048">
        <v>8</v>
      </c>
      <c r="T1048">
        <v>0.2</v>
      </c>
      <c r="U1048">
        <v>16.23</v>
      </c>
    </row>
    <row r="1049" spans="1:21" x14ac:dyDescent="0.3">
      <c r="A1049">
        <v>1048</v>
      </c>
      <c r="B1049" t="s">
        <v>1068</v>
      </c>
      <c r="C1049" s="2">
        <v>45794</v>
      </c>
      <c r="D1049" s="2">
        <v>45797</v>
      </c>
      <c r="E1049" t="s">
        <v>1521</v>
      </c>
      <c r="F1049" t="s">
        <v>1794</v>
      </c>
      <c r="G1049" t="s">
        <v>2080</v>
      </c>
      <c r="H1049" t="s">
        <v>2316</v>
      </c>
      <c r="I1049" t="s">
        <v>2317</v>
      </c>
      <c r="J1049" t="s">
        <v>2327</v>
      </c>
      <c r="K1049" t="s">
        <v>2327</v>
      </c>
      <c r="L1049">
        <v>242228</v>
      </c>
      <c r="M1049" t="s">
        <v>2330</v>
      </c>
      <c r="N1049" t="s">
        <v>2930</v>
      </c>
      <c r="O1049" t="s">
        <v>3054</v>
      </c>
      <c r="P1049" t="s">
        <v>3063</v>
      </c>
      <c r="Q1049" t="s">
        <v>3754</v>
      </c>
      <c r="R1049">
        <v>141.94</v>
      </c>
      <c r="S1049">
        <v>6</v>
      </c>
      <c r="T1049">
        <v>0.15</v>
      </c>
      <c r="U1049">
        <v>8.25</v>
      </c>
    </row>
    <row r="1050" spans="1:21" x14ac:dyDescent="0.3">
      <c r="A1050">
        <v>1049</v>
      </c>
      <c r="B1050" t="s">
        <v>1069</v>
      </c>
      <c r="C1050" s="2">
        <v>45907</v>
      </c>
      <c r="D1050" s="2">
        <v>45910</v>
      </c>
      <c r="E1050" t="s">
        <v>1523</v>
      </c>
      <c r="F1050" t="s">
        <v>1592</v>
      </c>
      <c r="G1050" t="s">
        <v>2166</v>
      </c>
      <c r="H1050" t="s">
        <v>2316</v>
      </c>
      <c r="I1050" t="s">
        <v>2317</v>
      </c>
      <c r="J1050" t="s">
        <v>2320</v>
      </c>
      <c r="K1050" t="s">
        <v>2320</v>
      </c>
      <c r="L1050">
        <v>687582</v>
      </c>
      <c r="M1050" t="s">
        <v>2330</v>
      </c>
      <c r="N1050" t="s">
        <v>2696</v>
      </c>
      <c r="O1050" t="s">
        <v>3053</v>
      </c>
      <c r="P1050" t="s">
        <v>3062</v>
      </c>
      <c r="Q1050" t="s">
        <v>3755</v>
      </c>
      <c r="R1050">
        <v>234.87</v>
      </c>
      <c r="S1050">
        <v>7</v>
      </c>
      <c r="T1050">
        <v>0.1</v>
      </c>
      <c r="U1050">
        <v>41.24</v>
      </c>
    </row>
    <row r="1051" spans="1:21" x14ac:dyDescent="0.3">
      <c r="A1051">
        <v>1050</v>
      </c>
      <c r="B1051" t="s">
        <v>1070</v>
      </c>
      <c r="C1051" s="2">
        <v>45395</v>
      </c>
      <c r="D1051" s="2">
        <v>45400</v>
      </c>
      <c r="E1051" t="s">
        <v>1521</v>
      </c>
      <c r="F1051" t="s">
        <v>1609</v>
      </c>
      <c r="G1051" t="s">
        <v>2111</v>
      </c>
      <c r="H1051" t="s">
        <v>2314</v>
      </c>
      <c r="I1051" t="s">
        <v>2317</v>
      </c>
      <c r="J1051" t="s">
        <v>2323</v>
      </c>
      <c r="K1051" t="s">
        <v>2323</v>
      </c>
      <c r="L1051">
        <v>204919</v>
      </c>
      <c r="M1051" t="s">
        <v>2328</v>
      </c>
      <c r="N1051" t="s">
        <v>2935</v>
      </c>
      <c r="O1051" t="s">
        <v>3054</v>
      </c>
      <c r="P1051" t="s">
        <v>3057</v>
      </c>
      <c r="Q1051" t="s">
        <v>3070</v>
      </c>
      <c r="R1051">
        <v>100.38</v>
      </c>
      <c r="S1051">
        <v>7</v>
      </c>
      <c r="T1051">
        <v>0.15</v>
      </c>
      <c r="U1051">
        <v>17.64</v>
      </c>
    </row>
    <row r="1052" spans="1:21" x14ac:dyDescent="0.3">
      <c r="A1052">
        <v>1051</v>
      </c>
      <c r="B1052" t="s">
        <v>1071</v>
      </c>
      <c r="C1052" s="2">
        <v>45330</v>
      </c>
      <c r="D1052" s="2">
        <v>45332</v>
      </c>
      <c r="E1052" t="s">
        <v>1523</v>
      </c>
      <c r="F1052" t="s">
        <v>1672</v>
      </c>
      <c r="G1052" t="s">
        <v>2263</v>
      </c>
      <c r="H1052" t="s">
        <v>2315</v>
      </c>
      <c r="I1052" t="s">
        <v>2317</v>
      </c>
      <c r="J1052" t="s">
        <v>2322</v>
      </c>
      <c r="K1052" t="s">
        <v>2322</v>
      </c>
      <c r="L1052">
        <v>557582</v>
      </c>
      <c r="M1052" t="s">
        <v>2331</v>
      </c>
      <c r="N1052" t="s">
        <v>2936</v>
      </c>
      <c r="O1052" t="s">
        <v>3054</v>
      </c>
      <c r="P1052" t="s">
        <v>3064</v>
      </c>
      <c r="Q1052" t="s">
        <v>3297</v>
      </c>
      <c r="R1052">
        <v>139.82</v>
      </c>
      <c r="S1052">
        <v>3</v>
      </c>
      <c r="T1052">
        <v>0.4</v>
      </c>
      <c r="U1052">
        <v>-4.3499999999999996</v>
      </c>
    </row>
    <row r="1053" spans="1:21" x14ac:dyDescent="0.3">
      <c r="A1053">
        <v>1052</v>
      </c>
      <c r="B1053" t="s">
        <v>1072</v>
      </c>
      <c r="C1053" s="2">
        <v>45489</v>
      </c>
      <c r="D1053" s="2">
        <v>45491</v>
      </c>
      <c r="E1053" t="s">
        <v>1523</v>
      </c>
      <c r="F1053" t="s">
        <v>1768</v>
      </c>
      <c r="G1053" t="s">
        <v>1975</v>
      </c>
      <c r="H1053" t="s">
        <v>2315</v>
      </c>
      <c r="I1053" t="s">
        <v>2317</v>
      </c>
      <c r="J1053" t="s">
        <v>2322</v>
      </c>
      <c r="K1053" t="s">
        <v>2322</v>
      </c>
      <c r="L1053">
        <v>289927</v>
      </c>
      <c r="M1053" t="s">
        <v>2331</v>
      </c>
      <c r="N1053" t="s">
        <v>2937</v>
      </c>
      <c r="O1053" t="s">
        <v>3053</v>
      </c>
      <c r="P1053" t="s">
        <v>3062</v>
      </c>
      <c r="Q1053" t="s">
        <v>3110</v>
      </c>
      <c r="R1053">
        <v>160.04</v>
      </c>
      <c r="S1053">
        <v>5</v>
      </c>
      <c r="T1053">
        <v>0.2</v>
      </c>
      <c r="U1053">
        <v>-2.52</v>
      </c>
    </row>
    <row r="1054" spans="1:21" x14ac:dyDescent="0.3">
      <c r="A1054">
        <v>1053</v>
      </c>
      <c r="B1054" t="s">
        <v>1073</v>
      </c>
      <c r="C1054" s="2">
        <v>45937</v>
      </c>
      <c r="D1054" s="2">
        <v>45940</v>
      </c>
      <c r="E1054" t="s">
        <v>1523</v>
      </c>
      <c r="F1054" t="s">
        <v>1853</v>
      </c>
      <c r="G1054" t="s">
        <v>1990</v>
      </c>
      <c r="H1054" t="s">
        <v>2314</v>
      </c>
      <c r="I1054" t="s">
        <v>2317</v>
      </c>
      <c r="J1054" t="s">
        <v>2322</v>
      </c>
      <c r="K1054" t="s">
        <v>2322</v>
      </c>
      <c r="L1054">
        <v>685745</v>
      </c>
      <c r="M1054" t="s">
        <v>2331</v>
      </c>
      <c r="N1054" t="s">
        <v>2938</v>
      </c>
      <c r="O1054" t="s">
        <v>3054</v>
      </c>
      <c r="P1054" t="s">
        <v>3058</v>
      </c>
      <c r="Q1054" t="s">
        <v>3561</v>
      </c>
      <c r="R1054">
        <v>169.16</v>
      </c>
      <c r="S1054">
        <v>9</v>
      </c>
      <c r="T1054">
        <v>0.4</v>
      </c>
      <c r="U1054">
        <v>-36.24</v>
      </c>
    </row>
    <row r="1055" spans="1:21" x14ac:dyDescent="0.3">
      <c r="A1055">
        <v>1054</v>
      </c>
      <c r="B1055" t="s">
        <v>1074</v>
      </c>
      <c r="C1055" s="2">
        <v>45870</v>
      </c>
      <c r="D1055" s="2">
        <v>45875</v>
      </c>
      <c r="E1055" t="s">
        <v>1524</v>
      </c>
      <c r="F1055" t="s">
        <v>1536</v>
      </c>
      <c r="G1055" t="s">
        <v>1949</v>
      </c>
      <c r="H1055" t="s">
        <v>2316</v>
      </c>
      <c r="I1055" t="s">
        <v>2317</v>
      </c>
      <c r="J1055" t="s">
        <v>2323</v>
      </c>
      <c r="K1055" t="s">
        <v>2323</v>
      </c>
      <c r="L1055">
        <v>414856</v>
      </c>
      <c r="M1055" t="s">
        <v>2328</v>
      </c>
      <c r="N1055" t="s">
        <v>2939</v>
      </c>
      <c r="O1055" t="s">
        <v>3055</v>
      </c>
      <c r="P1055" t="s">
        <v>3061</v>
      </c>
      <c r="Q1055" t="s">
        <v>3083</v>
      </c>
      <c r="R1055">
        <v>250.36</v>
      </c>
      <c r="S1055">
        <v>1</v>
      </c>
      <c r="T1055">
        <v>0.15</v>
      </c>
      <c r="U1055">
        <v>20.07</v>
      </c>
    </row>
    <row r="1056" spans="1:21" x14ac:dyDescent="0.3">
      <c r="A1056">
        <v>1055</v>
      </c>
      <c r="B1056" t="s">
        <v>1075</v>
      </c>
      <c r="C1056" s="2">
        <v>45682</v>
      </c>
      <c r="D1056" s="2">
        <v>45684</v>
      </c>
      <c r="E1056" t="s">
        <v>1524</v>
      </c>
      <c r="F1056" t="s">
        <v>1752</v>
      </c>
      <c r="G1056" t="s">
        <v>1955</v>
      </c>
      <c r="H1056" t="s">
        <v>2316</v>
      </c>
      <c r="I1056" t="s">
        <v>2317</v>
      </c>
      <c r="J1056" t="s">
        <v>2321</v>
      </c>
      <c r="K1056" t="s">
        <v>2321</v>
      </c>
      <c r="L1056">
        <v>704789</v>
      </c>
      <c r="M1056" t="s">
        <v>2329</v>
      </c>
      <c r="N1056" t="s">
        <v>2940</v>
      </c>
      <c r="O1056" t="s">
        <v>3055</v>
      </c>
      <c r="P1056" t="s">
        <v>3059</v>
      </c>
      <c r="Q1056" t="s">
        <v>3183</v>
      </c>
      <c r="R1056">
        <v>313.97000000000003</v>
      </c>
      <c r="S1056">
        <v>9</v>
      </c>
      <c r="T1056">
        <v>0.3</v>
      </c>
      <c r="U1056">
        <v>-16.579999999999998</v>
      </c>
    </row>
    <row r="1057" spans="1:21" x14ac:dyDescent="0.3">
      <c r="A1057">
        <v>1056</v>
      </c>
      <c r="B1057" t="s">
        <v>1076</v>
      </c>
      <c r="C1057" s="2">
        <v>45470</v>
      </c>
      <c r="D1057" s="2">
        <v>45473</v>
      </c>
      <c r="E1057" t="s">
        <v>1523</v>
      </c>
      <c r="F1057" t="s">
        <v>1789</v>
      </c>
      <c r="G1057" t="s">
        <v>2210</v>
      </c>
      <c r="H1057" t="s">
        <v>2314</v>
      </c>
      <c r="I1057" t="s">
        <v>2317</v>
      </c>
      <c r="J1057" t="s">
        <v>2324</v>
      </c>
      <c r="K1057" t="s">
        <v>2324</v>
      </c>
      <c r="L1057">
        <v>511476</v>
      </c>
      <c r="M1057" t="s">
        <v>2330</v>
      </c>
      <c r="N1057" t="s">
        <v>2795</v>
      </c>
      <c r="O1057" t="s">
        <v>3055</v>
      </c>
      <c r="P1057" t="s">
        <v>3067</v>
      </c>
      <c r="Q1057" t="s">
        <v>3756</v>
      </c>
      <c r="R1057">
        <v>68.959999999999994</v>
      </c>
      <c r="S1057">
        <v>6</v>
      </c>
      <c r="T1057">
        <v>0.15</v>
      </c>
      <c r="U1057">
        <v>-21.02</v>
      </c>
    </row>
    <row r="1058" spans="1:21" x14ac:dyDescent="0.3">
      <c r="A1058">
        <v>1057</v>
      </c>
      <c r="B1058" t="s">
        <v>1077</v>
      </c>
      <c r="C1058" s="2">
        <v>45845</v>
      </c>
      <c r="D1058" s="2">
        <v>45847</v>
      </c>
      <c r="E1058" t="s">
        <v>1521</v>
      </c>
      <c r="F1058" t="s">
        <v>1894</v>
      </c>
      <c r="G1058" t="s">
        <v>2136</v>
      </c>
      <c r="H1058" t="s">
        <v>2316</v>
      </c>
      <c r="I1058" t="s">
        <v>2317</v>
      </c>
      <c r="J1058" t="s">
        <v>2327</v>
      </c>
      <c r="K1058" t="s">
        <v>2327</v>
      </c>
      <c r="L1058">
        <v>698813</v>
      </c>
      <c r="M1058" t="s">
        <v>2330</v>
      </c>
      <c r="N1058" t="s">
        <v>2941</v>
      </c>
      <c r="O1058" t="s">
        <v>3053</v>
      </c>
      <c r="P1058" t="s">
        <v>3062</v>
      </c>
      <c r="Q1058" t="s">
        <v>3673</v>
      </c>
      <c r="R1058">
        <v>217.22</v>
      </c>
      <c r="S1058">
        <v>1</v>
      </c>
      <c r="T1058">
        <v>0.2</v>
      </c>
      <c r="U1058">
        <v>-17.84</v>
      </c>
    </row>
    <row r="1059" spans="1:21" x14ac:dyDescent="0.3">
      <c r="A1059">
        <v>1058</v>
      </c>
      <c r="B1059" t="s">
        <v>1078</v>
      </c>
      <c r="C1059" s="2">
        <v>45739</v>
      </c>
      <c r="D1059" s="2">
        <v>45742</v>
      </c>
      <c r="E1059" t="s">
        <v>1522</v>
      </c>
      <c r="F1059" t="s">
        <v>1585</v>
      </c>
      <c r="G1059" t="s">
        <v>2086</v>
      </c>
      <c r="H1059" t="s">
        <v>2314</v>
      </c>
      <c r="I1059" t="s">
        <v>2317</v>
      </c>
      <c r="J1059" t="s">
        <v>2323</v>
      </c>
      <c r="K1059" t="s">
        <v>2323</v>
      </c>
      <c r="L1059">
        <v>668323</v>
      </c>
      <c r="M1059" t="s">
        <v>2328</v>
      </c>
      <c r="N1059" t="s">
        <v>2553</v>
      </c>
      <c r="O1059" t="s">
        <v>3053</v>
      </c>
      <c r="P1059" t="s">
        <v>3065</v>
      </c>
      <c r="Q1059" t="s">
        <v>3757</v>
      </c>
      <c r="R1059">
        <v>150.75</v>
      </c>
      <c r="S1059">
        <v>7</v>
      </c>
      <c r="T1059">
        <v>0.1</v>
      </c>
      <c r="U1059">
        <v>-13.1</v>
      </c>
    </row>
    <row r="1060" spans="1:21" x14ac:dyDescent="0.3">
      <c r="A1060">
        <v>1059</v>
      </c>
      <c r="B1060" t="s">
        <v>1079</v>
      </c>
      <c r="C1060" s="2">
        <v>45791</v>
      </c>
      <c r="D1060" s="2">
        <v>45794</v>
      </c>
      <c r="E1060" t="s">
        <v>1523</v>
      </c>
      <c r="F1060" t="s">
        <v>1839</v>
      </c>
      <c r="G1060" t="s">
        <v>2042</v>
      </c>
      <c r="H1060" t="s">
        <v>2316</v>
      </c>
      <c r="I1060" t="s">
        <v>2317</v>
      </c>
      <c r="J1060" t="s">
        <v>2320</v>
      </c>
      <c r="K1060" t="s">
        <v>2320</v>
      </c>
      <c r="L1060">
        <v>757559</v>
      </c>
      <c r="M1060" t="s">
        <v>2330</v>
      </c>
      <c r="N1060" t="s">
        <v>2681</v>
      </c>
      <c r="O1060" t="s">
        <v>3053</v>
      </c>
      <c r="P1060" t="s">
        <v>3056</v>
      </c>
      <c r="Q1060" t="s">
        <v>3758</v>
      </c>
      <c r="R1060">
        <v>163.85</v>
      </c>
      <c r="S1060">
        <v>9</v>
      </c>
      <c r="T1060">
        <v>0.1</v>
      </c>
      <c r="U1060">
        <v>25.37</v>
      </c>
    </row>
    <row r="1061" spans="1:21" x14ac:dyDescent="0.3">
      <c r="A1061">
        <v>1060</v>
      </c>
      <c r="B1061" t="s">
        <v>1080</v>
      </c>
      <c r="C1061" s="2">
        <v>45306</v>
      </c>
      <c r="D1061" s="2">
        <v>45309</v>
      </c>
      <c r="E1061" t="s">
        <v>1522</v>
      </c>
      <c r="F1061" t="s">
        <v>1877</v>
      </c>
      <c r="G1061" t="s">
        <v>2202</v>
      </c>
      <c r="H1061" t="s">
        <v>2315</v>
      </c>
      <c r="I1061" t="s">
        <v>2317</v>
      </c>
      <c r="J1061" t="s">
        <v>2324</v>
      </c>
      <c r="K1061" t="s">
        <v>2324</v>
      </c>
      <c r="L1061">
        <v>321120</v>
      </c>
      <c r="M1061" t="s">
        <v>2330</v>
      </c>
      <c r="N1061" t="s">
        <v>2942</v>
      </c>
      <c r="O1061" t="s">
        <v>3053</v>
      </c>
      <c r="P1061" t="s">
        <v>3062</v>
      </c>
      <c r="Q1061" t="s">
        <v>3174</v>
      </c>
      <c r="R1061">
        <v>108.96</v>
      </c>
      <c r="S1061">
        <v>9</v>
      </c>
      <c r="T1061">
        <v>0.1</v>
      </c>
      <c r="U1061">
        <v>-7.2</v>
      </c>
    </row>
    <row r="1062" spans="1:21" x14ac:dyDescent="0.3">
      <c r="A1062">
        <v>1061</v>
      </c>
      <c r="B1062" t="s">
        <v>1081</v>
      </c>
      <c r="C1062" s="2">
        <v>45914</v>
      </c>
      <c r="D1062" s="2">
        <v>45916</v>
      </c>
      <c r="E1062" t="s">
        <v>1524</v>
      </c>
      <c r="F1062" t="s">
        <v>1628</v>
      </c>
      <c r="G1062" t="s">
        <v>2199</v>
      </c>
      <c r="H1062" t="s">
        <v>2316</v>
      </c>
      <c r="I1062" t="s">
        <v>2317</v>
      </c>
      <c r="J1062" t="s">
        <v>2320</v>
      </c>
      <c r="K1062" t="s">
        <v>2320</v>
      </c>
      <c r="L1062">
        <v>321141</v>
      </c>
      <c r="M1062" t="s">
        <v>2330</v>
      </c>
      <c r="N1062" t="s">
        <v>2911</v>
      </c>
      <c r="O1062" t="s">
        <v>3053</v>
      </c>
      <c r="P1062" t="s">
        <v>3066</v>
      </c>
      <c r="Q1062" t="s">
        <v>3579</v>
      </c>
      <c r="R1062">
        <v>113.22</v>
      </c>
      <c r="S1062">
        <v>4</v>
      </c>
      <c r="T1062">
        <v>0.15</v>
      </c>
      <c r="U1062">
        <v>35.270000000000003</v>
      </c>
    </row>
    <row r="1063" spans="1:21" x14ac:dyDescent="0.3">
      <c r="A1063">
        <v>1062</v>
      </c>
      <c r="B1063" t="s">
        <v>1082</v>
      </c>
      <c r="C1063" s="2">
        <v>45960</v>
      </c>
      <c r="D1063" s="2">
        <v>45962</v>
      </c>
      <c r="E1063" t="s">
        <v>1522</v>
      </c>
      <c r="F1063" t="s">
        <v>1605</v>
      </c>
      <c r="G1063" t="s">
        <v>2126</v>
      </c>
      <c r="H1063" t="s">
        <v>2316</v>
      </c>
      <c r="I1063" t="s">
        <v>2317</v>
      </c>
      <c r="J1063" t="s">
        <v>2324</v>
      </c>
      <c r="K1063" t="s">
        <v>2324</v>
      </c>
      <c r="L1063">
        <v>727943</v>
      </c>
      <c r="M1063" t="s">
        <v>2330</v>
      </c>
      <c r="N1063" t="s">
        <v>2805</v>
      </c>
      <c r="O1063" t="s">
        <v>3054</v>
      </c>
      <c r="P1063" t="s">
        <v>3063</v>
      </c>
      <c r="Q1063" t="s">
        <v>3457</v>
      </c>
      <c r="R1063">
        <v>75.19</v>
      </c>
      <c r="S1063">
        <v>1</v>
      </c>
      <c r="T1063">
        <v>0.3</v>
      </c>
      <c r="U1063">
        <v>-12.95</v>
      </c>
    </row>
    <row r="1064" spans="1:21" x14ac:dyDescent="0.3">
      <c r="A1064">
        <v>1063</v>
      </c>
      <c r="B1064" t="s">
        <v>1083</v>
      </c>
      <c r="C1064" s="2">
        <v>45580</v>
      </c>
      <c r="D1064" s="2">
        <v>45583</v>
      </c>
      <c r="E1064" t="s">
        <v>1523</v>
      </c>
      <c r="F1064" t="s">
        <v>1696</v>
      </c>
      <c r="G1064" t="s">
        <v>1929</v>
      </c>
      <c r="H1064" t="s">
        <v>2314</v>
      </c>
      <c r="I1064" t="s">
        <v>2317</v>
      </c>
      <c r="J1064" t="s">
        <v>2321</v>
      </c>
      <c r="K1064" t="s">
        <v>2321</v>
      </c>
      <c r="L1064">
        <v>446336</v>
      </c>
      <c r="M1064" t="s">
        <v>2329</v>
      </c>
      <c r="N1064" t="s">
        <v>2588</v>
      </c>
      <c r="O1064" t="s">
        <v>3054</v>
      </c>
      <c r="P1064" t="s">
        <v>3058</v>
      </c>
      <c r="Q1064" t="s">
        <v>3335</v>
      </c>
      <c r="R1064">
        <v>38.119999999999997</v>
      </c>
      <c r="S1064">
        <v>3</v>
      </c>
      <c r="T1064">
        <v>0.05</v>
      </c>
      <c r="U1064">
        <v>21.5</v>
      </c>
    </row>
    <row r="1065" spans="1:21" x14ac:dyDescent="0.3">
      <c r="A1065">
        <v>1064</v>
      </c>
      <c r="B1065" t="s">
        <v>1084</v>
      </c>
      <c r="C1065" s="2">
        <v>45769</v>
      </c>
      <c r="D1065" s="2">
        <v>45773</v>
      </c>
      <c r="E1065" t="s">
        <v>1521</v>
      </c>
      <c r="F1065" t="s">
        <v>1696</v>
      </c>
      <c r="G1065" t="s">
        <v>2297</v>
      </c>
      <c r="H1065" t="s">
        <v>2314</v>
      </c>
      <c r="I1065" t="s">
        <v>2317</v>
      </c>
      <c r="J1065" t="s">
        <v>2325</v>
      </c>
      <c r="K1065" t="s">
        <v>2325</v>
      </c>
      <c r="L1065">
        <v>994199</v>
      </c>
      <c r="M1065" t="s">
        <v>2332</v>
      </c>
      <c r="N1065" t="s">
        <v>2465</v>
      </c>
      <c r="O1065" t="s">
        <v>3055</v>
      </c>
      <c r="P1065" t="s">
        <v>3067</v>
      </c>
      <c r="Q1065" t="s">
        <v>3719</v>
      </c>
      <c r="R1065">
        <v>629.05999999999995</v>
      </c>
      <c r="S1065">
        <v>9</v>
      </c>
      <c r="T1065">
        <v>0.3</v>
      </c>
      <c r="U1065">
        <v>-22.36</v>
      </c>
    </row>
    <row r="1066" spans="1:21" x14ac:dyDescent="0.3">
      <c r="A1066">
        <v>1065</v>
      </c>
      <c r="B1066" t="s">
        <v>1085</v>
      </c>
      <c r="C1066" s="2">
        <v>45522</v>
      </c>
      <c r="D1066" s="2">
        <v>45525</v>
      </c>
      <c r="E1066" t="s">
        <v>1522</v>
      </c>
      <c r="F1066" t="s">
        <v>1619</v>
      </c>
      <c r="G1066" t="s">
        <v>2244</v>
      </c>
      <c r="H1066" t="s">
        <v>2316</v>
      </c>
      <c r="I1066" t="s">
        <v>2317</v>
      </c>
      <c r="J1066" t="s">
        <v>2320</v>
      </c>
      <c r="K1066" t="s">
        <v>2320</v>
      </c>
      <c r="L1066">
        <v>214433</v>
      </c>
      <c r="M1066" t="s">
        <v>2330</v>
      </c>
      <c r="N1066" t="s">
        <v>2943</v>
      </c>
      <c r="O1066" t="s">
        <v>3055</v>
      </c>
      <c r="P1066" t="s">
        <v>3059</v>
      </c>
      <c r="Q1066" t="s">
        <v>3557</v>
      </c>
      <c r="R1066">
        <v>287.22000000000003</v>
      </c>
      <c r="S1066">
        <v>4</v>
      </c>
      <c r="T1066">
        <v>0.15</v>
      </c>
      <c r="U1066">
        <v>38.450000000000003</v>
      </c>
    </row>
    <row r="1067" spans="1:21" x14ac:dyDescent="0.3">
      <c r="A1067">
        <v>1066</v>
      </c>
      <c r="B1067" t="s">
        <v>1086</v>
      </c>
      <c r="C1067" s="2">
        <v>45711</v>
      </c>
      <c r="D1067" s="2">
        <v>45716</v>
      </c>
      <c r="E1067" t="s">
        <v>1523</v>
      </c>
      <c r="F1067" t="s">
        <v>1773</v>
      </c>
      <c r="G1067" t="s">
        <v>1971</v>
      </c>
      <c r="H1067" t="s">
        <v>2316</v>
      </c>
      <c r="I1067" t="s">
        <v>2317</v>
      </c>
      <c r="J1067" t="s">
        <v>2323</v>
      </c>
      <c r="K1067" t="s">
        <v>2323</v>
      </c>
      <c r="L1067">
        <v>403700</v>
      </c>
      <c r="M1067" t="s">
        <v>2328</v>
      </c>
      <c r="N1067" t="s">
        <v>2872</v>
      </c>
      <c r="O1067" t="s">
        <v>3054</v>
      </c>
      <c r="P1067" t="s">
        <v>3064</v>
      </c>
      <c r="Q1067" t="s">
        <v>3617</v>
      </c>
      <c r="R1067">
        <v>142.88999999999999</v>
      </c>
      <c r="S1067">
        <v>9</v>
      </c>
      <c r="T1067">
        <v>0.05</v>
      </c>
      <c r="U1067">
        <v>-10.16</v>
      </c>
    </row>
    <row r="1068" spans="1:21" x14ac:dyDescent="0.3">
      <c r="A1068">
        <v>1067</v>
      </c>
      <c r="B1068" t="s">
        <v>1087</v>
      </c>
      <c r="C1068" s="2">
        <v>45448</v>
      </c>
      <c r="D1068" s="2">
        <v>45452</v>
      </c>
      <c r="E1068" t="s">
        <v>1522</v>
      </c>
      <c r="F1068" t="s">
        <v>1829</v>
      </c>
      <c r="G1068" t="s">
        <v>2184</v>
      </c>
      <c r="H1068" t="s">
        <v>2314</v>
      </c>
      <c r="I1068" t="s">
        <v>2317</v>
      </c>
      <c r="J1068" t="s">
        <v>2324</v>
      </c>
      <c r="K1068" t="s">
        <v>2324</v>
      </c>
      <c r="L1068">
        <v>887567</v>
      </c>
      <c r="M1068" t="s">
        <v>2330</v>
      </c>
      <c r="N1068" t="s">
        <v>2399</v>
      </c>
      <c r="O1068" t="s">
        <v>3053</v>
      </c>
      <c r="P1068" t="s">
        <v>3066</v>
      </c>
      <c r="Q1068" t="s">
        <v>3759</v>
      </c>
      <c r="R1068">
        <v>168.58</v>
      </c>
      <c r="S1068">
        <v>7</v>
      </c>
      <c r="T1068">
        <v>0.1</v>
      </c>
      <c r="U1068">
        <v>29.27</v>
      </c>
    </row>
    <row r="1069" spans="1:21" x14ac:dyDescent="0.3">
      <c r="A1069">
        <v>1068</v>
      </c>
      <c r="B1069" t="s">
        <v>1088</v>
      </c>
      <c r="C1069" s="2">
        <v>45841</v>
      </c>
      <c r="D1069" s="2">
        <v>45844</v>
      </c>
      <c r="E1069" t="s">
        <v>1522</v>
      </c>
      <c r="F1069" t="s">
        <v>1904</v>
      </c>
      <c r="G1069" t="s">
        <v>2271</v>
      </c>
      <c r="H1069" t="s">
        <v>2315</v>
      </c>
      <c r="I1069" t="s">
        <v>2317</v>
      </c>
      <c r="J1069" t="s">
        <v>2322</v>
      </c>
      <c r="K1069" t="s">
        <v>2322</v>
      </c>
      <c r="L1069">
        <v>968287</v>
      </c>
      <c r="M1069" t="s">
        <v>2331</v>
      </c>
      <c r="N1069" t="s">
        <v>2469</v>
      </c>
      <c r="O1069" t="s">
        <v>3054</v>
      </c>
      <c r="P1069" t="s">
        <v>3064</v>
      </c>
      <c r="Q1069" t="s">
        <v>3760</v>
      </c>
      <c r="R1069">
        <v>76.790000000000006</v>
      </c>
      <c r="S1069">
        <v>8</v>
      </c>
      <c r="T1069">
        <v>0.2</v>
      </c>
      <c r="U1069">
        <v>51.08</v>
      </c>
    </row>
    <row r="1070" spans="1:21" x14ac:dyDescent="0.3">
      <c r="A1070">
        <v>1069</v>
      </c>
      <c r="B1070" t="s">
        <v>1089</v>
      </c>
      <c r="C1070" s="2">
        <v>45732</v>
      </c>
      <c r="D1070" s="2">
        <v>45734</v>
      </c>
      <c r="E1070" t="s">
        <v>1524</v>
      </c>
      <c r="F1070" t="s">
        <v>1534</v>
      </c>
      <c r="G1070" t="s">
        <v>2117</v>
      </c>
      <c r="H1070" t="s">
        <v>2316</v>
      </c>
      <c r="I1070" t="s">
        <v>2317</v>
      </c>
      <c r="J1070" t="s">
        <v>2318</v>
      </c>
      <c r="K1070" t="s">
        <v>2318</v>
      </c>
      <c r="L1070">
        <v>314646</v>
      </c>
      <c r="M1070" t="s">
        <v>2328</v>
      </c>
      <c r="N1070" t="s">
        <v>2944</v>
      </c>
      <c r="O1070" t="s">
        <v>3053</v>
      </c>
      <c r="P1070" t="s">
        <v>3065</v>
      </c>
      <c r="Q1070" t="s">
        <v>3761</v>
      </c>
      <c r="R1070">
        <v>45.48</v>
      </c>
      <c r="S1070">
        <v>5</v>
      </c>
      <c r="T1070">
        <v>0.15</v>
      </c>
      <c r="U1070">
        <v>64.83</v>
      </c>
    </row>
    <row r="1071" spans="1:21" x14ac:dyDescent="0.3">
      <c r="A1071">
        <v>1070</v>
      </c>
      <c r="B1071" t="s">
        <v>1090</v>
      </c>
      <c r="C1071" s="2">
        <v>45388</v>
      </c>
      <c r="D1071" s="2">
        <v>45391</v>
      </c>
      <c r="E1071" t="s">
        <v>1523</v>
      </c>
      <c r="F1071" t="s">
        <v>1898</v>
      </c>
      <c r="G1071" t="s">
        <v>2183</v>
      </c>
      <c r="H1071" t="s">
        <v>2316</v>
      </c>
      <c r="I1071" t="s">
        <v>2317</v>
      </c>
      <c r="J1071" t="s">
        <v>2322</v>
      </c>
      <c r="K1071" t="s">
        <v>2322</v>
      </c>
      <c r="L1071">
        <v>530569</v>
      </c>
      <c r="M1071" t="s">
        <v>2331</v>
      </c>
      <c r="N1071" t="s">
        <v>2623</v>
      </c>
      <c r="O1071" t="s">
        <v>3053</v>
      </c>
      <c r="P1071" t="s">
        <v>3066</v>
      </c>
      <c r="Q1071" t="s">
        <v>3762</v>
      </c>
      <c r="R1071">
        <v>819.13</v>
      </c>
      <c r="S1071">
        <v>1</v>
      </c>
      <c r="T1071">
        <v>0.1</v>
      </c>
      <c r="U1071">
        <v>63.08</v>
      </c>
    </row>
    <row r="1072" spans="1:21" x14ac:dyDescent="0.3">
      <c r="A1072">
        <v>1071</v>
      </c>
      <c r="B1072" t="s">
        <v>1091</v>
      </c>
      <c r="C1072" s="2">
        <v>45702</v>
      </c>
      <c r="D1072" s="2">
        <v>45703</v>
      </c>
      <c r="E1072" t="s">
        <v>1521</v>
      </c>
      <c r="F1072" t="s">
        <v>1774</v>
      </c>
      <c r="G1072" t="s">
        <v>2298</v>
      </c>
      <c r="H1072" t="s">
        <v>2315</v>
      </c>
      <c r="I1072" t="s">
        <v>2317</v>
      </c>
      <c r="J1072" t="s">
        <v>2319</v>
      </c>
      <c r="K1072" t="s">
        <v>2319</v>
      </c>
      <c r="L1072">
        <v>413485</v>
      </c>
      <c r="M1072" t="s">
        <v>2329</v>
      </c>
      <c r="N1072" t="s">
        <v>2546</v>
      </c>
      <c r="O1072" t="s">
        <v>3055</v>
      </c>
      <c r="P1072" t="s">
        <v>3060</v>
      </c>
      <c r="Q1072" t="s">
        <v>3150</v>
      </c>
      <c r="R1072">
        <v>275.12</v>
      </c>
      <c r="S1072">
        <v>2</v>
      </c>
      <c r="T1072">
        <v>0.1</v>
      </c>
      <c r="U1072">
        <v>35.65</v>
      </c>
    </row>
    <row r="1073" spans="1:21" x14ac:dyDescent="0.3">
      <c r="A1073">
        <v>1072</v>
      </c>
      <c r="B1073" t="s">
        <v>1092</v>
      </c>
      <c r="C1073" s="2">
        <v>45580</v>
      </c>
      <c r="D1073" s="2">
        <v>45584</v>
      </c>
      <c r="E1073" t="s">
        <v>1524</v>
      </c>
      <c r="F1073" t="s">
        <v>1825</v>
      </c>
      <c r="G1073" t="s">
        <v>2142</v>
      </c>
      <c r="H1073" t="s">
        <v>2315</v>
      </c>
      <c r="I1073" t="s">
        <v>2317</v>
      </c>
      <c r="J1073" t="s">
        <v>2325</v>
      </c>
      <c r="K1073" t="s">
        <v>2325</v>
      </c>
      <c r="L1073">
        <v>869212</v>
      </c>
      <c r="M1073" t="s">
        <v>2332</v>
      </c>
      <c r="N1073" t="s">
        <v>2526</v>
      </c>
      <c r="O1073" t="s">
        <v>3055</v>
      </c>
      <c r="P1073" t="s">
        <v>3061</v>
      </c>
      <c r="Q1073" t="s">
        <v>3077</v>
      </c>
      <c r="R1073">
        <v>713.89</v>
      </c>
      <c r="S1073">
        <v>6</v>
      </c>
      <c r="T1073">
        <v>0.05</v>
      </c>
      <c r="U1073">
        <v>83.89</v>
      </c>
    </row>
    <row r="1074" spans="1:21" x14ac:dyDescent="0.3">
      <c r="A1074">
        <v>1073</v>
      </c>
      <c r="B1074" t="s">
        <v>1093</v>
      </c>
      <c r="C1074" s="2">
        <v>45545</v>
      </c>
      <c r="D1074" s="2">
        <v>45548</v>
      </c>
      <c r="E1074" t="s">
        <v>1522</v>
      </c>
      <c r="F1074" t="s">
        <v>1677</v>
      </c>
      <c r="G1074" t="s">
        <v>2130</v>
      </c>
      <c r="H1074" t="s">
        <v>2316</v>
      </c>
      <c r="I1074" t="s">
        <v>2317</v>
      </c>
      <c r="J1074" t="s">
        <v>2325</v>
      </c>
      <c r="K1074" t="s">
        <v>2325</v>
      </c>
      <c r="L1074">
        <v>984426</v>
      </c>
      <c r="M1074" t="s">
        <v>2332</v>
      </c>
      <c r="N1074" t="s">
        <v>2665</v>
      </c>
      <c r="O1074" t="s">
        <v>3054</v>
      </c>
      <c r="P1074" t="s">
        <v>3058</v>
      </c>
      <c r="Q1074" t="s">
        <v>3698</v>
      </c>
      <c r="R1074">
        <v>266.95</v>
      </c>
      <c r="S1074">
        <v>2</v>
      </c>
      <c r="T1074">
        <v>0.1</v>
      </c>
      <c r="U1074">
        <v>73.42</v>
      </c>
    </row>
    <row r="1075" spans="1:21" x14ac:dyDescent="0.3">
      <c r="A1075">
        <v>1074</v>
      </c>
      <c r="B1075" t="s">
        <v>1094</v>
      </c>
      <c r="C1075" s="2">
        <v>45487</v>
      </c>
      <c r="D1075" s="2">
        <v>45489</v>
      </c>
      <c r="E1075" t="s">
        <v>1521</v>
      </c>
      <c r="F1075" t="s">
        <v>1618</v>
      </c>
      <c r="G1075" t="s">
        <v>1975</v>
      </c>
      <c r="H1075" t="s">
        <v>2316</v>
      </c>
      <c r="I1075" t="s">
        <v>2317</v>
      </c>
      <c r="J1075" t="s">
        <v>2322</v>
      </c>
      <c r="K1075" t="s">
        <v>2322</v>
      </c>
      <c r="L1075">
        <v>154895</v>
      </c>
      <c r="M1075" t="s">
        <v>2331</v>
      </c>
      <c r="N1075" t="s">
        <v>2367</v>
      </c>
      <c r="O1075" t="s">
        <v>3053</v>
      </c>
      <c r="P1075" t="s">
        <v>3062</v>
      </c>
      <c r="Q1075" t="s">
        <v>3081</v>
      </c>
      <c r="R1075">
        <v>149.9</v>
      </c>
      <c r="S1075">
        <v>6</v>
      </c>
      <c r="T1075">
        <v>0.15</v>
      </c>
      <c r="U1075">
        <v>1.1100000000000001</v>
      </c>
    </row>
    <row r="1076" spans="1:21" x14ac:dyDescent="0.3">
      <c r="A1076">
        <v>1075</v>
      </c>
      <c r="B1076" t="s">
        <v>1095</v>
      </c>
      <c r="C1076" s="2">
        <v>45889</v>
      </c>
      <c r="D1076" s="2">
        <v>45892</v>
      </c>
      <c r="E1076" t="s">
        <v>1521</v>
      </c>
      <c r="F1076" t="s">
        <v>1904</v>
      </c>
      <c r="G1076" t="s">
        <v>2275</v>
      </c>
      <c r="H1076" t="s">
        <v>2316</v>
      </c>
      <c r="I1076" t="s">
        <v>2317</v>
      </c>
      <c r="J1076" t="s">
        <v>2327</v>
      </c>
      <c r="K1076" t="s">
        <v>2327</v>
      </c>
      <c r="L1076">
        <v>862183</v>
      </c>
      <c r="M1076" t="s">
        <v>2330</v>
      </c>
      <c r="N1076" t="s">
        <v>2896</v>
      </c>
      <c r="O1076" t="s">
        <v>3054</v>
      </c>
      <c r="P1076" t="s">
        <v>3058</v>
      </c>
      <c r="Q1076" t="s">
        <v>3399</v>
      </c>
      <c r="R1076">
        <v>59.6</v>
      </c>
      <c r="S1076">
        <v>2</v>
      </c>
      <c r="T1076">
        <v>0.4</v>
      </c>
      <c r="U1076">
        <v>30.25</v>
      </c>
    </row>
    <row r="1077" spans="1:21" x14ac:dyDescent="0.3">
      <c r="A1077">
        <v>1076</v>
      </c>
      <c r="B1077" t="s">
        <v>1096</v>
      </c>
      <c r="C1077" s="2">
        <v>45813</v>
      </c>
      <c r="D1077" s="2">
        <v>45819</v>
      </c>
      <c r="E1077" t="s">
        <v>1523</v>
      </c>
      <c r="F1077" t="s">
        <v>1652</v>
      </c>
      <c r="G1077" t="s">
        <v>1994</v>
      </c>
      <c r="H1077" t="s">
        <v>2316</v>
      </c>
      <c r="I1077" t="s">
        <v>2317</v>
      </c>
      <c r="J1077" t="s">
        <v>2321</v>
      </c>
      <c r="K1077" t="s">
        <v>2321</v>
      </c>
      <c r="L1077">
        <v>770392</v>
      </c>
      <c r="M1077" t="s">
        <v>2329</v>
      </c>
      <c r="N1077" t="s">
        <v>2734</v>
      </c>
      <c r="O1077" t="s">
        <v>3054</v>
      </c>
      <c r="P1077" t="s">
        <v>3064</v>
      </c>
      <c r="Q1077" t="s">
        <v>3582</v>
      </c>
      <c r="R1077">
        <v>131.84</v>
      </c>
      <c r="S1077">
        <v>9</v>
      </c>
      <c r="T1077">
        <v>0.3</v>
      </c>
      <c r="U1077">
        <v>2.89</v>
      </c>
    </row>
    <row r="1078" spans="1:21" x14ac:dyDescent="0.3">
      <c r="A1078">
        <v>1077</v>
      </c>
      <c r="B1078" t="s">
        <v>1097</v>
      </c>
      <c r="C1078" s="2">
        <v>45808</v>
      </c>
      <c r="D1078" s="2">
        <v>45811</v>
      </c>
      <c r="E1078" t="s">
        <v>1522</v>
      </c>
      <c r="F1078" t="s">
        <v>1552</v>
      </c>
      <c r="G1078" t="s">
        <v>2255</v>
      </c>
      <c r="H1078" t="s">
        <v>2314</v>
      </c>
      <c r="I1078" t="s">
        <v>2317</v>
      </c>
      <c r="J1078" t="s">
        <v>2320</v>
      </c>
      <c r="K1078" t="s">
        <v>2320</v>
      </c>
      <c r="L1078">
        <v>672551</v>
      </c>
      <c r="M1078" t="s">
        <v>2330</v>
      </c>
      <c r="N1078" t="s">
        <v>2788</v>
      </c>
      <c r="O1078" t="s">
        <v>3053</v>
      </c>
      <c r="P1078" t="s">
        <v>3056</v>
      </c>
      <c r="Q1078" t="s">
        <v>3555</v>
      </c>
      <c r="R1078">
        <v>175.3</v>
      </c>
      <c r="S1078">
        <v>5</v>
      </c>
      <c r="T1078">
        <v>0.3</v>
      </c>
      <c r="U1078">
        <v>12.93</v>
      </c>
    </row>
    <row r="1079" spans="1:21" x14ac:dyDescent="0.3">
      <c r="A1079">
        <v>1078</v>
      </c>
      <c r="B1079" t="s">
        <v>1098</v>
      </c>
      <c r="C1079" s="2">
        <v>45926</v>
      </c>
      <c r="D1079" s="2">
        <v>45931</v>
      </c>
      <c r="E1079" t="s">
        <v>1524</v>
      </c>
      <c r="F1079" t="s">
        <v>1794</v>
      </c>
      <c r="G1079" t="s">
        <v>2246</v>
      </c>
      <c r="H1079" t="s">
        <v>2315</v>
      </c>
      <c r="I1079" t="s">
        <v>2317</v>
      </c>
      <c r="J1079" t="s">
        <v>2323</v>
      </c>
      <c r="K1079" t="s">
        <v>2323</v>
      </c>
      <c r="L1079">
        <v>487900</v>
      </c>
      <c r="M1079" t="s">
        <v>2328</v>
      </c>
      <c r="N1079" t="s">
        <v>2467</v>
      </c>
      <c r="O1079" t="s">
        <v>3054</v>
      </c>
      <c r="P1079" t="s">
        <v>3058</v>
      </c>
      <c r="Q1079" t="s">
        <v>3379</v>
      </c>
      <c r="R1079">
        <v>28.06</v>
      </c>
      <c r="S1079">
        <v>8</v>
      </c>
      <c r="T1079">
        <v>0.15</v>
      </c>
      <c r="U1079">
        <v>44.52</v>
      </c>
    </row>
    <row r="1080" spans="1:21" x14ac:dyDescent="0.3">
      <c r="A1080">
        <v>1079</v>
      </c>
      <c r="B1080" t="s">
        <v>1099</v>
      </c>
      <c r="C1080" s="2">
        <v>45409</v>
      </c>
      <c r="D1080" s="2">
        <v>45410</v>
      </c>
      <c r="E1080" t="s">
        <v>1523</v>
      </c>
      <c r="F1080" t="s">
        <v>1529</v>
      </c>
      <c r="G1080" t="s">
        <v>2111</v>
      </c>
      <c r="H1080" t="s">
        <v>2314</v>
      </c>
      <c r="I1080" t="s">
        <v>2317</v>
      </c>
      <c r="J1080" t="s">
        <v>2325</v>
      </c>
      <c r="K1080" t="s">
        <v>2325</v>
      </c>
      <c r="L1080">
        <v>193005</v>
      </c>
      <c r="M1080" t="s">
        <v>2332</v>
      </c>
      <c r="N1080" t="s">
        <v>2360</v>
      </c>
      <c r="O1080" t="s">
        <v>3053</v>
      </c>
      <c r="P1080" t="s">
        <v>3065</v>
      </c>
      <c r="Q1080" t="s">
        <v>3763</v>
      </c>
      <c r="R1080">
        <v>228.62</v>
      </c>
      <c r="S1080">
        <v>5</v>
      </c>
      <c r="T1080">
        <v>0.3</v>
      </c>
      <c r="U1080">
        <v>-22.52</v>
      </c>
    </row>
    <row r="1081" spans="1:21" x14ac:dyDescent="0.3">
      <c r="A1081">
        <v>1080</v>
      </c>
      <c r="B1081" t="s">
        <v>1100</v>
      </c>
      <c r="C1081" s="2">
        <v>45450</v>
      </c>
      <c r="D1081" s="2">
        <v>45454</v>
      </c>
      <c r="E1081" t="s">
        <v>1523</v>
      </c>
      <c r="F1081" t="s">
        <v>1622</v>
      </c>
      <c r="G1081" t="s">
        <v>2081</v>
      </c>
      <c r="H1081" t="s">
        <v>2316</v>
      </c>
      <c r="I1081" t="s">
        <v>2317</v>
      </c>
      <c r="J1081" t="s">
        <v>2322</v>
      </c>
      <c r="K1081" t="s">
        <v>2322</v>
      </c>
      <c r="L1081">
        <v>993242</v>
      </c>
      <c r="M1081" t="s">
        <v>2331</v>
      </c>
      <c r="N1081" t="s">
        <v>2650</v>
      </c>
      <c r="O1081" t="s">
        <v>3053</v>
      </c>
      <c r="P1081" t="s">
        <v>3056</v>
      </c>
      <c r="Q1081" t="s">
        <v>3182</v>
      </c>
      <c r="R1081">
        <v>586.88</v>
      </c>
      <c r="S1081">
        <v>4</v>
      </c>
      <c r="T1081">
        <v>0.2</v>
      </c>
      <c r="U1081">
        <v>-74.17</v>
      </c>
    </row>
    <row r="1082" spans="1:21" x14ac:dyDescent="0.3">
      <c r="A1082">
        <v>1081</v>
      </c>
      <c r="B1082" t="s">
        <v>1101</v>
      </c>
      <c r="C1082" s="2">
        <v>45519</v>
      </c>
      <c r="D1082" s="2">
        <v>45521</v>
      </c>
      <c r="E1082" t="s">
        <v>1521</v>
      </c>
      <c r="F1082" t="s">
        <v>1717</v>
      </c>
      <c r="G1082" t="s">
        <v>2096</v>
      </c>
      <c r="H1082" t="s">
        <v>2315</v>
      </c>
      <c r="I1082" t="s">
        <v>2317</v>
      </c>
      <c r="J1082" t="s">
        <v>2322</v>
      </c>
      <c r="K1082" t="s">
        <v>2322</v>
      </c>
      <c r="L1082">
        <v>738412</v>
      </c>
      <c r="M1082" t="s">
        <v>2331</v>
      </c>
      <c r="N1082" t="s">
        <v>2945</v>
      </c>
      <c r="O1082" t="s">
        <v>3054</v>
      </c>
      <c r="P1082" t="s">
        <v>3057</v>
      </c>
      <c r="Q1082" t="s">
        <v>3764</v>
      </c>
      <c r="R1082">
        <v>84.75</v>
      </c>
      <c r="S1082">
        <v>2</v>
      </c>
      <c r="T1082">
        <v>0.1</v>
      </c>
      <c r="U1082">
        <v>18.88</v>
      </c>
    </row>
    <row r="1083" spans="1:21" x14ac:dyDescent="0.3">
      <c r="A1083">
        <v>1082</v>
      </c>
      <c r="B1083" t="s">
        <v>1102</v>
      </c>
      <c r="C1083" s="2">
        <v>45507</v>
      </c>
      <c r="D1083" s="2">
        <v>45510</v>
      </c>
      <c r="E1083" t="s">
        <v>1521</v>
      </c>
      <c r="F1083" t="s">
        <v>1607</v>
      </c>
      <c r="G1083" t="s">
        <v>2229</v>
      </c>
      <c r="H1083" t="s">
        <v>2314</v>
      </c>
      <c r="I1083" t="s">
        <v>2317</v>
      </c>
      <c r="J1083" t="s">
        <v>2321</v>
      </c>
      <c r="K1083" t="s">
        <v>2321</v>
      </c>
      <c r="L1083">
        <v>814952</v>
      </c>
      <c r="M1083" t="s">
        <v>2329</v>
      </c>
      <c r="N1083" t="s">
        <v>2401</v>
      </c>
      <c r="O1083" t="s">
        <v>3053</v>
      </c>
      <c r="P1083" t="s">
        <v>3056</v>
      </c>
      <c r="Q1083" t="s">
        <v>3765</v>
      </c>
      <c r="R1083">
        <v>164.45</v>
      </c>
      <c r="S1083">
        <v>5</v>
      </c>
      <c r="T1083">
        <v>0.2</v>
      </c>
      <c r="U1083">
        <v>-47.02</v>
      </c>
    </row>
    <row r="1084" spans="1:21" x14ac:dyDescent="0.3">
      <c r="A1084">
        <v>1083</v>
      </c>
      <c r="B1084" t="s">
        <v>1103</v>
      </c>
      <c r="C1084" s="2">
        <v>45987</v>
      </c>
      <c r="D1084" s="2">
        <v>45991</v>
      </c>
      <c r="E1084" t="s">
        <v>1523</v>
      </c>
      <c r="F1084" t="s">
        <v>1856</v>
      </c>
      <c r="G1084" t="s">
        <v>2173</v>
      </c>
      <c r="H1084" t="s">
        <v>2316</v>
      </c>
      <c r="I1084" t="s">
        <v>2317</v>
      </c>
      <c r="J1084" t="s">
        <v>2321</v>
      </c>
      <c r="K1084" t="s">
        <v>2321</v>
      </c>
      <c r="L1084">
        <v>161321</v>
      </c>
      <c r="M1084" t="s">
        <v>2329</v>
      </c>
      <c r="N1084" t="s">
        <v>2716</v>
      </c>
      <c r="O1084" t="s">
        <v>3053</v>
      </c>
      <c r="P1084" t="s">
        <v>3062</v>
      </c>
      <c r="Q1084" t="s">
        <v>3766</v>
      </c>
      <c r="R1084">
        <v>144.31</v>
      </c>
      <c r="S1084">
        <v>7</v>
      </c>
      <c r="T1084">
        <v>0.15</v>
      </c>
      <c r="U1084">
        <v>-10.35</v>
      </c>
    </row>
    <row r="1085" spans="1:21" x14ac:dyDescent="0.3">
      <c r="A1085">
        <v>1084</v>
      </c>
      <c r="B1085" t="s">
        <v>1104</v>
      </c>
      <c r="C1085" s="2">
        <v>45306</v>
      </c>
      <c r="D1085" s="2">
        <v>45309</v>
      </c>
      <c r="E1085" t="s">
        <v>1524</v>
      </c>
      <c r="F1085" t="s">
        <v>1682</v>
      </c>
      <c r="G1085" t="s">
        <v>2252</v>
      </c>
      <c r="H1085" t="s">
        <v>2315</v>
      </c>
      <c r="I1085" t="s">
        <v>2317</v>
      </c>
      <c r="J1085" t="s">
        <v>2326</v>
      </c>
      <c r="K1085" t="s">
        <v>2326</v>
      </c>
      <c r="L1085">
        <v>459282</v>
      </c>
      <c r="M1085" t="s">
        <v>2331</v>
      </c>
      <c r="N1085" t="s">
        <v>2722</v>
      </c>
      <c r="O1085" t="s">
        <v>3055</v>
      </c>
      <c r="P1085" t="s">
        <v>3067</v>
      </c>
      <c r="Q1085" t="s">
        <v>3221</v>
      </c>
      <c r="R1085">
        <v>433.14</v>
      </c>
      <c r="S1085">
        <v>6</v>
      </c>
      <c r="T1085">
        <v>0.1</v>
      </c>
      <c r="U1085">
        <v>-48.46</v>
      </c>
    </row>
    <row r="1086" spans="1:21" x14ac:dyDescent="0.3">
      <c r="A1086">
        <v>1085</v>
      </c>
      <c r="B1086" t="s">
        <v>1105</v>
      </c>
      <c r="C1086" s="2">
        <v>45448</v>
      </c>
      <c r="D1086" s="2">
        <v>45451</v>
      </c>
      <c r="E1086" t="s">
        <v>1521</v>
      </c>
      <c r="F1086" t="s">
        <v>1578</v>
      </c>
      <c r="G1086" t="s">
        <v>1934</v>
      </c>
      <c r="H1086" t="s">
        <v>2316</v>
      </c>
      <c r="I1086" t="s">
        <v>2317</v>
      </c>
      <c r="J1086" t="s">
        <v>2326</v>
      </c>
      <c r="K1086" t="s">
        <v>2326</v>
      </c>
      <c r="L1086">
        <v>288996</v>
      </c>
      <c r="M1086" t="s">
        <v>2331</v>
      </c>
      <c r="N1086" t="s">
        <v>2402</v>
      </c>
      <c r="O1086" t="s">
        <v>3053</v>
      </c>
      <c r="P1086" t="s">
        <v>3066</v>
      </c>
      <c r="Q1086" t="s">
        <v>3767</v>
      </c>
      <c r="R1086">
        <v>136.78</v>
      </c>
      <c r="S1086">
        <v>9</v>
      </c>
      <c r="T1086">
        <v>0.05</v>
      </c>
      <c r="U1086">
        <v>-26.69</v>
      </c>
    </row>
    <row r="1087" spans="1:21" x14ac:dyDescent="0.3">
      <c r="A1087">
        <v>1086</v>
      </c>
      <c r="B1087" t="s">
        <v>1106</v>
      </c>
      <c r="C1087" s="2">
        <v>45939</v>
      </c>
      <c r="D1087" s="2">
        <v>45942</v>
      </c>
      <c r="E1087" t="s">
        <v>1524</v>
      </c>
      <c r="F1087" t="s">
        <v>1869</v>
      </c>
      <c r="G1087" t="s">
        <v>1942</v>
      </c>
      <c r="H1087" t="s">
        <v>2314</v>
      </c>
      <c r="I1087" t="s">
        <v>2317</v>
      </c>
      <c r="J1087" t="s">
        <v>2327</v>
      </c>
      <c r="K1087" t="s">
        <v>2327</v>
      </c>
      <c r="L1087">
        <v>932961</v>
      </c>
      <c r="M1087" t="s">
        <v>2330</v>
      </c>
      <c r="N1087" t="s">
        <v>2887</v>
      </c>
      <c r="O1087" t="s">
        <v>3054</v>
      </c>
      <c r="P1087" t="s">
        <v>3064</v>
      </c>
      <c r="Q1087" t="s">
        <v>3688</v>
      </c>
      <c r="R1087">
        <v>65.64</v>
      </c>
      <c r="S1087">
        <v>5</v>
      </c>
      <c r="T1087">
        <v>0.2</v>
      </c>
      <c r="U1087">
        <v>37.270000000000003</v>
      </c>
    </row>
    <row r="1088" spans="1:21" x14ac:dyDescent="0.3">
      <c r="A1088">
        <v>1087</v>
      </c>
      <c r="B1088" t="s">
        <v>1107</v>
      </c>
      <c r="C1088" s="2">
        <v>45552</v>
      </c>
      <c r="D1088" s="2">
        <v>45556</v>
      </c>
      <c r="E1088" t="s">
        <v>1522</v>
      </c>
      <c r="F1088" t="s">
        <v>1673</v>
      </c>
      <c r="G1088" t="s">
        <v>2009</v>
      </c>
      <c r="H1088" t="s">
        <v>2316</v>
      </c>
      <c r="I1088" t="s">
        <v>2317</v>
      </c>
      <c r="J1088" t="s">
        <v>2327</v>
      </c>
      <c r="K1088" t="s">
        <v>2327</v>
      </c>
      <c r="L1088">
        <v>759650</v>
      </c>
      <c r="M1088" t="s">
        <v>2330</v>
      </c>
      <c r="N1088" t="s">
        <v>2387</v>
      </c>
      <c r="O1088" t="s">
        <v>3054</v>
      </c>
      <c r="P1088" t="s">
        <v>3063</v>
      </c>
      <c r="Q1088" t="s">
        <v>3768</v>
      </c>
      <c r="R1088">
        <v>35.200000000000003</v>
      </c>
      <c r="S1088">
        <v>1</v>
      </c>
      <c r="T1088">
        <v>0.1</v>
      </c>
      <c r="U1088">
        <v>22.74</v>
      </c>
    </row>
    <row r="1089" spans="1:21" x14ac:dyDescent="0.3">
      <c r="A1089">
        <v>1088</v>
      </c>
      <c r="B1089" t="s">
        <v>1108</v>
      </c>
      <c r="C1089" s="2">
        <v>45448</v>
      </c>
      <c r="D1089" s="2">
        <v>45451</v>
      </c>
      <c r="E1089" t="s">
        <v>1521</v>
      </c>
      <c r="F1089" t="s">
        <v>1817</v>
      </c>
      <c r="G1089" t="s">
        <v>2264</v>
      </c>
      <c r="H1089" t="s">
        <v>2316</v>
      </c>
      <c r="I1089" t="s">
        <v>2317</v>
      </c>
      <c r="J1089" t="s">
        <v>2319</v>
      </c>
      <c r="K1089" t="s">
        <v>2319</v>
      </c>
      <c r="L1089">
        <v>542957</v>
      </c>
      <c r="M1089" t="s">
        <v>2329</v>
      </c>
      <c r="N1089" t="s">
        <v>2946</v>
      </c>
      <c r="O1089" t="s">
        <v>3054</v>
      </c>
      <c r="P1089" t="s">
        <v>3058</v>
      </c>
      <c r="Q1089" t="s">
        <v>3769</v>
      </c>
      <c r="R1089">
        <v>145.12</v>
      </c>
      <c r="S1089">
        <v>9</v>
      </c>
      <c r="T1089">
        <v>0.05</v>
      </c>
      <c r="U1089">
        <v>43.25</v>
      </c>
    </row>
    <row r="1090" spans="1:21" x14ac:dyDescent="0.3">
      <c r="A1090">
        <v>1089</v>
      </c>
      <c r="B1090" t="s">
        <v>1109</v>
      </c>
      <c r="C1090" s="2">
        <v>45338</v>
      </c>
      <c r="D1090" s="2">
        <v>45342</v>
      </c>
      <c r="E1090" t="s">
        <v>1521</v>
      </c>
      <c r="F1090" t="s">
        <v>1899</v>
      </c>
      <c r="G1090" t="s">
        <v>1991</v>
      </c>
      <c r="H1090" t="s">
        <v>2315</v>
      </c>
      <c r="I1090" t="s">
        <v>2317</v>
      </c>
      <c r="J1090" t="s">
        <v>2327</v>
      </c>
      <c r="K1090" t="s">
        <v>2327</v>
      </c>
      <c r="L1090">
        <v>581072</v>
      </c>
      <c r="M1090" t="s">
        <v>2330</v>
      </c>
      <c r="N1090" t="s">
        <v>2672</v>
      </c>
      <c r="O1090" t="s">
        <v>3054</v>
      </c>
      <c r="P1090" t="s">
        <v>3063</v>
      </c>
      <c r="Q1090" t="s">
        <v>3737</v>
      </c>
      <c r="R1090">
        <v>117.05</v>
      </c>
      <c r="S1090">
        <v>1</v>
      </c>
      <c r="T1090">
        <v>0.05</v>
      </c>
      <c r="U1090">
        <v>-23.93</v>
      </c>
    </row>
    <row r="1091" spans="1:21" x14ac:dyDescent="0.3">
      <c r="A1091">
        <v>1090</v>
      </c>
      <c r="B1091" t="s">
        <v>1110</v>
      </c>
      <c r="C1091" s="2">
        <v>45615</v>
      </c>
      <c r="D1091" s="2">
        <v>45618</v>
      </c>
      <c r="E1091" t="s">
        <v>1524</v>
      </c>
      <c r="F1091" t="s">
        <v>1725</v>
      </c>
      <c r="G1091" t="s">
        <v>2084</v>
      </c>
      <c r="H1091" t="s">
        <v>2316</v>
      </c>
      <c r="I1091" t="s">
        <v>2317</v>
      </c>
      <c r="J1091" t="s">
        <v>2324</v>
      </c>
      <c r="K1091" t="s">
        <v>2324</v>
      </c>
      <c r="L1091">
        <v>687283</v>
      </c>
      <c r="M1091" t="s">
        <v>2330</v>
      </c>
      <c r="N1091" t="s">
        <v>2765</v>
      </c>
      <c r="O1091" t="s">
        <v>3053</v>
      </c>
      <c r="P1091" t="s">
        <v>3062</v>
      </c>
      <c r="Q1091" t="s">
        <v>3361</v>
      </c>
      <c r="R1091">
        <v>93.88</v>
      </c>
      <c r="S1091">
        <v>7</v>
      </c>
      <c r="T1091">
        <v>0.1</v>
      </c>
      <c r="U1091">
        <v>-3.42</v>
      </c>
    </row>
    <row r="1092" spans="1:21" x14ac:dyDescent="0.3">
      <c r="A1092">
        <v>1091</v>
      </c>
      <c r="B1092" t="s">
        <v>1111</v>
      </c>
      <c r="C1092" s="2">
        <v>45976</v>
      </c>
      <c r="D1092" s="2">
        <v>45977</v>
      </c>
      <c r="E1092" t="s">
        <v>1524</v>
      </c>
      <c r="F1092" t="s">
        <v>1767</v>
      </c>
      <c r="G1092" t="s">
        <v>2012</v>
      </c>
      <c r="H1092" t="s">
        <v>2315</v>
      </c>
      <c r="I1092" t="s">
        <v>2317</v>
      </c>
      <c r="J1092" t="s">
        <v>2321</v>
      </c>
      <c r="K1092" t="s">
        <v>2321</v>
      </c>
      <c r="L1092">
        <v>552827</v>
      </c>
      <c r="M1092" t="s">
        <v>2329</v>
      </c>
      <c r="N1092" t="s">
        <v>2500</v>
      </c>
      <c r="O1092" t="s">
        <v>3053</v>
      </c>
      <c r="P1092" t="s">
        <v>3056</v>
      </c>
      <c r="Q1092" t="s">
        <v>3770</v>
      </c>
      <c r="R1092">
        <v>72.66</v>
      </c>
      <c r="S1092">
        <v>8</v>
      </c>
      <c r="T1092">
        <v>0.1</v>
      </c>
      <c r="U1092">
        <v>30.35</v>
      </c>
    </row>
    <row r="1093" spans="1:21" x14ac:dyDescent="0.3">
      <c r="A1093">
        <v>1092</v>
      </c>
      <c r="B1093" t="s">
        <v>1112</v>
      </c>
      <c r="C1093" s="2">
        <v>45421</v>
      </c>
      <c r="D1093" s="2">
        <v>45422</v>
      </c>
      <c r="E1093" t="s">
        <v>1523</v>
      </c>
      <c r="F1093" t="s">
        <v>1883</v>
      </c>
      <c r="G1093" t="s">
        <v>2286</v>
      </c>
      <c r="H1093" t="s">
        <v>2315</v>
      </c>
      <c r="I1093" t="s">
        <v>2317</v>
      </c>
      <c r="J1093" t="s">
        <v>2323</v>
      </c>
      <c r="K1093" t="s">
        <v>2323</v>
      </c>
      <c r="L1093">
        <v>675883</v>
      </c>
      <c r="M1093" t="s">
        <v>2328</v>
      </c>
      <c r="N1093" t="s">
        <v>2947</v>
      </c>
      <c r="O1093" t="s">
        <v>3055</v>
      </c>
      <c r="P1093" t="s">
        <v>3067</v>
      </c>
      <c r="Q1093" t="s">
        <v>3713</v>
      </c>
      <c r="R1093">
        <v>228.43</v>
      </c>
      <c r="S1093">
        <v>3</v>
      </c>
      <c r="T1093">
        <v>0.15</v>
      </c>
      <c r="U1093">
        <v>-4.5</v>
      </c>
    </row>
    <row r="1094" spans="1:21" x14ac:dyDescent="0.3">
      <c r="A1094">
        <v>1093</v>
      </c>
      <c r="B1094" t="s">
        <v>1113</v>
      </c>
      <c r="C1094" s="2">
        <v>45702</v>
      </c>
      <c r="D1094" s="2">
        <v>45703</v>
      </c>
      <c r="E1094" t="s">
        <v>1524</v>
      </c>
      <c r="F1094" t="s">
        <v>1854</v>
      </c>
      <c r="G1094" t="s">
        <v>2161</v>
      </c>
      <c r="H1094" t="s">
        <v>2315</v>
      </c>
      <c r="I1094" t="s">
        <v>2317</v>
      </c>
      <c r="J1094" t="s">
        <v>2324</v>
      </c>
      <c r="K1094" t="s">
        <v>2324</v>
      </c>
      <c r="L1094">
        <v>881345</v>
      </c>
      <c r="M1094" t="s">
        <v>2330</v>
      </c>
      <c r="N1094" t="s">
        <v>2741</v>
      </c>
      <c r="O1094" t="s">
        <v>3053</v>
      </c>
      <c r="P1094" t="s">
        <v>3056</v>
      </c>
      <c r="Q1094" t="s">
        <v>3187</v>
      </c>
      <c r="R1094">
        <v>109.77</v>
      </c>
      <c r="S1094">
        <v>8</v>
      </c>
      <c r="T1094">
        <v>0.05</v>
      </c>
      <c r="U1094">
        <v>3.39</v>
      </c>
    </row>
    <row r="1095" spans="1:21" x14ac:dyDescent="0.3">
      <c r="A1095">
        <v>1094</v>
      </c>
      <c r="B1095" t="s">
        <v>1114</v>
      </c>
      <c r="C1095" s="2">
        <v>45386</v>
      </c>
      <c r="D1095" s="2">
        <v>45389</v>
      </c>
      <c r="E1095" t="s">
        <v>1521</v>
      </c>
      <c r="F1095" t="s">
        <v>1802</v>
      </c>
      <c r="G1095" t="s">
        <v>2003</v>
      </c>
      <c r="H1095" t="s">
        <v>2316</v>
      </c>
      <c r="I1095" t="s">
        <v>2317</v>
      </c>
      <c r="J1095" t="s">
        <v>2320</v>
      </c>
      <c r="K1095" t="s">
        <v>2320</v>
      </c>
      <c r="L1095">
        <v>491568</v>
      </c>
      <c r="M1095" t="s">
        <v>2330</v>
      </c>
      <c r="N1095" t="s">
        <v>2512</v>
      </c>
      <c r="O1095" t="s">
        <v>3053</v>
      </c>
      <c r="P1095" t="s">
        <v>3066</v>
      </c>
      <c r="Q1095" t="s">
        <v>3498</v>
      </c>
      <c r="R1095">
        <v>267.33</v>
      </c>
      <c r="S1095">
        <v>6</v>
      </c>
      <c r="T1095">
        <v>0.2</v>
      </c>
      <c r="U1095">
        <v>-41.39</v>
      </c>
    </row>
    <row r="1096" spans="1:21" x14ac:dyDescent="0.3">
      <c r="A1096">
        <v>1095</v>
      </c>
      <c r="B1096" t="s">
        <v>1115</v>
      </c>
      <c r="C1096" s="2">
        <v>45918</v>
      </c>
      <c r="D1096" s="2">
        <v>45923</v>
      </c>
      <c r="E1096" t="s">
        <v>1523</v>
      </c>
      <c r="F1096" t="s">
        <v>1814</v>
      </c>
      <c r="G1096" t="s">
        <v>2183</v>
      </c>
      <c r="H1096" t="s">
        <v>2316</v>
      </c>
      <c r="I1096" t="s">
        <v>2317</v>
      </c>
      <c r="J1096" t="s">
        <v>2322</v>
      </c>
      <c r="K1096" t="s">
        <v>2322</v>
      </c>
      <c r="L1096">
        <v>128604</v>
      </c>
      <c r="M1096" t="s">
        <v>2331</v>
      </c>
      <c r="N1096" t="s">
        <v>2947</v>
      </c>
      <c r="O1096" t="s">
        <v>3054</v>
      </c>
      <c r="P1096" t="s">
        <v>3057</v>
      </c>
      <c r="Q1096" t="s">
        <v>3771</v>
      </c>
      <c r="R1096">
        <v>244.02</v>
      </c>
      <c r="S1096">
        <v>9</v>
      </c>
      <c r="T1096">
        <v>0.3</v>
      </c>
      <c r="U1096">
        <v>5.99</v>
      </c>
    </row>
    <row r="1097" spans="1:21" x14ac:dyDescent="0.3">
      <c r="A1097">
        <v>1096</v>
      </c>
      <c r="B1097" t="s">
        <v>1116</v>
      </c>
      <c r="C1097" s="2">
        <v>45583</v>
      </c>
      <c r="D1097" s="2">
        <v>45588</v>
      </c>
      <c r="E1097" t="s">
        <v>1524</v>
      </c>
      <c r="F1097" t="s">
        <v>1696</v>
      </c>
      <c r="G1097" t="s">
        <v>1932</v>
      </c>
      <c r="H1097" t="s">
        <v>2315</v>
      </c>
      <c r="I1097" t="s">
        <v>2317</v>
      </c>
      <c r="J1097" t="s">
        <v>2327</v>
      </c>
      <c r="K1097" t="s">
        <v>2327</v>
      </c>
      <c r="L1097">
        <v>159668</v>
      </c>
      <c r="M1097" t="s">
        <v>2330</v>
      </c>
      <c r="N1097" t="s">
        <v>2376</v>
      </c>
      <c r="O1097" t="s">
        <v>3053</v>
      </c>
      <c r="P1097" t="s">
        <v>3056</v>
      </c>
      <c r="Q1097" t="s">
        <v>3435</v>
      </c>
      <c r="R1097">
        <v>378.51</v>
      </c>
      <c r="S1097">
        <v>6</v>
      </c>
      <c r="T1097">
        <v>0.1</v>
      </c>
      <c r="U1097">
        <v>25</v>
      </c>
    </row>
    <row r="1098" spans="1:21" x14ac:dyDescent="0.3">
      <c r="A1098">
        <v>1097</v>
      </c>
      <c r="B1098" t="s">
        <v>1117</v>
      </c>
      <c r="C1098" s="2">
        <v>45574</v>
      </c>
      <c r="D1098" s="2">
        <v>45577</v>
      </c>
      <c r="E1098" t="s">
        <v>1521</v>
      </c>
      <c r="F1098" t="s">
        <v>1697</v>
      </c>
      <c r="G1098" t="s">
        <v>2155</v>
      </c>
      <c r="H1098" t="s">
        <v>2316</v>
      </c>
      <c r="I1098" t="s">
        <v>2317</v>
      </c>
      <c r="J1098" t="s">
        <v>2322</v>
      </c>
      <c r="K1098" t="s">
        <v>2322</v>
      </c>
      <c r="L1098">
        <v>601328</v>
      </c>
      <c r="M1098" t="s">
        <v>2331</v>
      </c>
      <c r="N1098" t="s">
        <v>2948</v>
      </c>
      <c r="O1098" t="s">
        <v>3053</v>
      </c>
      <c r="P1098" t="s">
        <v>3066</v>
      </c>
      <c r="Q1098" t="s">
        <v>3244</v>
      </c>
      <c r="R1098">
        <v>86.78</v>
      </c>
      <c r="S1098">
        <v>4</v>
      </c>
      <c r="T1098">
        <v>0.05</v>
      </c>
      <c r="U1098">
        <v>5.41</v>
      </c>
    </row>
    <row r="1099" spans="1:21" x14ac:dyDescent="0.3">
      <c r="A1099">
        <v>1098</v>
      </c>
      <c r="B1099" t="s">
        <v>1118</v>
      </c>
      <c r="C1099" s="2">
        <v>45360</v>
      </c>
      <c r="D1099" s="2">
        <v>45364</v>
      </c>
      <c r="E1099" t="s">
        <v>1524</v>
      </c>
      <c r="F1099" t="s">
        <v>1768</v>
      </c>
      <c r="G1099" t="s">
        <v>2156</v>
      </c>
      <c r="H1099" t="s">
        <v>2314</v>
      </c>
      <c r="I1099" t="s">
        <v>2317</v>
      </c>
      <c r="J1099" t="s">
        <v>2325</v>
      </c>
      <c r="K1099" t="s">
        <v>2325</v>
      </c>
      <c r="L1099">
        <v>641620</v>
      </c>
      <c r="M1099" t="s">
        <v>2332</v>
      </c>
      <c r="N1099" t="s">
        <v>2766</v>
      </c>
      <c r="O1099" t="s">
        <v>3053</v>
      </c>
      <c r="P1099" t="s">
        <v>3056</v>
      </c>
      <c r="Q1099" t="s">
        <v>3435</v>
      </c>
      <c r="R1099">
        <v>330.19</v>
      </c>
      <c r="S1099">
        <v>7</v>
      </c>
      <c r="T1099">
        <v>0.05</v>
      </c>
      <c r="U1099">
        <v>-16.399999999999999</v>
      </c>
    </row>
    <row r="1100" spans="1:21" x14ac:dyDescent="0.3">
      <c r="A1100">
        <v>1099</v>
      </c>
      <c r="B1100" t="s">
        <v>1119</v>
      </c>
      <c r="C1100" s="2">
        <v>45951</v>
      </c>
      <c r="D1100" s="2">
        <v>45953</v>
      </c>
      <c r="E1100" t="s">
        <v>1522</v>
      </c>
      <c r="F1100" t="s">
        <v>1639</v>
      </c>
      <c r="G1100" t="s">
        <v>2226</v>
      </c>
      <c r="H1100" t="s">
        <v>2314</v>
      </c>
      <c r="I1100" t="s">
        <v>2317</v>
      </c>
      <c r="J1100" t="s">
        <v>2319</v>
      </c>
      <c r="K1100" t="s">
        <v>2319</v>
      </c>
      <c r="L1100">
        <v>134370</v>
      </c>
      <c r="M1100" t="s">
        <v>2329</v>
      </c>
      <c r="N1100" t="s">
        <v>2949</v>
      </c>
      <c r="O1100" t="s">
        <v>3054</v>
      </c>
      <c r="P1100" t="s">
        <v>3064</v>
      </c>
      <c r="Q1100" t="s">
        <v>3772</v>
      </c>
      <c r="R1100">
        <v>222.79</v>
      </c>
      <c r="S1100">
        <v>2</v>
      </c>
      <c r="T1100">
        <v>0.3</v>
      </c>
      <c r="U1100">
        <v>3.81</v>
      </c>
    </row>
    <row r="1101" spans="1:21" x14ac:dyDescent="0.3">
      <c r="A1101">
        <v>1100</v>
      </c>
      <c r="B1101" t="s">
        <v>1120</v>
      </c>
      <c r="C1101" s="2">
        <v>45302</v>
      </c>
      <c r="D1101" s="2">
        <v>45306</v>
      </c>
      <c r="E1101" t="s">
        <v>1521</v>
      </c>
      <c r="F1101" t="s">
        <v>1858</v>
      </c>
      <c r="G1101" t="s">
        <v>2237</v>
      </c>
      <c r="H1101" t="s">
        <v>2315</v>
      </c>
      <c r="I1101" t="s">
        <v>2317</v>
      </c>
      <c r="J1101" t="s">
        <v>2325</v>
      </c>
      <c r="K1101" t="s">
        <v>2325</v>
      </c>
      <c r="L1101">
        <v>271481</v>
      </c>
      <c r="M1101" t="s">
        <v>2332</v>
      </c>
      <c r="N1101" t="s">
        <v>2736</v>
      </c>
      <c r="O1101" t="s">
        <v>3054</v>
      </c>
      <c r="P1101" t="s">
        <v>3058</v>
      </c>
      <c r="Q1101" t="s">
        <v>3773</v>
      </c>
      <c r="R1101">
        <v>108.96</v>
      </c>
      <c r="S1101">
        <v>5</v>
      </c>
      <c r="T1101">
        <v>0.2</v>
      </c>
      <c r="U1101">
        <v>-0.01</v>
      </c>
    </row>
    <row r="1102" spans="1:21" x14ac:dyDescent="0.3">
      <c r="A1102">
        <v>1101</v>
      </c>
      <c r="B1102" t="s">
        <v>1121</v>
      </c>
      <c r="C1102" s="2">
        <v>45545</v>
      </c>
      <c r="D1102" s="2">
        <v>45551</v>
      </c>
      <c r="E1102" t="s">
        <v>1524</v>
      </c>
      <c r="F1102" t="s">
        <v>1825</v>
      </c>
      <c r="G1102" t="s">
        <v>2193</v>
      </c>
      <c r="H1102" t="s">
        <v>2316</v>
      </c>
      <c r="I1102" t="s">
        <v>2317</v>
      </c>
      <c r="J1102" t="s">
        <v>2319</v>
      </c>
      <c r="K1102" t="s">
        <v>2319</v>
      </c>
      <c r="L1102">
        <v>666687</v>
      </c>
      <c r="M1102" t="s">
        <v>2329</v>
      </c>
      <c r="N1102" t="s">
        <v>2706</v>
      </c>
      <c r="O1102" t="s">
        <v>3055</v>
      </c>
      <c r="P1102" t="s">
        <v>3059</v>
      </c>
      <c r="Q1102" t="s">
        <v>3774</v>
      </c>
      <c r="R1102">
        <v>198.17</v>
      </c>
      <c r="S1102">
        <v>9</v>
      </c>
      <c r="T1102">
        <v>0.1</v>
      </c>
      <c r="U1102">
        <v>42.7</v>
      </c>
    </row>
    <row r="1103" spans="1:21" x14ac:dyDescent="0.3">
      <c r="A1103">
        <v>1102</v>
      </c>
      <c r="B1103" t="s">
        <v>1122</v>
      </c>
      <c r="C1103" s="2">
        <v>45841</v>
      </c>
      <c r="D1103" s="2">
        <v>45845</v>
      </c>
      <c r="E1103" t="s">
        <v>1524</v>
      </c>
      <c r="F1103" t="s">
        <v>1805</v>
      </c>
      <c r="G1103" t="s">
        <v>1935</v>
      </c>
      <c r="H1103" t="s">
        <v>2315</v>
      </c>
      <c r="I1103" t="s">
        <v>2317</v>
      </c>
      <c r="J1103" t="s">
        <v>2326</v>
      </c>
      <c r="K1103" t="s">
        <v>2326</v>
      </c>
      <c r="L1103">
        <v>310121</v>
      </c>
      <c r="M1103" t="s">
        <v>2331</v>
      </c>
      <c r="N1103" t="s">
        <v>2370</v>
      </c>
      <c r="O1103" t="s">
        <v>3053</v>
      </c>
      <c r="P1103" t="s">
        <v>3062</v>
      </c>
      <c r="Q1103" t="s">
        <v>3755</v>
      </c>
      <c r="R1103">
        <v>83.97</v>
      </c>
      <c r="S1103">
        <v>8</v>
      </c>
      <c r="T1103">
        <v>0.1</v>
      </c>
      <c r="U1103">
        <v>15.9</v>
      </c>
    </row>
    <row r="1104" spans="1:21" x14ac:dyDescent="0.3">
      <c r="A1104">
        <v>1103</v>
      </c>
      <c r="B1104" t="s">
        <v>1123</v>
      </c>
      <c r="C1104" s="2">
        <v>45425</v>
      </c>
      <c r="D1104" s="2">
        <v>45427</v>
      </c>
      <c r="E1104" t="s">
        <v>1521</v>
      </c>
      <c r="F1104" t="s">
        <v>1748</v>
      </c>
      <c r="G1104" t="s">
        <v>2139</v>
      </c>
      <c r="H1104" t="s">
        <v>2314</v>
      </c>
      <c r="I1104" t="s">
        <v>2317</v>
      </c>
      <c r="J1104" t="s">
        <v>2322</v>
      </c>
      <c r="K1104" t="s">
        <v>2322</v>
      </c>
      <c r="L1104">
        <v>923509</v>
      </c>
      <c r="M1104" t="s">
        <v>2331</v>
      </c>
      <c r="N1104" t="s">
        <v>2782</v>
      </c>
      <c r="O1104" t="s">
        <v>3054</v>
      </c>
      <c r="P1104" t="s">
        <v>3063</v>
      </c>
      <c r="Q1104" t="s">
        <v>3775</v>
      </c>
      <c r="R1104">
        <v>104.06</v>
      </c>
      <c r="S1104">
        <v>6</v>
      </c>
      <c r="T1104">
        <v>0</v>
      </c>
      <c r="U1104">
        <v>58.55</v>
      </c>
    </row>
    <row r="1105" spans="1:21" x14ac:dyDescent="0.3">
      <c r="A1105">
        <v>1104</v>
      </c>
      <c r="B1105" t="s">
        <v>1124</v>
      </c>
      <c r="C1105" s="2">
        <v>46003</v>
      </c>
      <c r="D1105" s="2">
        <v>46007</v>
      </c>
      <c r="E1105" t="s">
        <v>1524</v>
      </c>
      <c r="F1105" t="s">
        <v>1663</v>
      </c>
      <c r="G1105" t="s">
        <v>2101</v>
      </c>
      <c r="H1105" t="s">
        <v>2314</v>
      </c>
      <c r="I1105" t="s">
        <v>2317</v>
      </c>
      <c r="J1105" t="s">
        <v>2319</v>
      </c>
      <c r="K1105" t="s">
        <v>2319</v>
      </c>
      <c r="L1105">
        <v>805576</v>
      </c>
      <c r="M1105" t="s">
        <v>2329</v>
      </c>
      <c r="N1105" t="s">
        <v>2378</v>
      </c>
      <c r="O1105" t="s">
        <v>3053</v>
      </c>
      <c r="P1105" t="s">
        <v>3065</v>
      </c>
      <c r="Q1105" t="s">
        <v>3776</v>
      </c>
      <c r="R1105">
        <v>216.83</v>
      </c>
      <c r="S1105">
        <v>1</v>
      </c>
      <c r="T1105">
        <v>0.3</v>
      </c>
      <c r="U1105">
        <v>-3.34</v>
      </c>
    </row>
    <row r="1106" spans="1:21" x14ac:dyDescent="0.3">
      <c r="A1106">
        <v>1105</v>
      </c>
      <c r="B1106" t="s">
        <v>1125</v>
      </c>
      <c r="C1106" s="2">
        <v>45314</v>
      </c>
      <c r="D1106" s="2">
        <v>45317</v>
      </c>
      <c r="E1106" t="s">
        <v>1521</v>
      </c>
      <c r="F1106" t="s">
        <v>1780</v>
      </c>
      <c r="G1106" t="s">
        <v>2066</v>
      </c>
      <c r="H1106" t="s">
        <v>2316</v>
      </c>
      <c r="I1106" t="s">
        <v>2317</v>
      </c>
      <c r="J1106" t="s">
        <v>2318</v>
      </c>
      <c r="K1106" t="s">
        <v>2318</v>
      </c>
      <c r="L1106">
        <v>263396</v>
      </c>
      <c r="M1106" t="s">
        <v>2328</v>
      </c>
      <c r="N1106" t="s">
        <v>2640</v>
      </c>
      <c r="O1106" t="s">
        <v>3055</v>
      </c>
      <c r="P1106" t="s">
        <v>3060</v>
      </c>
      <c r="Q1106" t="s">
        <v>3259</v>
      </c>
      <c r="R1106">
        <v>100.99</v>
      </c>
      <c r="S1106">
        <v>1</v>
      </c>
      <c r="T1106">
        <v>0.1</v>
      </c>
      <c r="U1106">
        <v>21.65</v>
      </c>
    </row>
    <row r="1107" spans="1:21" x14ac:dyDescent="0.3">
      <c r="A1107">
        <v>1106</v>
      </c>
      <c r="B1107" t="s">
        <v>1126</v>
      </c>
      <c r="C1107" s="2">
        <v>45637</v>
      </c>
      <c r="D1107" s="2">
        <v>45639</v>
      </c>
      <c r="E1107" t="s">
        <v>1524</v>
      </c>
      <c r="F1107" t="s">
        <v>1851</v>
      </c>
      <c r="G1107" t="s">
        <v>2228</v>
      </c>
      <c r="H1107" t="s">
        <v>2314</v>
      </c>
      <c r="I1107" t="s">
        <v>2317</v>
      </c>
      <c r="J1107" t="s">
        <v>2324</v>
      </c>
      <c r="K1107" t="s">
        <v>2324</v>
      </c>
      <c r="L1107">
        <v>712114</v>
      </c>
      <c r="M1107" t="s">
        <v>2330</v>
      </c>
      <c r="N1107" t="s">
        <v>2950</v>
      </c>
      <c r="O1107" t="s">
        <v>3054</v>
      </c>
      <c r="P1107" t="s">
        <v>3058</v>
      </c>
      <c r="Q1107" t="s">
        <v>3481</v>
      </c>
      <c r="R1107">
        <v>120.8</v>
      </c>
      <c r="S1107">
        <v>4</v>
      </c>
      <c r="T1107">
        <v>0.1</v>
      </c>
      <c r="U1107">
        <v>22.29</v>
      </c>
    </row>
    <row r="1108" spans="1:21" x14ac:dyDescent="0.3">
      <c r="A1108">
        <v>1107</v>
      </c>
      <c r="B1108" t="s">
        <v>1127</v>
      </c>
      <c r="C1108" s="2">
        <v>45593</v>
      </c>
      <c r="D1108" s="2">
        <v>45596</v>
      </c>
      <c r="E1108" t="s">
        <v>1524</v>
      </c>
      <c r="F1108" t="s">
        <v>1830</v>
      </c>
      <c r="G1108" t="s">
        <v>2273</v>
      </c>
      <c r="H1108" t="s">
        <v>2314</v>
      </c>
      <c r="I1108" t="s">
        <v>2317</v>
      </c>
      <c r="J1108" t="s">
        <v>2319</v>
      </c>
      <c r="K1108" t="s">
        <v>2319</v>
      </c>
      <c r="L1108">
        <v>590899</v>
      </c>
      <c r="M1108" t="s">
        <v>2329</v>
      </c>
      <c r="N1108" t="s">
        <v>2374</v>
      </c>
      <c r="O1108" t="s">
        <v>3054</v>
      </c>
      <c r="P1108" t="s">
        <v>3058</v>
      </c>
      <c r="Q1108" t="s">
        <v>3777</v>
      </c>
      <c r="R1108">
        <v>105.2</v>
      </c>
      <c r="S1108">
        <v>3</v>
      </c>
      <c r="T1108">
        <v>0.2</v>
      </c>
      <c r="U1108">
        <v>-18.02</v>
      </c>
    </row>
    <row r="1109" spans="1:21" x14ac:dyDescent="0.3">
      <c r="A1109">
        <v>1108</v>
      </c>
      <c r="B1109" t="s">
        <v>1128</v>
      </c>
      <c r="C1109" s="2">
        <v>45654</v>
      </c>
      <c r="D1109" s="2">
        <v>45657</v>
      </c>
      <c r="E1109" t="s">
        <v>1521</v>
      </c>
      <c r="F1109" t="s">
        <v>1551</v>
      </c>
      <c r="G1109" t="s">
        <v>2221</v>
      </c>
      <c r="H1109" t="s">
        <v>2314</v>
      </c>
      <c r="I1109" t="s">
        <v>2317</v>
      </c>
      <c r="J1109" t="s">
        <v>2319</v>
      </c>
      <c r="K1109" t="s">
        <v>2319</v>
      </c>
      <c r="L1109">
        <v>783206</v>
      </c>
      <c r="M1109" t="s">
        <v>2329</v>
      </c>
      <c r="N1109" t="s">
        <v>2552</v>
      </c>
      <c r="O1109" t="s">
        <v>3055</v>
      </c>
      <c r="P1109" t="s">
        <v>3061</v>
      </c>
      <c r="Q1109" t="s">
        <v>3778</v>
      </c>
      <c r="R1109">
        <v>334.82</v>
      </c>
      <c r="S1109">
        <v>4</v>
      </c>
      <c r="T1109">
        <v>0.3</v>
      </c>
      <c r="U1109">
        <v>-0.54</v>
      </c>
    </row>
    <row r="1110" spans="1:21" x14ac:dyDescent="0.3">
      <c r="A1110">
        <v>1109</v>
      </c>
      <c r="B1110" t="s">
        <v>1129</v>
      </c>
      <c r="C1110" s="2">
        <v>45687</v>
      </c>
      <c r="D1110" s="2">
        <v>45689</v>
      </c>
      <c r="E1110" t="s">
        <v>1523</v>
      </c>
      <c r="F1110" t="s">
        <v>1896</v>
      </c>
      <c r="G1110" t="s">
        <v>2090</v>
      </c>
      <c r="H1110" t="s">
        <v>2316</v>
      </c>
      <c r="I1110" t="s">
        <v>2317</v>
      </c>
      <c r="J1110" t="s">
        <v>2324</v>
      </c>
      <c r="K1110" t="s">
        <v>2324</v>
      </c>
      <c r="L1110">
        <v>377961</v>
      </c>
      <c r="M1110" t="s">
        <v>2330</v>
      </c>
      <c r="N1110" t="s">
        <v>2951</v>
      </c>
      <c r="O1110" t="s">
        <v>3054</v>
      </c>
      <c r="P1110" t="s">
        <v>3057</v>
      </c>
      <c r="Q1110" t="s">
        <v>3353</v>
      </c>
      <c r="R1110">
        <v>66.33</v>
      </c>
      <c r="S1110">
        <v>1</v>
      </c>
      <c r="T1110">
        <v>0.15</v>
      </c>
      <c r="U1110">
        <v>-14.15</v>
      </c>
    </row>
    <row r="1111" spans="1:21" x14ac:dyDescent="0.3">
      <c r="A1111">
        <v>1110</v>
      </c>
      <c r="B1111" t="s">
        <v>1130</v>
      </c>
      <c r="C1111" s="2">
        <v>45509</v>
      </c>
      <c r="D1111" s="2">
        <v>45513</v>
      </c>
      <c r="E1111" t="s">
        <v>1521</v>
      </c>
      <c r="F1111" t="s">
        <v>1552</v>
      </c>
      <c r="G1111" t="s">
        <v>2299</v>
      </c>
      <c r="H1111" t="s">
        <v>2314</v>
      </c>
      <c r="I1111" t="s">
        <v>2317</v>
      </c>
      <c r="J1111" t="s">
        <v>2322</v>
      </c>
      <c r="K1111" t="s">
        <v>2322</v>
      </c>
      <c r="L1111">
        <v>144067</v>
      </c>
      <c r="M1111" t="s">
        <v>2331</v>
      </c>
      <c r="N1111" t="s">
        <v>2831</v>
      </c>
      <c r="O1111" t="s">
        <v>3054</v>
      </c>
      <c r="P1111" t="s">
        <v>3057</v>
      </c>
      <c r="Q1111" t="s">
        <v>3186</v>
      </c>
      <c r="R1111">
        <v>83.08</v>
      </c>
      <c r="S1111">
        <v>1</v>
      </c>
      <c r="T1111">
        <v>0</v>
      </c>
      <c r="U1111">
        <v>-43.99</v>
      </c>
    </row>
    <row r="1112" spans="1:21" x14ac:dyDescent="0.3">
      <c r="A1112">
        <v>1111</v>
      </c>
      <c r="B1112" t="s">
        <v>1131</v>
      </c>
      <c r="C1112" s="2">
        <v>45432</v>
      </c>
      <c r="D1112" s="2">
        <v>45435</v>
      </c>
      <c r="E1112" t="s">
        <v>1523</v>
      </c>
      <c r="F1112" t="s">
        <v>1900</v>
      </c>
      <c r="G1112" t="s">
        <v>1958</v>
      </c>
      <c r="H1112" t="s">
        <v>2315</v>
      </c>
      <c r="I1112" t="s">
        <v>2317</v>
      </c>
      <c r="J1112" t="s">
        <v>2322</v>
      </c>
      <c r="K1112" t="s">
        <v>2322</v>
      </c>
      <c r="L1112">
        <v>295985</v>
      </c>
      <c r="M1112" t="s">
        <v>2331</v>
      </c>
      <c r="N1112" t="s">
        <v>2466</v>
      </c>
      <c r="O1112" t="s">
        <v>3053</v>
      </c>
      <c r="P1112" t="s">
        <v>3056</v>
      </c>
      <c r="Q1112" t="s">
        <v>3321</v>
      </c>
      <c r="R1112">
        <v>628.98</v>
      </c>
      <c r="S1112">
        <v>9</v>
      </c>
      <c r="T1112">
        <v>0.15</v>
      </c>
      <c r="U1112">
        <v>-8.16</v>
      </c>
    </row>
    <row r="1113" spans="1:21" x14ac:dyDescent="0.3">
      <c r="A1113">
        <v>1112</v>
      </c>
      <c r="B1113" t="s">
        <v>1132</v>
      </c>
      <c r="C1113" s="2">
        <v>45907</v>
      </c>
      <c r="D1113" s="2">
        <v>45910</v>
      </c>
      <c r="E1113" t="s">
        <v>1521</v>
      </c>
      <c r="F1113" t="s">
        <v>1878</v>
      </c>
      <c r="G1113" t="s">
        <v>2274</v>
      </c>
      <c r="H1113" t="s">
        <v>2315</v>
      </c>
      <c r="I1113" t="s">
        <v>2317</v>
      </c>
      <c r="J1113" t="s">
        <v>2324</v>
      </c>
      <c r="K1113" t="s">
        <v>2324</v>
      </c>
      <c r="L1113">
        <v>746868</v>
      </c>
      <c r="M1113" t="s">
        <v>2330</v>
      </c>
      <c r="N1113" t="s">
        <v>2334</v>
      </c>
      <c r="O1113" t="s">
        <v>3054</v>
      </c>
      <c r="P1113" t="s">
        <v>3063</v>
      </c>
      <c r="Q1113" t="s">
        <v>3455</v>
      </c>
      <c r="R1113">
        <v>314.61</v>
      </c>
      <c r="S1113">
        <v>6</v>
      </c>
      <c r="T1113">
        <v>0.15</v>
      </c>
      <c r="U1113">
        <v>-9.09</v>
      </c>
    </row>
    <row r="1114" spans="1:21" x14ac:dyDescent="0.3">
      <c r="A1114">
        <v>1113</v>
      </c>
      <c r="B1114" t="s">
        <v>1133</v>
      </c>
      <c r="C1114" s="2">
        <v>45501</v>
      </c>
      <c r="D1114" s="2">
        <v>45504</v>
      </c>
      <c r="E1114" t="s">
        <v>1522</v>
      </c>
      <c r="F1114" t="s">
        <v>1681</v>
      </c>
      <c r="G1114" t="s">
        <v>1994</v>
      </c>
      <c r="H1114" t="s">
        <v>2315</v>
      </c>
      <c r="I1114" t="s">
        <v>2317</v>
      </c>
      <c r="J1114" t="s">
        <v>2325</v>
      </c>
      <c r="K1114" t="s">
        <v>2325</v>
      </c>
      <c r="L1114">
        <v>471007</v>
      </c>
      <c r="M1114" t="s">
        <v>2332</v>
      </c>
      <c r="N1114" t="s">
        <v>2722</v>
      </c>
      <c r="O1114" t="s">
        <v>3054</v>
      </c>
      <c r="P1114" t="s">
        <v>3058</v>
      </c>
      <c r="Q1114" t="s">
        <v>3260</v>
      </c>
      <c r="R1114">
        <v>51.1</v>
      </c>
      <c r="S1114">
        <v>5</v>
      </c>
      <c r="T1114">
        <v>0.05</v>
      </c>
      <c r="U1114">
        <v>6.46</v>
      </c>
    </row>
    <row r="1115" spans="1:21" x14ac:dyDescent="0.3">
      <c r="A1115">
        <v>1114</v>
      </c>
      <c r="B1115" t="s">
        <v>1134</v>
      </c>
      <c r="C1115" s="2">
        <v>45914</v>
      </c>
      <c r="D1115" s="2">
        <v>45919</v>
      </c>
      <c r="E1115" t="s">
        <v>1521</v>
      </c>
      <c r="F1115" t="s">
        <v>1808</v>
      </c>
      <c r="G1115" t="s">
        <v>1994</v>
      </c>
      <c r="H1115" t="s">
        <v>2315</v>
      </c>
      <c r="I1115" t="s">
        <v>2317</v>
      </c>
      <c r="J1115" t="s">
        <v>2318</v>
      </c>
      <c r="K1115" t="s">
        <v>2318</v>
      </c>
      <c r="L1115">
        <v>829692</v>
      </c>
      <c r="M1115" t="s">
        <v>2328</v>
      </c>
      <c r="N1115" t="s">
        <v>2645</v>
      </c>
      <c r="O1115" t="s">
        <v>3054</v>
      </c>
      <c r="P1115" t="s">
        <v>3063</v>
      </c>
      <c r="Q1115" t="s">
        <v>3779</v>
      </c>
      <c r="R1115">
        <v>105.36</v>
      </c>
      <c r="S1115">
        <v>1</v>
      </c>
      <c r="T1115">
        <v>0.2</v>
      </c>
      <c r="U1115">
        <v>-6.71</v>
      </c>
    </row>
    <row r="1116" spans="1:21" x14ac:dyDescent="0.3">
      <c r="A1116">
        <v>1115</v>
      </c>
      <c r="B1116" t="s">
        <v>1135</v>
      </c>
      <c r="C1116" s="2">
        <v>45907</v>
      </c>
      <c r="D1116" s="2">
        <v>45909</v>
      </c>
      <c r="E1116" t="s">
        <v>1521</v>
      </c>
      <c r="F1116" t="s">
        <v>1779</v>
      </c>
      <c r="G1116" t="s">
        <v>2232</v>
      </c>
      <c r="H1116" t="s">
        <v>2316</v>
      </c>
      <c r="I1116" t="s">
        <v>2317</v>
      </c>
      <c r="J1116" t="s">
        <v>2323</v>
      </c>
      <c r="K1116" t="s">
        <v>2323</v>
      </c>
      <c r="L1116">
        <v>484691</v>
      </c>
      <c r="M1116" t="s">
        <v>2328</v>
      </c>
      <c r="N1116" t="s">
        <v>2919</v>
      </c>
      <c r="O1116" t="s">
        <v>3054</v>
      </c>
      <c r="P1116" t="s">
        <v>3064</v>
      </c>
      <c r="Q1116" t="s">
        <v>3613</v>
      </c>
      <c r="R1116">
        <v>43.04</v>
      </c>
      <c r="S1116">
        <v>5</v>
      </c>
      <c r="T1116">
        <v>0.1</v>
      </c>
      <c r="U1116">
        <v>-7.96</v>
      </c>
    </row>
    <row r="1117" spans="1:21" x14ac:dyDescent="0.3">
      <c r="A1117">
        <v>1116</v>
      </c>
      <c r="B1117" t="s">
        <v>1136</v>
      </c>
      <c r="C1117" s="2">
        <v>45974</v>
      </c>
      <c r="D1117" s="2">
        <v>45979</v>
      </c>
      <c r="E1117" t="s">
        <v>1521</v>
      </c>
      <c r="F1117" t="s">
        <v>1870</v>
      </c>
      <c r="G1117" t="s">
        <v>2244</v>
      </c>
      <c r="H1117" t="s">
        <v>2315</v>
      </c>
      <c r="I1117" t="s">
        <v>2317</v>
      </c>
      <c r="J1117" t="s">
        <v>2320</v>
      </c>
      <c r="K1117" t="s">
        <v>2320</v>
      </c>
      <c r="L1117">
        <v>763110</v>
      </c>
      <c r="M1117" t="s">
        <v>2330</v>
      </c>
      <c r="N1117" t="s">
        <v>2685</v>
      </c>
      <c r="O1117" t="s">
        <v>3055</v>
      </c>
      <c r="P1117" t="s">
        <v>3061</v>
      </c>
      <c r="Q1117" t="s">
        <v>3206</v>
      </c>
      <c r="R1117">
        <v>670.22</v>
      </c>
      <c r="S1117">
        <v>7</v>
      </c>
      <c r="T1117">
        <v>0.15</v>
      </c>
      <c r="U1117">
        <v>73.78</v>
      </c>
    </row>
    <row r="1118" spans="1:21" x14ac:dyDescent="0.3">
      <c r="A1118">
        <v>1117</v>
      </c>
      <c r="B1118" t="s">
        <v>1137</v>
      </c>
      <c r="C1118" s="2">
        <v>45751</v>
      </c>
      <c r="D1118" s="2">
        <v>45757</v>
      </c>
      <c r="E1118" t="s">
        <v>1522</v>
      </c>
      <c r="F1118" t="s">
        <v>1827</v>
      </c>
      <c r="G1118" t="s">
        <v>2300</v>
      </c>
      <c r="H1118" t="s">
        <v>2314</v>
      </c>
      <c r="I1118" t="s">
        <v>2317</v>
      </c>
      <c r="J1118" t="s">
        <v>2318</v>
      </c>
      <c r="K1118" t="s">
        <v>2318</v>
      </c>
      <c r="L1118">
        <v>669489</v>
      </c>
      <c r="M1118" t="s">
        <v>2328</v>
      </c>
      <c r="N1118" t="s">
        <v>2952</v>
      </c>
      <c r="O1118" t="s">
        <v>3055</v>
      </c>
      <c r="P1118" t="s">
        <v>3060</v>
      </c>
      <c r="Q1118" t="s">
        <v>3386</v>
      </c>
      <c r="R1118">
        <v>230.72</v>
      </c>
      <c r="S1118">
        <v>2</v>
      </c>
      <c r="T1118">
        <v>0.2</v>
      </c>
      <c r="U1118">
        <v>53.01</v>
      </c>
    </row>
    <row r="1119" spans="1:21" x14ac:dyDescent="0.3">
      <c r="A1119">
        <v>1118</v>
      </c>
      <c r="B1119" t="s">
        <v>1138</v>
      </c>
      <c r="C1119" s="2">
        <v>45647</v>
      </c>
      <c r="D1119" s="2">
        <v>45651</v>
      </c>
      <c r="E1119" t="s">
        <v>1522</v>
      </c>
      <c r="F1119" t="s">
        <v>1708</v>
      </c>
      <c r="G1119" t="s">
        <v>2070</v>
      </c>
      <c r="H1119" t="s">
        <v>2316</v>
      </c>
      <c r="I1119" t="s">
        <v>2317</v>
      </c>
      <c r="J1119" t="s">
        <v>2322</v>
      </c>
      <c r="K1119" t="s">
        <v>2322</v>
      </c>
      <c r="L1119">
        <v>662912</v>
      </c>
      <c r="M1119" t="s">
        <v>2331</v>
      </c>
      <c r="N1119" t="s">
        <v>2874</v>
      </c>
      <c r="O1119" t="s">
        <v>3053</v>
      </c>
      <c r="P1119" t="s">
        <v>3065</v>
      </c>
      <c r="Q1119" t="s">
        <v>3780</v>
      </c>
      <c r="R1119">
        <v>667.67</v>
      </c>
      <c r="S1119">
        <v>6</v>
      </c>
      <c r="T1119">
        <v>0.1</v>
      </c>
      <c r="U1119">
        <v>64.739999999999995</v>
      </c>
    </row>
    <row r="1120" spans="1:21" x14ac:dyDescent="0.3">
      <c r="A1120">
        <v>1119</v>
      </c>
      <c r="B1120" t="s">
        <v>1139</v>
      </c>
      <c r="C1120" s="2">
        <v>45615</v>
      </c>
      <c r="D1120" s="2">
        <v>45618</v>
      </c>
      <c r="E1120" t="s">
        <v>1522</v>
      </c>
      <c r="F1120" t="s">
        <v>1625</v>
      </c>
      <c r="G1120" t="s">
        <v>2290</v>
      </c>
      <c r="H1120" t="s">
        <v>2316</v>
      </c>
      <c r="I1120" t="s">
        <v>2317</v>
      </c>
      <c r="J1120" t="s">
        <v>2323</v>
      </c>
      <c r="K1120" t="s">
        <v>2323</v>
      </c>
      <c r="L1120">
        <v>303154</v>
      </c>
      <c r="M1120" t="s">
        <v>2328</v>
      </c>
      <c r="N1120" t="s">
        <v>2953</v>
      </c>
      <c r="O1120" t="s">
        <v>3055</v>
      </c>
      <c r="P1120" t="s">
        <v>3060</v>
      </c>
      <c r="Q1120" t="s">
        <v>3781</v>
      </c>
      <c r="R1120">
        <v>164.92</v>
      </c>
      <c r="S1120">
        <v>6</v>
      </c>
      <c r="T1120">
        <v>0.2</v>
      </c>
      <c r="U1120">
        <v>36.659999999999997</v>
      </c>
    </row>
    <row r="1121" spans="1:21" x14ac:dyDescent="0.3">
      <c r="A1121">
        <v>1120</v>
      </c>
      <c r="B1121" t="s">
        <v>1140</v>
      </c>
      <c r="C1121" s="2">
        <v>45424</v>
      </c>
      <c r="D1121" s="2">
        <v>45427</v>
      </c>
      <c r="E1121" t="s">
        <v>1524</v>
      </c>
      <c r="F1121" t="s">
        <v>1792</v>
      </c>
      <c r="G1121" t="s">
        <v>2045</v>
      </c>
      <c r="H1121" t="s">
        <v>2314</v>
      </c>
      <c r="I1121" t="s">
        <v>2317</v>
      </c>
      <c r="J1121" t="s">
        <v>2326</v>
      </c>
      <c r="K1121" t="s">
        <v>2326</v>
      </c>
      <c r="L1121">
        <v>528665</v>
      </c>
      <c r="M1121" t="s">
        <v>2331</v>
      </c>
      <c r="N1121" t="s">
        <v>2954</v>
      </c>
      <c r="O1121" t="s">
        <v>3053</v>
      </c>
      <c r="P1121" t="s">
        <v>3062</v>
      </c>
      <c r="Q1121" t="s">
        <v>3782</v>
      </c>
      <c r="R1121">
        <v>78.75</v>
      </c>
      <c r="S1121">
        <v>2</v>
      </c>
      <c r="T1121">
        <v>0.4</v>
      </c>
      <c r="U1121">
        <v>-38.409999999999997</v>
      </c>
    </row>
    <row r="1122" spans="1:21" x14ac:dyDescent="0.3">
      <c r="A1122">
        <v>1121</v>
      </c>
      <c r="B1122" t="s">
        <v>1141</v>
      </c>
      <c r="C1122" s="2">
        <v>45418</v>
      </c>
      <c r="D1122" s="2">
        <v>45420</v>
      </c>
      <c r="E1122" t="s">
        <v>1524</v>
      </c>
      <c r="F1122" t="s">
        <v>1675</v>
      </c>
      <c r="G1122" t="s">
        <v>2228</v>
      </c>
      <c r="H1122" t="s">
        <v>2316</v>
      </c>
      <c r="I1122" t="s">
        <v>2317</v>
      </c>
      <c r="J1122" t="s">
        <v>2327</v>
      </c>
      <c r="K1122" t="s">
        <v>2327</v>
      </c>
      <c r="L1122">
        <v>858849</v>
      </c>
      <c r="M1122" t="s">
        <v>2330</v>
      </c>
      <c r="N1122" t="s">
        <v>2749</v>
      </c>
      <c r="O1122" t="s">
        <v>3054</v>
      </c>
      <c r="P1122" t="s">
        <v>3063</v>
      </c>
      <c r="Q1122" t="s">
        <v>3494</v>
      </c>
      <c r="R1122">
        <v>46.79</v>
      </c>
      <c r="S1122">
        <v>5</v>
      </c>
      <c r="T1122">
        <v>0.05</v>
      </c>
      <c r="U1122">
        <v>8.3000000000000007</v>
      </c>
    </row>
    <row r="1123" spans="1:21" x14ac:dyDescent="0.3">
      <c r="A1123">
        <v>1122</v>
      </c>
      <c r="B1123" t="s">
        <v>1142</v>
      </c>
      <c r="C1123" s="2">
        <v>45397</v>
      </c>
      <c r="D1123" s="2">
        <v>45398</v>
      </c>
      <c r="E1123" t="s">
        <v>1521</v>
      </c>
      <c r="F1123" t="s">
        <v>1842</v>
      </c>
      <c r="G1123" t="s">
        <v>2135</v>
      </c>
      <c r="H1123" t="s">
        <v>2314</v>
      </c>
      <c r="I1123" t="s">
        <v>2317</v>
      </c>
      <c r="J1123" t="s">
        <v>2319</v>
      </c>
      <c r="K1123" t="s">
        <v>2319</v>
      </c>
      <c r="L1123">
        <v>160796</v>
      </c>
      <c r="M1123" t="s">
        <v>2329</v>
      </c>
      <c r="N1123" t="s">
        <v>2582</v>
      </c>
      <c r="O1123" t="s">
        <v>3054</v>
      </c>
      <c r="P1123" t="s">
        <v>3058</v>
      </c>
      <c r="Q1123" t="s">
        <v>3736</v>
      </c>
      <c r="R1123">
        <v>94.89</v>
      </c>
      <c r="S1123">
        <v>2</v>
      </c>
      <c r="T1123">
        <v>0.4</v>
      </c>
      <c r="U1123">
        <v>-40.049999999999997</v>
      </c>
    </row>
    <row r="1124" spans="1:21" x14ac:dyDescent="0.3">
      <c r="A1124">
        <v>1123</v>
      </c>
      <c r="B1124" t="s">
        <v>1143</v>
      </c>
      <c r="C1124" s="2">
        <v>45895</v>
      </c>
      <c r="D1124" s="2">
        <v>45898</v>
      </c>
      <c r="E1124" t="s">
        <v>1524</v>
      </c>
      <c r="F1124" t="s">
        <v>1547</v>
      </c>
      <c r="G1124" t="s">
        <v>2283</v>
      </c>
      <c r="H1124" t="s">
        <v>2316</v>
      </c>
      <c r="I1124" t="s">
        <v>2317</v>
      </c>
      <c r="J1124" t="s">
        <v>2324</v>
      </c>
      <c r="K1124" t="s">
        <v>2324</v>
      </c>
      <c r="L1124">
        <v>493576</v>
      </c>
      <c r="M1124" t="s">
        <v>2330</v>
      </c>
      <c r="N1124" t="s">
        <v>2951</v>
      </c>
      <c r="O1124" t="s">
        <v>3054</v>
      </c>
      <c r="P1124" t="s">
        <v>3058</v>
      </c>
      <c r="Q1124" t="s">
        <v>3230</v>
      </c>
      <c r="R1124">
        <v>319.88</v>
      </c>
      <c r="S1124">
        <v>8</v>
      </c>
      <c r="T1124">
        <v>0.15</v>
      </c>
      <c r="U1124">
        <v>47.91</v>
      </c>
    </row>
    <row r="1125" spans="1:21" x14ac:dyDescent="0.3">
      <c r="A1125">
        <v>1124</v>
      </c>
      <c r="B1125" t="s">
        <v>1144</v>
      </c>
      <c r="C1125" s="2">
        <v>45669</v>
      </c>
      <c r="D1125" s="2">
        <v>45671</v>
      </c>
      <c r="E1125" t="s">
        <v>1522</v>
      </c>
      <c r="F1125" t="s">
        <v>1872</v>
      </c>
      <c r="G1125" t="s">
        <v>2067</v>
      </c>
      <c r="H1125" t="s">
        <v>2315</v>
      </c>
      <c r="I1125" t="s">
        <v>2317</v>
      </c>
      <c r="J1125" t="s">
        <v>2324</v>
      </c>
      <c r="K1125" t="s">
        <v>2324</v>
      </c>
      <c r="L1125">
        <v>614879</v>
      </c>
      <c r="M1125" t="s">
        <v>2330</v>
      </c>
      <c r="N1125" t="s">
        <v>2499</v>
      </c>
      <c r="O1125" t="s">
        <v>3054</v>
      </c>
      <c r="P1125" t="s">
        <v>3058</v>
      </c>
      <c r="Q1125" t="s">
        <v>3071</v>
      </c>
      <c r="R1125">
        <v>41.1</v>
      </c>
      <c r="S1125">
        <v>3</v>
      </c>
      <c r="T1125">
        <v>0.3</v>
      </c>
      <c r="U1125">
        <v>3.74</v>
      </c>
    </row>
    <row r="1126" spans="1:21" x14ac:dyDescent="0.3">
      <c r="A1126">
        <v>1125</v>
      </c>
      <c r="B1126" t="s">
        <v>1145</v>
      </c>
      <c r="C1126" s="2">
        <v>45342</v>
      </c>
      <c r="D1126" s="2">
        <v>45347</v>
      </c>
      <c r="E1126" t="s">
        <v>1524</v>
      </c>
      <c r="F1126" t="s">
        <v>1726</v>
      </c>
      <c r="G1126" t="s">
        <v>1981</v>
      </c>
      <c r="H1126" t="s">
        <v>2314</v>
      </c>
      <c r="I1126" t="s">
        <v>2317</v>
      </c>
      <c r="J1126" t="s">
        <v>2319</v>
      </c>
      <c r="K1126" t="s">
        <v>2319</v>
      </c>
      <c r="L1126">
        <v>639700</v>
      </c>
      <c r="M1126" t="s">
        <v>2329</v>
      </c>
      <c r="N1126" t="s">
        <v>2705</v>
      </c>
      <c r="O1126" t="s">
        <v>3054</v>
      </c>
      <c r="P1126" t="s">
        <v>3063</v>
      </c>
      <c r="Q1126" t="s">
        <v>3522</v>
      </c>
      <c r="R1126">
        <v>61.44</v>
      </c>
      <c r="S1126">
        <v>4</v>
      </c>
      <c r="T1126">
        <v>0.2</v>
      </c>
      <c r="U1126">
        <v>-19.37</v>
      </c>
    </row>
    <row r="1127" spans="1:21" x14ac:dyDescent="0.3">
      <c r="A1127">
        <v>1126</v>
      </c>
      <c r="B1127" t="s">
        <v>1146</v>
      </c>
      <c r="C1127" s="2">
        <v>45320</v>
      </c>
      <c r="D1127" s="2">
        <v>45321</v>
      </c>
      <c r="E1127" t="s">
        <v>1522</v>
      </c>
      <c r="F1127" t="s">
        <v>1839</v>
      </c>
      <c r="G1127" t="s">
        <v>2051</v>
      </c>
      <c r="H1127" t="s">
        <v>2316</v>
      </c>
      <c r="I1127" t="s">
        <v>2317</v>
      </c>
      <c r="J1127" t="s">
        <v>2327</v>
      </c>
      <c r="K1127" t="s">
        <v>2327</v>
      </c>
      <c r="L1127">
        <v>218222</v>
      </c>
      <c r="M1127" t="s">
        <v>2330</v>
      </c>
      <c r="N1127" t="s">
        <v>2435</v>
      </c>
      <c r="O1127" t="s">
        <v>3053</v>
      </c>
      <c r="P1127" t="s">
        <v>3066</v>
      </c>
      <c r="Q1127" t="s">
        <v>3783</v>
      </c>
      <c r="R1127">
        <v>472.13</v>
      </c>
      <c r="S1127">
        <v>3</v>
      </c>
      <c r="T1127">
        <v>0.15</v>
      </c>
      <c r="U1127">
        <v>-33.99</v>
      </c>
    </row>
    <row r="1128" spans="1:21" x14ac:dyDescent="0.3">
      <c r="A1128">
        <v>1127</v>
      </c>
      <c r="B1128" t="s">
        <v>1147</v>
      </c>
      <c r="C1128" s="2">
        <v>45753</v>
      </c>
      <c r="D1128" s="2">
        <v>45755</v>
      </c>
      <c r="E1128" t="s">
        <v>1523</v>
      </c>
      <c r="F1128" t="s">
        <v>1746</v>
      </c>
      <c r="G1128" t="s">
        <v>2038</v>
      </c>
      <c r="H1128" t="s">
        <v>2314</v>
      </c>
      <c r="I1128" t="s">
        <v>2317</v>
      </c>
      <c r="J1128" t="s">
        <v>2320</v>
      </c>
      <c r="K1128" t="s">
        <v>2320</v>
      </c>
      <c r="L1128">
        <v>248044</v>
      </c>
      <c r="M1128" t="s">
        <v>2330</v>
      </c>
      <c r="N1128" t="s">
        <v>2955</v>
      </c>
      <c r="O1128" t="s">
        <v>3055</v>
      </c>
      <c r="P1128" t="s">
        <v>3061</v>
      </c>
      <c r="Q1128" t="s">
        <v>3080</v>
      </c>
      <c r="R1128">
        <v>235.2</v>
      </c>
      <c r="S1128">
        <v>5</v>
      </c>
      <c r="T1128">
        <v>0.2</v>
      </c>
      <c r="U1128">
        <v>31.45</v>
      </c>
    </row>
    <row r="1129" spans="1:21" x14ac:dyDescent="0.3">
      <c r="A1129">
        <v>1128</v>
      </c>
      <c r="B1129" t="s">
        <v>1148</v>
      </c>
      <c r="C1129" s="2">
        <v>45587</v>
      </c>
      <c r="D1129" s="2">
        <v>45590</v>
      </c>
      <c r="E1129" t="s">
        <v>1523</v>
      </c>
      <c r="F1129" t="s">
        <v>1655</v>
      </c>
      <c r="G1129" t="s">
        <v>1945</v>
      </c>
      <c r="H1129" t="s">
        <v>2315</v>
      </c>
      <c r="I1129" t="s">
        <v>2317</v>
      </c>
      <c r="J1129" t="s">
        <v>2327</v>
      </c>
      <c r="K1129" t="s">
        <v>2327</v>
      </c>
      <c r="L1129">
        <v>409203</v>
      </c>
      <c r="M1129" t="s">
        <v>2330</v>
      </c>
      <c r="N1129" t="s">
        <v>2362</v>
      </c>
      <c r="O1129" t="s">
        <v>3053</v>
      </c>
      <c r="P1129" t="s">
        <v>3065</v>
      </c>
      <c r="Q1129" t="s">
        <v>3784</v>
      </c>
      <c r="R1129">
        <v>104.95</v>
      </c>
      <c r="S1129">
        <v>2</v>
      </c>
      <c r="T1129">
        <v>0.3</v>
      </c>
      <c r="U1129">
        <v>29.61</v>
      </c>
    </row>
    <row r="1130" spans="1:21" x14ac:dyDescent="0.3">
      <c r="A1130">
        <v>1129</v>
      </c>
      <c r="B1130" t="s">
        <v>1149</v>
      </c>
      <c r="C1130" s="2">
        <v>45588</v>
      </c>
      <c r="D1130" s="2">
        <v>45590</v>
      </c>
      <c r="E1130" t="s">
        <v>1524</v>
      </c>
      <c r="F1130" t="s">
        <v>1646</v>
      </c>
      <c r="G1130" t="s">
        <v>2117</v>
      </c>
      <c r="H1130" t="s">
        <v>2314</v>
      </c>
      <c r="I1130" t="s">
        <v>2317</v>
      </c>
      <c r="J1130" t="s">
        <v>2323</v>
      </c>
      <c r="K1130" t="s">
        <v>2323</v>
      </c>
      <c r="L1130">
        <v>681845</v>
      </c>
      <c r="M1130" t="s">
        <v>2328</v>
      </c>
      <c r="N1130" t="s">
        <v>2407</v>
      </c>
      <c r="O1130" t="s">
        <v>3054</v>
      </c>
      <c r="P1130" t="s">
        <v>3064</v>
      </c>
      <c r="Q1130" t="s">
        <v>3082</v>
      </c>
      <c r="R1130">
        <v>44.58</v>
      </c>
      <c r="S1130">
        <v>9</v>
      </c>
      <c r="T1130">
        <v>0.15</v>
      </c>
      <c r="U1130">
        <v>-9.9700000000000006</v>
      </c>
    </row>
    <row r="1131" spans="1:21" x14ac:dyDescent="0.3">
      <c r="A1131">
        <v>1130</v>
      </c>
      <c r="B1131" t="s">
        <v>1150</v>
      </c>
      <c r="C1131" s="2">
        <v>46017</v>
      </c>
      <c r="D1131" s="2">
        <v>46020</v>
      </c>
      <c r="E1131" t="s">
        <v>1524</v>
      </c>
      <c r="F1131" t="s">
        <v>1834</v>
      </c>
      <c r="G1131" t="s">
        <v>2124</v>
      </c>
      <c r="H1131" t="s">
        <v>2315</v>
      </c>
      <c r="I1131" t="s">
        <v>2317</v>
      </c>
      <c r="J1131" t="s">
        <v>2327</v>
      </c>
      <c r="K1131" t="s">
        <v>2327</v>
      </c>
      <c r="L1131">
        <v>386881</v>
      </c>
      <c r="M1131" t="s">
        <v>2330</v>
      </c>
      <c r="N1131" t="s">
        <v>2766</v>
      </c>
      <c r="O1131" t="s">
        <v>3053</v>
      </c>
      <c r="P1131" t="s">
        <v>3056</v>
      </c>
      <c r="Q1131" t="s">
        <v>3232</v>
      </c>
      <c r="R1131">
        <v>185.56</v>
      </c>
      <c r="S1131">
        <v>2</v>
      </c>
      <c r="T1131">
        <v>0.1</v>
      </c>
      <c r="U1131">
        <v>-48.2</v>
      </c>
    </row>
    <row r="1132" spans="1:21" x14ac:dyDescent="0.3">
      <c r="A1132">
        <v>1131</v>
      </c>
      <c r="B1132" t="s">
        <v>1151</v>
      </c>
      <c r="C1132" s="2">
        <v>45698</v>
      </c>
      <c r="D1132" s="2">
        <v>45703</v>
      </c>
      <c r="E1132" t="s">
        <v>1524</v>
      </c>
      <c r="F1132" t="s">
        <v>1582</v>
      </c>
      <c r="G1132" t="s">
        <v>1988</v>
      </c>
      <c r="H1132" t="s">
        <v>2316</v>
      </c>
      <c r="I1132" t="s">
        <v>2317</v>
      </c>
      <c r="J1132" t="s">
        <v>2323</v>
      </c>
      <c r="K1132" t="s">
        <v>2323</v>
      </c>
      <c r="L1132">
        <v>209844</v>
      </c>
      <c r="M1132" t="s">
        <v>2328</v>
      </c>
      <c r="N1132" t="s">
        <v>2956</v>
      </c>
      <c r="O1132" t="s">
        <v>3054</v>
      </c>
      <c r="P1132" t="s">
        <v>3058</v>
      </c>
      <c r="Q1132" t="s">
        <v>3393</v>
      </c>
      <c r="R1132">
        <v>237.07</v>
      </c>
      <c r="S1132">
        <v>1</v>
      </c>
      <c r="T1132">
        <v>0.2</v>
      </c>
      <c r="U1132">
        <v>22.88</v>
      </c>
    </row>
    <row r="1133" spans="1:21" x14ac:dyDescent="0.3">
      <c r="A1133">
        <v>1132</v>
      </c>
      <c r="B1133" t="s">
        <v>1152</v>
      </c>
      <c r="C1133" s="2">
        <v>45904</v>
      </c>
      <c r="D1133" s="2">
        <v>45909</v>
      </c>
      <c r="E1133" t="s">
        <v>1521</v>
      </c>
      <c r="F1133" t="s">
        <v>1770</v>
      </c>
      <c r="G1133" t="s">
        <v>2112</v>
      </c>
      <c r="H1133" t="s">
        <v>2314</v>
      </c>
      <c r="I1133" t="s">
        <v>2317</v>
      </c>
      <c r="J1133" t="s">
        <v>2327</v>
      </c>
      <c r="K1133" t="s">
        <v>2327</v>
      </c>
      <c r="L1133">
        <v>339066</v>
      </c>
      <c r="M1133" t="s">
        <v>2330</v>
      </c>
      <c r="N1133" t="s">
        <v>2957</v>
      </c>
      <c r="O1133" t="s">
        <v>3055</v>
      </c>
      <c r="P1133" t="s">
        <v>3067</v>
      </c>
      <c r="Q1133" t="s">
        <v>3241</v>
      </c>
      <c r="R1133">
        <v>172.06</v>
      </c>
      <c r="S1133">
        <v>1</v>
      </c>
      <c r="T1133">
        <v>0.2</v>
      </c>
      <c r="U1133">
        <v>38.619999999999997</v>
      </c>
    </row>
    <row r="1134" spans="1:21" x14ac:dyDescent="0.3">
      <c r="A1134">
        <v>1133</v>
      </c>
      <c r="B1134" t="s">
        <v>1153</v>
      </c>
      <c r="C1134" s="2">
        <v>45696</v>
      </c>
      <c r="D1134" s="2">
        <v>45697</v>
      </c>
      <c r="E1134" t="s">
        <v>1522</v>
      </c>
      <c r="F1134" t="s">
        <v>1740</v>
      </c>
      <c r="G1134" t="s">
        <v>2186</v>
      </c>
      <c r="H1134" t="s">
        <v>2315</v>
      </c>
      <c r="I1134" t="s">
        <v>2317</v>
      </c>
      <c r="J1134" t="s">
        <v>2320</v>
      </c>
      <c r="K1134" t="s">
        <v>2320</v>
      </c>
      <c r="L1134">
        <v>190159</v>
      </c>
      <c r="M1134" t="s">
        <v>2330</v>
      </c>
      <c r="N1134" t="s">
        <v>2514</v>
      </c>
      <c r="O1134" t="s">
        <v>3054</v>
      </c>
      <c r="P1134" t="s">
        <v>3063</v>
      </c>
      <c r="Q1134" t="s">
        <v>3099</v>
      </c>
      <c r="R1134">
        <v>54.98</v>
      </c>
      <c r="S1134">
        <v>4</v>
      </c>
      <c r="T1134">
        <v>0.2</v>
      </c>
      <c r="U1134">
        <v>-29.32</v>
      </c>
    </row>
    <row r="1135" spans="1:21" x14ac:dyDescent="0.3">
      <c r="A1135">
        <v>1134</v>
      </c>
      <c r="B1135" t="s">
        <v>1154</v>
      </c>
      <c r="C1135" s="2">
        <v>45637</v>
      </c>
      <c r="D1135" s="2">
        <v>45639</v>
      </c>
      <c r="E1135" t="s">
        <v>1522</v>
      </c>
      <c r="F1135" t="s">
        <v>1729</v>
      </c>
      <c r="G1135" t="s">
        <v>2202</v>
      </c>
      <c r="H1135" t="s">
        <v>2316</v>
      </c>
      <c r="I1135" t="s">
        <v>2317</v>
      </c>
      <c r="J1135" t="s">
        <v>2320</v>
      </c>
      <c r="K1135" t="s">
        <v>2320</v>
      </c>
      <c r="L1135">
        <v>471021</v>
      </c>
      <c r="M1135" t="s">
        <v>2330</v>
      </c>
      <c r="N1135" t="s">
        <v>2403</v>
      </c>
      <c r="O1135" t="s">
        <v>3054</v>
      </c>
      <c r="P1135" t="s">
        <v>3057</v>
      </c>
      <c r="Q1135" t="s">
        <v>3382</v>
      </c>
      <c r="R1135">
        <v>46.01</v>
      </c>
      <c r="S1135">
        <v>1</v>
      </c>
      <c r="T1135">
        <v>0</v>
      </c>
      <c r="U1135">
        <v>20.8</v>
      </c>
    </row>
    <row r="1136" spans="1:21" x14ac:dyDescent="0.3">
      <c r="A1136">
        <v>1135</v>
      </c>
      <c r="B1136" t="s">
        <v>1155</v>
      </c>
      <c r="C1136" s="2">
        <v>45913</v>
      </c>
      <c r="D1136" s="2">
        <v>45918</v>
      </c>
      <c r="E1136" t="s">
        <v>1522</v>
      </c>
      <c r="F1136" t="s">
        <v>1597</v>
      </c>
      <c r="G1136" t="s">
        <v>2053</v>
      </c>
      <c r="H1136" t="s">
        <v>2314</v>
      </c>
      <c r="I1136" t="s">
        <v>2317</v>
      </c>
      <c r="J1136" t="s">
        <v>2322</v>
      </c>
      <c r="K1136" t="s">
        <v>2322</v>
      </c>
      <c r="L1136">
        <v>444165</v>
      </c>
      <c r="M1136" t="s">
        <v>2331</v>
      </c>
      <c r="N1136" t="s">
        <v>2750</v>
      </c>
      <c r="O1136" t="s">
        <v>3054</v>
      </c>
      <c r="P1136" t="s">
        <v>3063</v>
      </c>
      <c r="Q1136" t="s">
        <v>3127</v>
      </c>
      <c r="R1136">
        <v>38.46</v>
      </c>
      <c r="S1136">
        <v>7</v>
      </c>
      <c r="T1136">
        <v>0.05</v>
      </c>
      <c r="U1136">
        <v>42.4</v>
      </c>
    </row>
    <row r="1137" spans="1:21" x14ac:dyDescent="0.3">
      <c r="A1137">
        <v>1136</v>
      </c>
      <c r="B1137" t="s">
        <v>1156</v>
      </c>
      <c r="C1137" s="2">
        <v>45711</v>
      </c>
      <c r="D1137" s="2">
        <v>45714</v>
      </c>
      <c r="E1137" t="s">
        <v>1521</v>
      </c>
      <c r="F1137" t="s">
        <v>1537</v>
      </c>
      <c r="G1137" t="s">
        <v>2175</v>
      </c>
      <c r="H1137" t="s">
        <v>2314</v>
      </c>
      <c r="I1137" t="s">
        <v>2317</v>
      </c>
      <c r="J1137" t="s">
        <v>2319</v>
      </c>
      <c r="K1137" t="s">
        <v>2319</v>
      </c>
      <c r="L1137">
        <v>391288</v>
      </c>
      <c r="M1137" t="s">
        <v>2329</v>
      </c>
      <c r="N1137" t="s">
        <v>2958</v>
      </c>
      <c r="O1137" t="s">
        <v>3054</v>
      </c>
      <c r="P1137" t="s">
        <v>3064</v>
      </c>
      <c r="Q1137" t="s">
        <v>3785</v>
      </c>
      <c r="R1137">
        <v>38.200000000000003</v>
      </c>
      <c r="S1137">
        <v>2</v>
      </c>
      <c r="T1137">
        <v>0.3</v>
      </c>
      <c r="U1137">
        <v>13.34</v>
      </c>
    </row>
    <row r="1138" spans="1:21" x14ac:dyDescent="0.3">
      <c r="A1138">
        <v>1137</v>
      </c>
      <c r="B1138" t="s">
        <v>1157</v>
      </c>
      <c r="C1138" s="2">
        <v>45473</v>
      </c>
      <c r="D1138" s="2">
        <v>45474</v>
      </c>
      <c r="E1138" t="s">
        <v>1521</v>
      </c>
      <c r="F1138" t="s">
        <v>1765</v>
      </c>
      <c r="G1138" t="s">
        <v>2270</v>
      </c>
      <c r="H1138" t="s">
        <v>2314</v>
      </c>
      <c r="I1138" t="s">
        <v>2317</v>
      </c>
      <c r="J1138" t="s">
        <v>2320</v>
      </c>
      <c r="K1138" t="s">
        <v>2320</v>
      </c>
      <c r="L1138">
        <v>138599</v>
      </c>
      <c r="M1138" t="s">
        <v>2330</v>
      </c>
      <c r="N1138" t="s">
        <v>2572</v>
      </c>
      <c r="O1138" t="s">
        <v>3054</v>
      </c>
      <c r="P1138" t="s">
        <v>3063</v>
      </c>
      <c r="Q1138" t="s">
        <v>3786</v>
      </c>
      <c r="R1138">
        <v>47.41</v>
      </c>
      <c r="S1138">
        <v>7</v>
      </c>
      <c r="T1138">
        <v>0.1</v>
      </c>
      <c r="U1138">
        <v>44.88</v>
      </c>
    </row>
    <row r="1139" spans="1:21" x14ac:dyDescent="0.3">
      <c r="A1139">
        <v>1138</v>
      </c>
      <c r="B1139" t="s">
        <v>1158</v>
      </c>
      <c r="C1139" s="2">
        <v>45292</v>
      </c>
      <c r="D1139" s="2">
        <v>45294</v>
      </c>
      <c r="E1139" t="s">
        <v>1523</v>
      </c>
      <c r="F1139" t="s">
        <v>1883</v>
      </c>
      <c r="G1139" t="s">
        <v>2246</v>
      </c>
      <c r="H1139" t="s">
        <v>2315</v>
      </c>
      <c r="I1139" t="s">
        <v>2317</v>
      </c>
      <c r="J1139" t="s">
        <v>2323</v>
      </c>
      <c r="K1139" t="s">
        <v>2323</v>
      </c>
      <c r="L1139">
        <v>232192</v>
      </c>
      <c r="M1139" t="s">
        <v>2328</v>
      </c>
      <c r="N1139" t="s">
        <v>2959</v>
      </c>
      <c r="O1139" t="s">
        <v>3054</v>
      </c>
      <c r="P1139" t="s">
        <v>3058</v>
      </c>
      <c r="Q1139" t="s">
        <v>3787</v>
      </c>
      <c r="R1139">
        <v>47.38</v>
      </c>
      <c r="S1139">
        <v>2</v>
      </c>
      <c r="T1139">
        <v>0.2</v>
      </c>
      <c r="U1139">
        <v>0.96</v>
      </c>
    </row>
    <row r="1140" spans="1:21" x14ac:dyDescent="0.3">
      <c r="A1140">
        <v>1139</v>
      </c>
      <c r="B1140" t="s">
        <v>1159</v>
      </c>
      <c r="C1140" s="2">
        <v>45858</v>
      </c>
      <c r="D1140" s="2">
        <v>45860</v>
      </c>
      <c r="E1140" t="s">
        <v>1521</v>
      </c>
      <c r="F1140" t="s">
        <v>1885</v>
      </c>
      <c r="G1140" t="s">
        <v>2102</v>
      </c>
      <c r="H1140" t="s">
        <v>2315</v>
      </c>
      <c r="I1140" t="s">
        <v>2317</v>
      </c>
      <c r="J1140" t="s">
        <v>2320</v>
      </c>
      <c r="K1140" t="s">
        <v>2320</v>
      </c>
      <c r="L1140">
        <v>314480</v>
      </c>
      <c r="M1140" t="s">
        <v>2330</v>
      </c>
      <c r="N1140" t="s">
        <v>2831</v>
      </c>
      <c r="O1140" t="s">
        <v>3054</v>
      </c>
      <c r="P1140" t="s">
        <v>3064</v>
      </c>
      <c r="Q1140" t="s">
        <v>3139</v>
      </c>
      <c r="R1140">
        <v>127.59</v>
      </c>
      <c r="S1140">
        <v>9</v>
      </c>
      <c r="T1140">
        <v>0</v>
      </c>
      <c r="U1140">
        <v>14.58</v>
      </c>
    </row>
    <row r="1141" spans="1:21" x14ac:dyDescent="0.3">
      <c r="A1141">
        <v>1140</v>
      </c>
      <c r="B1141" t="s">
        <v>1160</v>
      </c>
      <c r="C1141" s="2">
        <v>45662</v>
      </c>
      <c r="D1141" s="2">
        <v>45665</v>
      </c>
      <c r="E1141" t="s">
        <v>1524</v>
      </c>
      <c r="F1141" t="s">
        <v>1737</v>
      </c>
      <c r="G1141" t="s">
        <v>2008</v>
      </c>
      <c r="H1141" t="s">
        <v>2316</v>
      </c>
      <c r="I1141" t="s">
        <v>2317</v>
      </c>
      <c r="J1141" t="s">
        <v>2322</v>
      </c>
      <c r="K1141" t="s">
        <v>2322</v>
      </c>
      <c r="L1141">
        <v>363648</v>
      </c>
      <c r="M1141" t="s">
        <v>2331</v>
      </c>
      <c r="N1141" t="s">
        <v>2960</v>
      </c>
      <c r="O1141" t="s">
        <v>3054</v>
      </c>
      <c r="P1141" t="s">
        <v>3057</v>
      </c>
      <c r="Q1141" t="s">
        <v>3601</v>
      </c>
      <c r="R1141">
        <v>35.78</v>
      </c>
      <c r="S1141">
        <v>3</v>
      </c>
      <c r="T1141">
        <v>0.15</v>
      </c>
      <c r="U1141">
        <v>-6.23</v>
      </c>
    </row>
    <row r="1142" spans="1:21" x14ac:dyDescent="0.3">
      <c r="A1142">
        <v>1141</v>
      </c>
      <c r="B1142" t="s">
        <v>1161</v>
      </c>
      <c r="C1142" s="2">
        <v>45952</v>
      </c>
      <c r="D1142" s="2">
        <v>45954</v>
      </c>
      <c r="E1142" t="s">
        <v>1522</v>
      </c>
      <c r="F1142" t="s">
        <v>1828</v>
      </c>
      <c r="G1142" t="s">
        <v>2220</v>
      </c>
      <c r="H1142" t="s">
        <v>2314</v>
      </c>
      <c r="I1142" t="s">
        <v>2317</v>
      </c>
      <c r="J1142" t="s">
        <v>2324</v>
      </c>
      <c r="K1142" t="s">
        <v>2324</v>
      </c>
      <c r="L1142">
        <v>867877</v>
      </c>
      <c r="M1142" t="s">
        <v>2330</v>
      </c>
      <c r="N1142" t="s">
        <v>2528</v>
      </c>
      <c r="O1142" t="s">
        <v>3054</v>
      </c>
      <c r="P1142" t="s">
        <v>3057</v>
      </c>
      <c r="Q1142" t="s">
        <v>3353</v>
      </c>
      <c r="R1142">
        <v>59.47</v>
      </c>
      <c r="S1142">
        <v>2</v>
      </c>
      <c r="T1142">
        <v>0.3</v>
      </c>
      <c r="U1142">
        <v>13.46</v>
      </c>
    </row>
    <row r="1143" spans="1:21" x14ac:dyDescent="0.3">
      <c r="A1143">
        <v>1142</v>
      </c>
      <c r="B1143" t="s">
        <v>1162</v>
      </c>
      <c r="C1143" s="2">
        <v>45722</v>
      </c>
      <c r="D1143" s="2">
        <v>45726</v>
      </c>
      <c r="E1143" t="s">
        <v>1522</v>
      </c>
      <c r="F1143" t="s">
        <v>1725</v>
      </c>
      <c r="G1143" t="s">
        <v>2301</v>
      </c>
      <c r="H1143" t="s">
        <v>2315</v>
      </c>
      <c r="I1143" t="s">
        <v>2317</v>
      </c>
      <c r="J1143" t="s">
        <v>2323</v>
      </c>
      <c r="K1143" t="s">
        <v>2323</v>
      </c>
      <c r="L1143">
        <v>551758</v>
      </c>
      <c r="M1143" t="s">
        <v>2328</v>
      </c>
      <c r="N1143" t="s">
        <v>2795</v>
      </c>
      <c r="O1143" t="s">
        <v>3055</v>
      </c>
      <c r="P1143" t="s">
        <v>3061</v>
      </c>
      <c r="Q1143" t="s">
        <v>3543</v>
      </c>
      <c r="R1143">
        <v>647.1</v>
      </c>
      <c r="S1143">
        <v>6</v>
      </c>
      <c r="T1143">
        <v>0.05</v>
      </c>
      <c r="U1143">
        <v>83.76</v>
      </c>
    </row>
    <row r="1144" spans="1:21" x14ac:dyDescent="0.3">
      <c r="A1144">
        <v>1143</v>
      </c>
      <c r="B1144" t="s">
        <v>1163</v>
      </c>
      <c r="C1144" s="2">
        <v>45600</v>
      </c>
      <c r="D1144" s="2">
        <v>45602</v>
      </c>
      <c r="E1144" t="s">
        <v>1524</v>
      </c>
      <c r="F1144" t="s">
        <v>1860</v>
      </c>
      <c r="G1144" t="s">
        <v>2100</v>
      </c>
      <c r="H1144" t="s">
        <v>2314</v>
      </c>
      <c r="I1144" t="s">
        <v>2317</v>
      </c>
      <c r="J1144" t="s">
        <v>2322</v>
      </c>
      <c r="K1144" t="s">
        <v>2322</v>
      </c>
      <c r="L1144">
        <v>758166</v>
      </c>
      <c r="M1144" t="s">
        <v>2331</v>
      </c>
      <c r="N1144" t="s">
        <v>2714</v>
      </c>
      <c r="O1144" t="s">
        <v>3053</v>
      </c>
      <c r="P1144" t="s">
        <v>3062</v>
      </c>
      <c r="Q1144" t="s">
        <v>3782</v>
      </c>
      <c r="R1144">
        <v>786.37</v>
      </c>
      <c r="S1144">
        <v>9</v>
      </c>
      <c r="T1144">
        <v>0.15</v>
      </c>
      <c r="U1144">
        <v>29.46</v>
      </c>
    </row>
    <row r="1145" spans="1:21" x14ac:dyDescent="0.3">
      <c r="A1145">
        <v>1144</v>
      </c>
      <c r="B1145" t="s">
        <v>1164</v>
      </c>
      <c r="C1145" s="2">
        <v>45428</v>
      </c>
      <c r="D1145" s="2">
        <v>45433</v>
      </c>
      <c r="E1145" t="s">
        <v>1521</v>
      </c>
      <c r="F1145" t="s">
        <v>1850</v>
      </c>
      <c r="G1145" t="s">
        <v>2197</v>
      </c>
      <c r="H1145" t="s">
        <v>2314</v>
      </c>
      <c r="I1145" t="s">
        <v>2317</v>
      </c>
      <c r="J1145" t="s">
        <v>2325</v>
      </c>
      <c r="K1145" t="s">
        <v>2325</v>
      </c>
      <c r="L1145">
        <v>753570</v>
      </c>
      <c r="M1145" t="s">
        <v>2332</v>
      </c>
      <c r="N1145" t="s">
        <v>2927</v>
      </c>
      <c r="O1145" t="s">
        <v>3053</v>
      </c>
      <c r="P1145" t="s">
        <v>3062</v>
      </c>
      <c r="Q1145" t="s">
        <v>3596</v>
      </c>
      <c r="R1145">
        <v>446.48</v>
      </c>
      <c r="S1145">
        <v>6</v>
      </c>
      <c r="T1145">
        <v>0.15</v>
      </c>
      <c r="U1145">
        <v>-8.59</v>
      </c>
    </row>
    <row r="1146" spans="1:21" x14ac:dyDescent="0.3">
      <c r="A1146">
        <v>1145</v>
      </c>
      <c r="B1146" t="s">
        <v>1165</v>
      </c>
      <c r="C1146" s="2">
        <v>45493</v>
      </c>
      <c r="D1146" s="2">
        <v>45497</v>
      </c>
      <c r="E1146" t="s">
        <v>1521</v>
      </c>
      <c r="F1146" t="s">
        <v>1855</v>
      </c>
      <c r="G1146" t="s">
        <v>2005</v>
      </c>
      <c r="H1146" t="s">
        <v>2315</v>
      </c>
      <c r="I1146" t="s">
        <v>2317</v>
      </c>
      <c r="J1146" t="s">
        <v>2325</v>
      </c>
      <c r="K1146" t="s">
        <v>2325</v>
      </c>
      <c r="L1146">
        <v>681690</v>
      </c>
      <c r="M1146" t="s">
        <v>2332</v>
      </c>
      <c r="N1146" t="s">
        <v>2961</v>
      </c>
      <c r="O1146" t="s">
        <v>3053</v>
      </c>
      <c r="P1146" t="s">
        <v>3066</v>
      </c>
      <c r="Q1146" t="s">
        <v>3346</v>
      </c>
      <c r="R1146">
        <v>52.39</v>
      </c>
      <c r="S1146">
        <v>6</v>
      </c>
      <c r="T1146">
        <v>0.1</v>
      </c>
      <c r="U1146">
        <v>-3.69</v>
      </c>
    </row>
    <row r="1147" spans="1:21" x14ac:dyDescent="0.3">
      <c r="A1147">
        <v>1146</v>
      </c>
      <c r="B1147" t="s">
        <v>1166</v>
      </c>
      <c r="C1147" s="2">
        <v>45727</v>
      </c>
      <c r="D1147" s="2">
        <v>45733</v>
      </c>
      <c r="E1147" t="s">
        <v>1524</v>
      </c>
      <c r="F1147" t="s">
        <v>1676</v>
      </c>
      <c r="G1147" t="s">
        <v>2106</v>
      </c>
      <c r="H1147" t="s">
        <v>2316</v>
      </c>
      <c r="I1147" t="s">
        <v>2317</v>
      </c>
      <c r="J1147" t="s">
        <v>2326</v>
      </c>
      <c r="K1147" t="s">
        <v>2326</v>
      </c>
      <c r="L1147">
        <v>130568</v>
      </c>
      <c r="M1147" t="s">
        <v>2331</v>
      </c>
      <c r="N1147" t="s">
        <v>2962</v>
      </c>
      <c r="O1147" t="s">
        <v>3053</v>
      </c>
      <c r="P1147" t="s">
        <v>3066</v>
      </c>
      <c r="Q1147" t="s">
        <v>3096</v>
      </c>
      <c r="R1147">
        <v>167.98</v>
      </c>
      <c r="S1147">
        <v>4</v>
      </c>
      <c r="T1147">
        <v>0.15</v>
      </c>
      <c r="U1147">
        <v>22.25</v>
      </c>
    </row>
    <row r="1148" spans="1:21" x14ac:dyDescent="0.3">
      <c r="A1148">
        <v>1147</v>
      </c>
      <c r="B1148" t="s">
        <v>1167</v>
      </c>
      <c r="C1148" s="2">
        <v>45604</v>
      </c>
      <c r="D1148" s="2">
        <v>45607</v>
      </c>
      <c r="E1148" t="s">
        <v>1523</v>
      </c>
      <c r="F1148" t="s">
        <v>1784</v>
      </c>
      <c r="G1148" t="s">
        <v>2151</v>
      </c>
      <c r="H1148" t="s">
        <v>2315</v>
      </c>
      <c r="I1148" t="s">
        <v>2317</v>
      </c>
      <c r="J1148" t="s">
        <v>2327</v>
      </c>
      <c r="K1148" t="s">
        <v>2327</v>
      </c>
      <c r="L1148">
        <v>275477</v>
      </c>
      <c r="M1148" t="s">
        <v>2330</v>
      </c>
      <c r="N1148" t="s">
        <v>2862</v>
      </c>
      <c r="O1148" t="s">
        <v>3054</v>
      </c>
      <c r="P1148" t="s">
        <v>3063</v>
      </c>
      <c r="Q1148" t="s">
        <v>3450</v>
      </c>
      <c r="R1148">
        <v>76.150000000000006</v>
      </c>
      <c r="S1148">
        <v>3</v>
      </c>
      <c r="T1148">
        <v>0.15</v>
      </c>
      <c r="U1148">
        <v>9.43</v>
      </c>
    </row>
    <row r="1149" spans="1:21" x14ac:dyDescent="0.3">
      <c r="A1149">
        <v>1148</v>
      </c>
      <c r="B1149" t="s">
        <v>1168</v>
      </c>
      <c r="C1149" s="2">
        <v>45408</v>
      </c>
      <c r="D1149" s="2">
        <v>45414</v>
      </c>
      <c r="E1149" t="s">
        <v>1521</v>
      </c>
      <c r="F1149" t="s">
        <v>1650</v>
      </c>
      <c r="G1149" t="s">
        <v>2226</v>
      </c>
      <c r="H1149" t="s">
        <v>2314</v>
      </c>
      <c r="I1149" t="s">
        <v>2317</v>
      </c>
      <c r="J1149" t="s">
        <v>2319</v>
      </c>
      <c r="K1149" t="s">
        <v>2319</v>
      </c>
      <c r="L1149">
        <v>168590</v>
      </c>
      <c r="M1149" t="s">
        <v>2329</v>
      </c>
      <c r="N1149" t="s">
        <v>2850</v>
      </c>
      <c r="O1149" t="s">
        <v>3054</v>
      </c>
      <c r="P1149" t="s">
        <v>3064</v>
      </c>
      <c r="Q1149" t="s">
        <v>3788</v>
      </c>
      <c r="R1149">
        <v>145.22</v>
      </c>
      <c r="S1149">
        <v>4</v>
      </c>
      <c r="T1149">
        <v>0.1</v>
      </c>
      <c r="U1149">
        <v>-30.72</v>
      </c>
    </row>
    <row r="1150" spans="1:21" x14ac:dyDescent="0.3">
      <c r="A1150">
        <v>1149</v>
      </c>
      <c r="B1150" t="s">
        <v>1169</v>
      </c>
      <c r="C1150" s="2">
        <v>45957</v>
      </c>
      <c r="D1150" s="2">
        <v>45961</v>
      </c>
      <c r="E1150" t="s">
        <v>1523</v>
      </c>
      <c r="F1150" t="s">
        <v>1561</v>
      </c>
      <c r="G1150" t="s">
        <v>2302</v>
      </c>
      <c r="H1150" t="s">
        <v>2314</v>
      </c>
      <c r="I1150" t="s">
        <v>2317</v>
      </c>
      <c r="J1150" t="s">
        <v>2321</v>
      </c>
      <c r="K1150" t="s">
        <v>2321</v>
      </c>
      <c r="L1150">
        <v>535128</v>
      </c>
      <c r="M1150" t="s">
        <v>2329</v>
      </c>
      <c r="N1150" t="s">
        <v>2340</v>
      </c>
      <c r="O1150" t="s">
        <v>3054</v>
      </c>
      <c r="P1150" t="s">
        <v>3063</v>
      </c>
      <c r="Q1150" t="s">
        <v>3545</v>
      </c>
      <c r="R1150">
        <v>80.06</v>
      </c>
      <c r="S1150">
        <v>9</v>
      </c>
      <c r="T1150">
        <v>0.2</v>
      </c>
      <c r="U1150">
        <v>5.59</v>
      </c>
    </row>
    <row r="1151" spans="1:21" x14ac:dyDescent="0.3">
      <c r="A1151">
        <v>1150</v>
      </c>
      <c r="B1151" t="s">
        <v>1170</v>
      </c>
      <c r="C1151" s="2">
        <v>45866</v>
      </c>
      <c r="D1151" s="2">
        <v>45870</v>
      </c>
      <c r="E1151" t="s">
        <v>1522</v>
      </c>
      <c r="F1151" t="s">
        <v>1882</v>
      </c>
      <c r="G1151" t="s">
        <v>1923</v>
      </c>
      <c r="H1151" t="s">
        <v>2315</v>
      </c>
      <c r="I1151" t="s">
        <v>2317</v>
      </c>
      <c r="J1151" t="s">
        <v>2318</v>
      </c>
      <c r="K1151" t="s">
        <v>2318</v>
      </c>
      <c r="L1151">
        <v>682187</v>
      </c>
      <c r="M1151" t="s">
        <v>2328</v>
      </c>
      <c r="N1151" t="s">
        <v>2766</v>
      </c>
      <c r="O1151" t="s">
        <v>3053</v>
      </c>
      <c r="P1151" t="s">
        <v>3066</v>
      </c>
      <c r="Q1151" t="s">
        <v>3789</v>
      </c>
      <c r="R1151">
        <v>516.28</v>
      </c>
      <c r="S1151">
        <v>7</v>
      </c>
      <c r="T1151">
        <v>0.3</v>
      </c>
      <c r="U1151">
        <v>-67.95</v>
      </c>
    </row>
    <row r="1152" spans="1:21" x14ac:dyDescent="0.3">
      <c r="A1152">
        <v>1151</v>
      </c>
      <c r="B1152" t="s">
        <v>1171</v>
      </c>
      <c r="C1152" s="2">
        <v>45535</v>
      </c>
      <c r="D1152" s="2">
        <v>45540</v>
      </c>
      <c r="E1152" t="s">
        <v>1522</v>
      </c>
      <c r="F1152" t="s">
        <v>1827</v>
      </c>
      <c r="G1152" t="s">
        <v>2251</v>
      </c>
      <c r="H1152" t="s">
        <v>2316</v>
      </c>
      <c r="I1152" t="s">
        <v>2317</v>
      </c>
      <c r="J1152" t="s">
        <v>2322</v>
      </c>
      <c r="K1152" t="s">
        <v>2322</v>
      </c>
      <c r="L1152">
        <v>320408</v>
      </c>
      <c r="M1152" t="s">
        <v>2331</v>
      </c>
      <c r="N1152" t="s">
        <v>2963</v>
      </c>
      <c r="O1152" t="s">
        <v>3055</v>
      </c>
      <c r="P1152" t="s">
        <v>3059</v>
      </c>
      <c r="Q1152" t="s">
        <v>3790</v>
      </c>
      <c r="R1152">
        <v>398.81</v>
      </c>
      <c r="S1152">
        <v>1</v>
      </c>
      <c r="T1152">
        <v>0.15</v>
      </c>
      <c r="U1152">
        <v>22.02</v>
      </c>
    </row>
    <row r="1153" spans="1:21" x14ac:dyDescent="0.3">
      <c r="A1153">
        <v>1152</v>
      </c>
      <c r="B1153" t="s">
        <v>1172</v>
      </c>
      <c r="C1153" s="2">
        <v>45828</v>
      </c>
      <c r="D1153" s="2">
        <v>45831</v>
      </c>
      <c r="E1153" t="s">
        <v>1522</v>
      </c>
      <c r="F1153" t="s">
        <v>1905</v>
      </c>
      <c r="G1153" t="s">
        <v>1962</v>
      </c>
      <c r="H1153" t="s">
        <v>2315</v>
      </c>
      <c r="I1153" t="s">
        <v>2317</v>
      </c>
      <c r="J1153" t="s">
        <v>2324</v>
      </c>
      <c r="K1153" t="s">
        <v>2324</v>
      </c>
      <c r="L1153">
        <v>725782</v>
      </c>
      <c r="M1153" t="s">
        <v>2330</v>
      </c>
      <c r="N1153" t="s">
        <v>2964</v>
      </c>
      <c r="O1153" t="s">
        <v>3055</v>
      </c>
      <c r="P1153" t="s">
        <v>3059</v>
      </c>
      <c r="Q1153" t="s">
        <v>3660</v>
      </c>
      <c r="R1153">
        <v>469.55</v>
      </c>
      <c r="S1153">
        <v>2</v>
      </c>
      <c r="T1153">
        <v>0.3</v>
      </c>
      <c r="U1153">
        <v>-52.49</v>
      </c>
    </row>
    <row r="1154" spans="1:21" x14ac:dyDescent="0.3">
      <c r="A1154">
        <v>1153</v>
      </c>
      <c r="B1154" t="s">
        <v>1173</v>
      </c>
      <c r="C1154" s="2">
        <v>45893</v>
      </c>
      <c r="D1154" s="2">
        <v>45894</v>
      </c>
      <c r="E1154" t="s">
        <v>1524</v>
      </c>
      <c r="F1154" t="s">
        <v>1585</v>
      </c>
      <c r="G1154" t="s">
        <v>1937</v>
      </c>
      <c r="H1154" t="s">
        <v>2315</v>
      </c>
      <c r="I1154" t="s">
        <v>2317</v>
      </c>
      <c r="J1154" t="s">
        <v>2318</v>
      </c>
      <c r="K1154" t="s">
        <v>2318</v>
      </c>
      <c r="L1154">
        <v>509180</v>
      </c>
      <c r="M1154" t="s">
        <v>2328</v>
      </c>
      <c r="N1154" t="s">
        <v>2773</v>
      </c>
      <c r="O1154" t="s">
        <v>3053</v>
      </c>
      <c r="P1154" t="s">
        <v>3062</v>
      </c>
      <c r="Q1154" t="s">
        <v>3791</v>
      </c>
      <c r="R1154">
        <v>407.17</v>
      </c>
      <c r="S1154">
        <v>5</v>
      </c>
      <c r="T1154">
        <v>0.1</v>
      </c>
      <c r="U1154">
        <v>17.899999999999999</v>
      </c>
    </row>
    <row r="1155" spans="1:21" x14ac:dyDescent="0.3">
      <c r="A1155">
        <v>1154</v>
      </c>
      <c r="B1155" t="s">
        <v>1174</v>
      </c>
      <c r="C1155" s="2">
        <v>45366</v>
      </c>
      <c r="D1155" s="2">
        <v>45368</v>
      </c>
      <c r="E1155" t="s">
        <v>1524</v>
      </c>
      <c r="F1155" t="s">
        <v>1881</v>
      </c>
      <c r="G1155" t="s">
        <v>1930</v>
      </c>
      <c r="H1155" t="s">
        <v>2316</v>
      </c>
      <c r="I1155" t="s">
        <v>2317</v>
      </c>
      <c r="J1155" t="s">
        <v>2324</v>
      </c>
      <c r="K1155" t="s">
        <v>2324</v>
      </c>
      <c r="L1155">
        <v>335787</v>
      </c>
      <c r="M1155" t="s">
        <v>2330</v>
      </c>
      <c r="N1155" t="s">
        <v>2669</v>
      </c>
      <c r="O1155" t="s">
        <v>3055</v>
      </c>
      <c r="P1155" t="s">
        <v>3067</v>
      </c>
      <c r="Q1155" t="s">
        <v>3792</v>
      </c>
      <c r="R1155">
        <v>888.96</v>
      </c>
      <c r="S1155">
        <v>1</v>
      </c>
      <c r="T1155">
        <v>0.3</v>
      </c>
      <c r="U1155">
        <v>2.86</v>
      </c>
    </row>
    <row r="1156" spans="1:21" x14ac:dyDescent="0.3">
      <c r="A1156">
        <v>1155</v>
      </c>
      <c r="B1156" t="s">
        <v>1175</v>
      </c>
      <c r="C1156" s="2">
        <v>45677</v>
      </c>
      <c r="D1156" s="2">
        <v>45683</v>
      </c>
      <c r="E1156" t="s">
        <v>1522</v>
      </c>
      <c r="F1156" t="s">
        <v>1906</v>
      </c>
      <c r="G1156" t="s">
        <v>2089</v>
      </c>
      <c r="H1156" t="s">
        <v>2316</v>
      </c>
      <c r="I1156" t="s">
        <v>2317</v>
      </c>
      <c r="J1156" t="s">
        <v>2318</v>
      </c>
      <c r="K1156" t="s">
        <v>2318</v>
      </c>
      <c r="L1156">
        <v>934385</v>
      </c>
      <c r="M1156" t="s">
        <v>2328</v>
      </c>
      <c r="N1156" t="s">
        <v>2727</v>
      </c>
      <c r="O1156" t="s">
        <v>3055</v>
      </c>
      <c r="P1156" t="s">
        <v>3067</v>
      </c>
      <c r="Q1156" t="s">
        <v>3488</v>
      </c>
      <c r="R1156">
        <v>617.48</v>
      </c>
      <c r="S1156">
        <v>8</v>
      </c>
      <c r="T1156">
        <v>0.1</v>
      </c>
      <c r="U1156">
        <v>50.16</v>
      </c>
    </row>
    <row r="1157" spans="1:21" x14ac:dyDescent="0.3">
      <c r="A1157">
        <v>1156</v>
      </c>
      <c r="B1157" t="s">
        <v>1176</v>
      </c>
      <c r="C1157" s="2">
        <v>45501</v>
      </c>
      <c r="D1157" s="2">
        <v>45507</v>
      </c>
      <c r="E1157" t="s">
        <v>1521</v>
      </c>
      <c r="F1157" t="s">
        <v>1655</v>
      </c>
      <c r="G1157" t="s">
        <v>2103</v>
      </c>
      <c r="H1157" t="s">
        <v>2316</v>
      </c>
      <c r="I1157" t="s">
        <v>2317</v>
      </c>
      <c r="J1157" t="s">
        <v>2322</v>
      </c>
      <c r="K1157" t="s">
        <v>2322</v>
      </c>
      <c r="L1157">
        <v>312243</v>
      </c>
      <c r="M1157" t="s">
        <v>2331</v>
      </c>
      <c r="N1157" t="s">
        <v>2965</v>
      </c>
      <c r="O1157" t="s">
        <v>3054</v>
      </c>
      <c r="P1157" t="s">
        <v>3057</v>
      </c>
      <c r="Q1157" t="s">
        <v>3421</v>
      </c>
      <c r="R1157">
        <v>56.22</v>
      </c>
      <c r="S1157">
        <v>4</v>
      </c>
      <c r="T1157">
        <v>0.1</v>
      </c>
      <c r="U1157">
        <v>-27.09</v>
      </c>
    </row>
    <row r="1158" spans="1:21" x14ac:dyDescent="0.3">
      <c r="A1158">
        <v>1157</v>
      </c>
      <c r="B1158" t="s">
        <v>1177</v>
      </c>
      <c r="C1158" s="2">
        <v>45766</v>
      </c>
      <c r="D1158" s="2">
        <v>45772</v>
      </c>
      <c r="E1158" t="s">
        <v>1521</v>
      </c>
      <c r="F1158" t="s">
        <v>1585</v>
      </c>
      <c r="G1158" t="s">
        <v>2161</v>
      </c>
      <c r="H1158" t="s">
        <v>2316</v>
      </c>
      <c r="I1158" t="s">
        <v>2317</v>
      </c>
      <c r="J1158" t="s">
        <v>2321</v>
      </c>
      <c r="K1158" t="s">
        <v>2321</v>
      </c>
      <c r="L1158">
        <v>848141</v>
      </c>
      <c r="M1158" t="s">
        <v>2329</v>
      </c>
      <c r="N1158" t="s">
        <v>2495</v>
      </c>
      <c r="O1158" t="s">
        <v>3054</v>
      </c>
      <c r="P1158" t="s">
        <v>3064</v>
      </c>
      <c r="Q1158" t="s">
        <v>3505</v>
      </c>
      <c r="R1158">
        <v>88.63</v>
      </c>
      <c r="S1158">
        <v>6</v>
      </c>
      <c r="T1158">
        <v>0.3</v>
      </c>
      <c r="U1158">
        <v>-28.1</v>
      </c>
    </row>
    <row r="1159" spans="1:21" x14ac:dyDescent="0.3">
      <c r="A1159">
        <v>1158</v>
      </c>
      <c r="B1159" t="s">
        <v>1178</v>
      </c>
      <c r="C1159" s="2">
        <v>45709</v>
      </c>
      <c r="D1159" s="2">
        <v>45711</v>
      </c>
      <c r="E1159" t="s">
        <v>1521</v>
      </c>
      <c r="F1159" t="s">
        <v>1888</v>
      </c>
      <c r="G1159" t="s">
        <v>2127</v>
      </c>
      <c r="H1159" t="s">
        <v>2315</v>
      </c>
      <c r="I1159" t="s">
        <v>2317</v>
      </c>
      <c r="J1159" t="s">
        <v>2318</v>
      </c>
      <c r="K1159" t="s">
        <v>2318</v>
      </c>
      <c r="L1159">
        <v>330582</v>
      </c>
      <c r="M1159" t="s">
        <v>2328</v>
      </c>
      <c r="N1159" t="s">
        <v>2713</v>
      </c>
      <c r="O1159" t="s">
        <v>3053</v>
      </c>
      <c r="P1159" t="s">
        <v>3066</v>
      </c>
      <c r="Q1159" t="s">
        <v>3793</v>
      </c>
      <c r="R1159">
        <v>373.93</v>
      </c>
      <c r="S1159">
        <v>7</v>
      </c>
      <c r="T1159">
        <v>0.2</v>
      </c>
      <c r="U1159">
        <v>29.41</v>
      </c>
    </row>
    <row r="1160" spans="1:21" x14ac:dyDescent="0.3">
      <c r="A1160">
        <v>1159</v>
      </c>
      <c r="B1160" t="s">
        <v>1179</v>
      </c>
      <c r="C1160" s="2">
        <v>45638</v>
      </c>
      <c r="D1160" s="2">
        <v>45640</v>
      </c>
      <c r="E1160" t="s">
        <v>1522</v>
      </c>
      <c r="F1160" t="s">
        <v>1624</v>
      </c>
      <c r="G1160" t="s">
        <v>1938</v>
      </c>
      <c r="H1160" t="s">
        <v>2316</v>
      </c>
      <c r="I1160" t="s">
        <v>2317</v>
      </c>
      <c r="J1160" t="s">
        <v>2322</v>
      </c>
      <c r="K1160" t="s">
        <v>2322</v>
      </c>
      <c r="L1160">
        <v>637476</v>
      </c>
      <c r="M1160" t="s">
        <v>2331</v>
      </c>
      <c r="N1160" t="s">
        <v>2478</v>
      </c>
      <c r="O1160" t="s">
        <v>3055</v>
      </c>
      <c r="P1160" t="s">
        <v>3061</v>
      </c>
      <c r="Q1160" t="s">
        <v>3794</v>
      </c>
      <c r="R1160">
        <v>901.55</v>
      </c>
      <c r="S1160">
        <v>1</v>
      </c>
      <c r="T1160">
        <v>0.15</v>
      </c>
      <c r="U1160">
        <v>60.22</v>
      </c>
    </row>
    <row r="1161" spans="1:21" x14ac:dyDescent="0.3">
      <c r="A1161">
        <v>1160</v>
      </c>
      <c r="B1161" t="s">
        <v>1180</v>
      </c>
      <c r="C1161" s="2">
        <v>45820</v>
      </c>
      <c r="D1161" s="2">
        <v>45825</v>
      </c>
      <c r="E1161" t="s">
        <v>1521</v>
      </c>
      <c r="F1161" t="s">
        <v>1723</v>
      </c>
      <c r="G1161" t="s">
        <v>2300</v>
      </c>
      <c r="H1161" t="s">
        <v>2314</v>
      </c>
      <c r="I1161" t="s">
        <v>2317</v>
      </c>
      <c r="J1161" t="s">
        <v>2320</v>
      </c>
      <c r="K1161" t="s">
        <v>2320</v>
      </c>
      <c r="L1161">
        <v>251015</v>
      </c>
      <c r="M1161" t="s">
        <v>2330</v>
      </c>
      <c r="N1161" t="s">
        <v>2965</v>
      </c>
      <c r="O1161" t="s">
        <v>3053</v>
      </c>
      <c r="P1161" t="s">
        <v>3056</v>
      </c>
      <c r="Q1161" t="s">
        <v>3795</v>
      </c>
      <c r="R1161">
        <v>117.04</v>
      </c>
      <c r="S1161">
        <v>5</v>
      </c>
      <c r="T1161">
        <v>0.05</v>
      </c>
      <c r="U1161">
        <v>15.51</v>
      </c>
    </row>
    <row r="1162" spans="1:21" x14ac:dyDescent="0.3">
      <c r="A1162">
        <v>1161</v>
      </c>
      <c r="B1162" t="s">
        <v>1181</v>
      </c>
      <c r="C1162" s="2">
        <v>45931</v>
      </c>
      <c r="D1162" s="2">
        <v>45933</v>
      </c>
      <c r="E1162" t="s">
        <v>1522</v>
      </c>
      <c r="F1162" t="s">
        <v>1851</v>
      </c>
      <c r="G1162" t="s">
        <v>2171</v>
      </c>
      <c r="H1162" t="s">
        <v>2315</v>
      </c>
      <c r="I1162" t="s">
        <v>2317</v>
      </c>
      <c r="J1162" t="s">
        <v>2321</v>
      </c>
      <c r="K1162" t="s">
        <v>2321</v>
      </c>
      <c r="L1162">
        <v>664312</v>
      </c>
      <c r="M1162" t="s">
        <v>2329</v>
      </c>
      <c r="N1162" t="s">
        <v>2836</v>
      </c>
      <c r="O1162" t="s">
        <v>3055</v>
      </c>
      <c r="P1162" t="s">
        <v>3061</v>
      </c>
      <c r="Q1162" t="s">
        <v>3206</v>
      </c>
      <c r="R1162">
        <v>230.34</v>
      </c>
      <c r="S1162">
        <v>2</v>
      </c>
      <c r="T1162">
        <v>0.15</v>
      </c>
      <c r="U1162">
        <v>17.22</v>
      </c>
    </row>
    <row r="1163" spans="1:21" x14ac:dyDescent="0.3">
      <c r="A1163">
        <v>1162</v>
      </c>
      <c r="B1163" t="s">
        <v>1182</v>
      </c>
      <c r="C1163" s="2">
        <v>45470</v>
      </c>
      <c r="D1163" s="2">
        <v>45471</v>
      </c>
      <c r="E1163" t="s">
        <v>1523</v>
      </c>
      <c r="F1163" t="s">
        <v>1560</v>
      </c>
      <c r="G1163" t="s">
        <v>2085</v>
      </c>
      <c r="H1163" t="s">
        <v>2314</v>
      </c>
      <c r="I1163" t="s">
        <v>2317</v>
      </c>
      <c r="J1163" t="s">
        <v>2323</v>
      </c>
      <c r="K1163" t="s">
        <v>2323</v>
      </c>
      <c r="L1163">
        <v>133677</v>
      </c>
      <c r="M1163" t="s">
        <v>2328</v>
      </c>
      <c r="N1163" t="s">
        <v>2966</v>
      </c>
      <c r="O1163" t="s">
        <v>3054</v>
      </c>
      <c r="P1163" t="s">
        <v>3058</v>
      </c>
      <c r="Q1163" t="s">
        <v>3769</v>
      </c>
      <c r="R1163">
        <v>10.66</v>
      </c>
      <c r="S1163">
        <v>4</v>
      </c>
      <c r="T1163">
        <v>0</v>
      </c>
      <c r="U1163">
        <v>8.61</v>
      </c>
    </row>
    <row r="1164" spans="1:21" x14ac:dyDescent="0.3">
      <c r="A1164">
        <v>1163</v>
      </c>
      <c r="B1164" t="s">
        <v>1183</v>
      </c>
      <c r="C1164" s="2">
        <v>45473</v>
      </c>
      <c r="D1164" s="2">
        <v>45477</v>
      </c>
      <c r="E1164" t="s">
        <v>1521</v>
      </c>
      <c r="F1164" t="s">
        <v>1709</v>
      </c>
      <c r="G1164" t="s">
        <v>2196</v>
      </c>
      <c r="H1164" t="s">
        <v>2314</v>
      </c>
      <c r="I1164" t="s">
        <v>2317</v>
      </c>
      <c r="J1164" t="s">
        <v>2324</v>
      </c>
      <c r="K1164" t="s">
        <v>2324</v>
      </c>
      <c r="L1164">
        <v>367401</v>
      </c>
      <c r="M1164" t="s">
        <v>2330</v>
      </c>
      <c r="N1164" t="s">
        <v>2967</v>
      </c>
      <c r="O1164" t="s">
        <v>3053</v>
      </c>
      <c r="P1164" t="s">
        <v>3056</v>
      </c>
      <c r="Q1164" t="s">
        <v>3367</v>
      </c>
      <c r="R1164">
        <v>139.52000000000001</v>
      </c>
      <c r="S1164">
        <v>3</v>
      </c>
      <c r="T1164">
        <v>0.3</v>
      </c>
      <c r="U1164">
        <v>-17.55</v>
      </c>
    </row>
    <row r="1165" spans="1:21" x14ac:dyDescent="0.3">
      <c r="A1165">
        <v>1164</v>
      </c>
      <c r="B1165" t="s">
        <v>1184</v>
      </c>
      <c r="C1165" s="2">
        <v>45955</v>
      </c>
      <c r="D1165" s="2">
        <v>45959</v>
      </c>
      <c r="E1165" t="s">
        <v>1524</v>
      </c>
      <c r="F1165" t="s">
        <v>1776</v>
      </c>
      <c r="G1165" t="s">
        <v>2211</v>
      </c>
      <c r="H1165" t="s">
        <v>2316</v>
      </c>
      <c r="I1165" t="s">
        <v>2317</v>
      </c>
      <c r="J1165" t="s">
        <v>2325</v>
      </c>
      <c r="K1165" t="s">
        <v>2325</v>
      </c>
      <c r="L1165">
        <v>322172</v>
      </c>
      <c r="M1165" t="s">
        <v>2332</v>
      </c>
      <c r="N1165" t="s">
        <v>2968</v>
      </c>
      <c r="O1165" t="s">
        <v>3053</v>
      </c>
      <c r="P1165" t="s">
        <v>3065</v>
      </c>
      <c r="Q1165" t="s">
        <v>3796</v>
      </c>
      <c r="R1165">
        <v>333.34</v>
      </c>
      <c r="S1165">
        <v>2</v>
      </c>
      <c r="T1165">
        <v>0.2</v>
      </c>
      <c r="U1165">
        <v>-16.32</v>
      </c>
    </row>
    <row r="1166" spans="1:21" x14ac:dyDescent="0.3">
      <c r="A1166">
        <v>1165</v>
      </c>
      <c r="B1166" t="s">
        <v>1185</v>
      </c>
      <c r="C1166" s="2">
        <v>45316</v>
      </c>
      <c r="D1166" s="2">
        <v>45319</v>
      </c>
      <c r="E1166" t="s">
        <v>1523</v>
      </c>
      <c r="F1166" t="s">
        <v>1602</v>
      </c>
      <c r="G1166" t="s">
        <v>2303</v>
      </c>
      <c r="H1166" t="s">
        <v>2315</v>
      </c>
      <c r="I1166" t="s">
        <v>2317</v>
      </c>
      <c r="J1166" t="s">
        <v>2327</v>
      </c>
      <c r="K1166" t="s">
        <v>2327</v>
      </c>
      <c r="L1166">
        <v>610452</v>
      </c>
      <c r="M1166" t="s">
        <v>2330</v>
      </c>
      <c r="N1166" t="s">
        <v>2416</v>
      </c>
      <c r="O1166" t="s">
        <v>3053</v>
      </c>
      <c r="P1166" t="s">
        <v>3065</v>
      </c>
      <c r="Q1166" t="s">
        <v>3797</v>
      </c>
      <c r="R1166">
        <v>64.41</v>
      </c>
      <c r="S1166">
        <v>3</v>
      </c>
      <c r="T1166">
        <v>0.15</v>
      </c>
      <c r="U1166">
        <v>-54.12</v>
      </c>
    </row>
    <row r="1167" spans="1:21" x14ac:dyDescent="0.3">
      <c r="A1167">
        <v>1166</v>
      </c>
      <c r="B1167" t="s">
        <v>1186</v>
      </c>
      <c r="C1167" s="2">
        <v>45471</v>
      </c>
      <c r="D1167" s="2">
        <v>45474</v>
      </c>
      <c r="E1167" t="s">
        <v>1522</v>
      </c>
      <c r="F1167" t="s">
        <v>1846</v>
      </c>
      <c r="G1167" t="s">
        <v>1970</v>
      </c>
      <c r="H1167" t="s">
        <v>2315</v>
      </c>
      <c r="I1167" t="s">
        <v>2317</v>
      </c>
      <c r="J1167" t="s">
        <v>2325</v>
      </c>
      <c r="K1167" t="s">
        <v>2325</v>
      </c>
      <c r="L1167">
        <v>427716</v>
      </c>
      <c r="M1167" t="s">
        <v>2332</v>
      </c>
      <c r="N1167" t="s">
        <v>2730</v>
      </c>
      <c r="O1167" t="s">
        <v>3055</v>
      </c>
      <c r="P1167" t="s">
        <v>3067</v>
      </c>
      <c r="Q1167" t="s">
        <v>3201</v>
      </c>
      <c r="R1167">
        <v>190.89</v>
      </c>
      <c r="S1167">
        <v>4</v>
      </c>
      <c r="T1167">
        <v>0.15</v>
      </c>
      <c r="U1167">
        <v>46</v>
      </c>
    </row>
    <row r="1168" spans="1:21" x14ac:dyDescent="0.3">
      <c r="A1168">
        <v>1167</v>
      </c>
      <c r="B1168" t="s">
        <v>1187</v>
      </c>
      <c r="C1168" s="2">
        <v>46001</v>
      </c>
      <c r="D1168" s="2">
        <v>46006</v>
      </c>
      <c r="E1168" t="s">
        <v>1523</v>
      </c>
      <c r="F1168" t="s">
        <v>1804</v>
      </c>
      <c r="G1168" t="s">
        <v>2097</v>
      </c>
      <c r="H1168" t="s">
        <v>2315</v>
      </c>
      <c r="I1168" t="s">
        <v>2317</v>
      </c>
      <c r="J1168" t="s">
        <v>2321</v>
      </c>
      <c r="K1168" t="s">
        <v>2321</v>
      </c>
      <c r="L1168">
        <v>484560</v>
      </c>
      <c r="M1168" t="s">
        <v>2329</v>
      </c>
      <c r="N1168" t="s">
        <v>2781</v>
      </c>
      <c r="O1168" t="s">
        <v>3054</v>
      </c>
      <c r="P1168" t="s">
        <v>3057</v>
      </c>
      <c r="Q1168" t="s">
        <v>3626</v>
      </c>
      <c r="R1168">
        <v>40.049999999999997</v>
      </c>
      <c r="S1168">
        <v>4</v>
      </c>
      <c r="T1168">
        <v>0.1</v>
      </c>
      <c r="U1168">
        <v>15.62</v>
      </c>
    </row>
    <row r="1169" spans="1:21" x14ac:dyDescent="0.3">
      <c r="A1169">
        <v>1168</v>
      </c>
      <c r="B1169" t="s">
        <v>1188</v>
      </c>
      <c r="C1169" s="2">
        <v>45792</v>
      </c>
      <c r="D1169" s="2">
        <v>45793</v>
      </c>
      <c r="E1169" t="s">
        <v>1522</v>
      </c>
      <c r="F1169" t="s">
        <v>1712</v>
      </c>
      <c r="G1169" t="s">
        <v>2005</v>
      </c>
      <c r="H1169" t="s">
        <v>2314</v>
      </c>
      <c r="I1169" t="s">
        <v>2317</v>
      </c>
      <c r="J1169" t="s">
        <v>2323</v>
      </c>
      <c r="K1169" t="s">
        <v>2323</v>
      </c>
      <c r="L1169">
        <v>177354</v>
      </c>
      <c r="M1169" t="s">
        <v>2328</v>
      </c>
      <c r="N1169" t="s">
        <v>2395</v>
      </c>
      <c r="O1169" t="s">
        <v>3054</v>
      </c>
      <c r="P1169" t="s">
        <v>3057</v>
      </c>
      <c r="Q1169" t="s">
        <v>3100</v>
      </c>
      <c r="R1169">
        <v>33.340000000000003</v>
      </c>
      <c r="S1169">
        <v>2</v>
      </c>
      <c r="T1169">
        <v>0.1</v>
      </c>
      <c r="U1169">
        <v>24.84</v>
      </c>
    </row>
    <row r="1170" spans="1:21" x14ac:dyDescent="0.3">
      <c r="A1170">
        <v>1169</v>
      </c>
      <c r="B1170" t="s">
        <v>1189</v>
      </c>
      <c r="C1170" s="2">
        <v>45452</v>
      </c>
      <c r="D1170" s="2">
        <v>45455</v>
      </c>
      <c r="E1170" t="s">
        <v>1521</v>
      </c>
      <c r="F1170" t="s">
        <v>1897</v>
      </c>
      <c r="G1170" t="s">
        <v>2234</v>
      </c>
      <c r="H1170" t="s">
        <v>2314</v>
      </c>
      <c r="I1170" t="s">
        <v>2317</v>
      </c>
      <c r="J1170" t="s">
        <v>2324</v>
      </c>
      <c r="K1170" t="s">
        <v>2324</v>
      </c>
      <c r="L1170">
        <v>358845</v>
      </c>
      <c r="M1170" t="s">
        <v>2330</v>
      </c>
      <c r="N1170" t="s">
        <v>2467</v>
      </c>
      <c r="O1170" t="s">
        <v>3054</v>
      </c>
      <c r="P1170" t="s">
        <v>3057</v>
      </c>
      <c r="Q1170" t="s">
        <v>3219</v>
      </c>
      <c r="R1170">
        <v>30.58</v>
      </c>
      <c r="S1170">
        <v>7</v>
      </c>
      <c r="T1170">
        <v>0.05</v>
      </c>
      <c r="U1170">
        <v>-18.32</v>
      </c>
    </row>
    <row r="1171" spans="1:21" x14ac:dyDescent="0.3">
      <c r="A1171">
        <v>1170</v>
      </c>
      <c r="B1171" t="s">
        <v>1190</v>
      </c>
      <c r="C1171" s="2">
        <v>45468</v>
      </c>
      <c r="D1171" s="2">
        <v>45470</v>
      </c>
      <c r="E1171" t="s">
        <v>1522</v>
      </c>
      <c r="F1171" t="s">
        <v>1905</v>
      </c>
      <c r="G1171" t="s">
        <v>2220</v>
      </c>
      <c r="H1171" t="s">
        <v>2316</v>
      </c>
      <c r="I1171" t="s">
        <v>2317</v>
      </c>
      <c r="J1171" t="s">
        <v>2323</v>
      </c>
      <c r="K1171" t="s">
        <v>2323</v>
      </c>
      <c r="L1171">
        <v>523831</v>
      </c>
      <c r="M1171" t="s">
        <v>2328</v>
      </c>
      <c r="N1171" t="s">
        <v>2734</v>
      </c>
      <c r="O1171" t="s">
        <v>3055</v>
      </c>
      <c r="P1171" t="s">
        <v>3060</v>
      </c>
      <c r="Q1171" t="s">
        <v>3366</v>
      </c>
      <c r="R1171">
        <v>385.09</v>
      </c>
      <c r="S1171">
        <v>7</v>
      </c>
      <c r="T1171">
        <v>0.2</v>
      </c>
      <c r="U1171">
        <v>5.21</v>
      </c>
    </row>
    <row r="1172" spans="1:21" x14ac:dyDescent="0.3">
      <c r="A1172">
        <v>1171</v>
      </c>
      <c r="B1172" t="s">
        <v>1191</v>
      </c>
      <c r="C1172" s="2">
        <v>45576</v>
      </c>
      <c r="D1172" s="2">
        <v>45578</v>
      </c>
      <c r="E1172" t="s">
        <v>1524</v>
      </c>
      <c r="F1172" t="s">
        <v>1714</v>
      </c>
      <c r="G1172" t="s">
        <v>2128</v>
      </c>
      <c r="H1172" t="s">
        <v>2315</v>
      </c>
      <c r="I1172" t="s">
        <v>2317</v>
      </c>
      <c r="J1172" t="s">
        <v>2318</v>
      </c>
      <c r="K1172" t="s">
        <v>2318</v>
      </c>
      <c r="L1172">
        <v>462022</v>
      </c>
      <c r="M1172" t="s">
        <v>2328</v>
      </c>
      <c r="N1172" t="s">
        <v>2822</v>
      </c>
      <c r="O1172" t="s">
        <v>3053</v>
      </c>
      <c r="P1172" t="s">
        <v>3066</v>
      </c>
      <c r="Q1172" t="s">
        <v>3798</v>
      </c>
      <c r="R1172">
        <v>341.91</v>
      </c>
      <c r="S1172">
        <v>9</v>
      </c>
      <c r="T1172">
        <v>0</v>
      </c>
      <c r="U1172">
        <v>27.26</v>
      </c>
    </row>
    <row r="1173" spans="1:21" x14ac:dyDescent="0.3">
      <c r="A1173">
        <v>1172</v>
      </c>
      <c r="B1173" t="s">
        <v>1192</v>
      </c>
      <c r="C1173" s="2">
        <v>45354</v>
      </c>
      <c r="D1173" s="2">
        <v>45356</v>
      </c>
      <c r="E1173" t="s">
        <v>1524</v>
      </c>
      <c r="F1173" t="s">
        <v>1816</v>
      </c>
      <c r="G1173" t="s">
        <v>2193</v>
      </c>
      <c r="H1173" t="s">
        <v>2315</v>
      </c>
      <c r="I1173" t="s">
        <v>2317</v>
      </c>
      <c r="J1173" t="s">
        <v>2324</v>
      </c>
      <c r="K1173" t="s">
        <v>2324</v>
      </c>
      <c r="L1173">
        <v>976265</v>
      </c>
      <c r="M1173" t="s">
        <v>2330</v>
      </c>
      <c r="N1173" t="s">
        <v>2447</v>
      </c>
      <c r="O1173" t="s">
        <v>3053</v>
      </c>
      <c r="P1173" t="s">
        <v>3062</v>
      </c>
      <c r="Q1173" t="s">
        <v>3799</v>
      </c>
      <c r="R1173">
        <v>180.86</v>
      </c>
      <c r="S1173">
        <v>3</v>
      </c>
      <c r="T1173">
        <v>0.3</v>
      </c>
      <c r="U1173">
        <v>-20.69</v>
      </c>
    </row>
    <row r="1174" spans="1:21" x14ac:dyDescent="0.3">
      <c r="A1174">
        <v>1173</v>
      </c>
      <c r="B1174" t="s">
        <v>1193</v>
      </c>
      <c r="C1174" s="2">
        <v>45953</v>
      </c>
      <c r="D1174" s="2">
        <v>45956</v>
      </c>
      <c r="E1174" t="s">
        <v>1524</v>
      </c>
      <c r="F1174" t="s">
        <v>1807</v>
      </c>
      <c r="G1174" t="s">
        <v>2114</v>
      </c>
      <c r="H1174" t="s">
        <v>2315</v>
      </c>
      <c r="I1174" t="s">
        <v>2317</v>
      </c>
      <c r="J1174" t="s">
        <v>2318</v>
      </c>
      <c r="K1174" t="s">
        <v>2318</v>
      </c>
      <c r="L1174">
        <v>951198</v>
      </c>
      <c r="M1174" t="s">
        <v>2328</v>
      </c>
      <c r="N1174" t="s">
        <v>2822</v>
      </c>
      <c r="O1174" t="s">
        <v>3054</v>
      </c>
      <c r="P1174" t="s">
        <v>3063</v>
      </c>
      <c r="Q1174" t="s">
        <v>3800</v>
      </c>
      <c r="R1174">
        <v>87.21</v>
      </c>
      <c r="S1174">
        <v>8</v>
      </c>
      <c r="T1174">
        <v>0</v>
      </c>
      <c r="U1174">
        <v>-10.119999999999999</v>
      </c>
    </row>
    <row r="1175" spans="1:21" x14ac:dyDescent="0.3">
      <c r="A1175">
        <v>1174</v>
      </c>
      <c r="B1175" t="s">
        <v>1194</v>
      </c>
      <c r="C1175" s="2">
        <v>45957</v>
      </c>
      <c r="D1175" s="2">
        <v>45959</v>
      </c>
      <c r="E1175" t="s">
        <v>1524</v>
      </c>
      <c r="F1175" t="s">
        <v>1768</v>
      </c>
      <c r="G1175" t="s">
        <v>2237</v>
      </c>
      <c r="H1175" t="s">
        <v>2315</v>
      </c>
      <c r="I1175" t="s">
        <v>2317</v>
      </c>
      <c r="J1175" t="s">
        <v>2322</v>
      </c>
      <c r="K1175" t="s">
        <v>2322</v>
      </c>
      <c r="L1175">
        <v>875299</v>
      </c>
      <c r="M1175" t="s">
        <v>2331</v>
      </c>
      <c r="N1175" t="s">
        <v>2833</v>
      </c>
      <c r="O1175" t="s">
        <v>3053</v>
      </c>
      <c r="P1175" t="s">
        <v>3056</v>
      </c>
      <c r="Q1175" t="s">
        <v>3801</v>
      </c>
      <c r="R1175">
        <v>206.64</v>
      </c>
      <c r="S1175">
        <v>3</v>
      </c>
      <c r="T1175">
        <v>0.3</v>
      </c>
      <c r="U1175">
        <v>-35.82</v>
      </c>
    </row>
    <row r="1176" spans="1:21" x14ac:dyDescent="0.3">
      <c r="A1176">
        <v>1175</v>
      </c>
      <c r="B1176" t="s">
        <v>1195</v>
      </c>
      <c r="C1176" s="2">
        <v>45447</v>
      </c>
      <c r="D1176" s="2">
        <v>45448</v>
      </c>
      <c r="E1176" t="s">
        <v>1522</v>
      </c>
      <c r="F1176" t="s">
        <v>1629</v>
      </c>
      <c r="G1176" t="s">
        <v>2017</v>
      </c>
      <c r="H1176" t="s">
        <v>2314</v>
      </c>
      <c r="I1176" t="s">
        <v>2317</v>
      </c>
      <c r="J1176" t="s">
        <v>2321</v>
      </c>
      <c r="K1176" t="s">
        <v>2321</v>
      </c>
      <c r="L1176">
        <v>746762</v>
      </c>
      <c r="M1176" t="s">
        <v>2329</v>
      </c>
      <c r="N1176" t="s">
        <v>2530</v>
      </c>
      <c r="O1176" t="s">
        <v>3053</v>
      </c>
      <c r="P1176" t="s">
        <v>3066</v>
      </c>
      <c r="Q1176" t="s">
        <v>3354</v>
      </c>
      <c r="R1176">
        <v>524.1</v>
      </c>
      <c r="S1176">
        <v>4</v>
      </c>
      <c r="T1176">
        <v>0.1</v>
      </c>
      <c r="U1176">
        <v>9.44</v>
      </c>
    </row>
    <row r="1177" spans="1:21" x14ac:dyDescent="0.3">
      <c r="A1177">
        <v>1176</v>
      </c>
      <c r="B1177" t="s">
        <v>1196</v>
      </c>
      <c r="C1177" s="2">
        <v>45760</v>
      </c>
      <c r="D1177" s="2">
        <v>45764</v>
      </c>
      <c r="E1177" t="s">
        <v>1521</v>
      </c>
      <c r="F1177" t="s">
        <v>1907</v>
      </c>
      <c r="G1177" t="s">
        <v>2201</v>
      </c>
      <c r="H1177" t="s">
        <v>2314</v>
      </c>
      <c r="I1177" t="s">
        <v>2317</v>
      </c>
      <c r="J1177" t="s">
        <v>2322</v>
      </c>
      <c r="K1177" t="s">
        <v>2322</v>
      </c>
      <c r="L1177">
        <v>909818</v>
      </c>
      <c r="M1177" t="s">
        <v>2331</v>
      </c>
      <c r="N1177" t="s">
        <v>2782</v>
      </c>
      <c r="O1177" t="s">
        <v>3054</v>
      </c>
      <c r="P1177" t="s">
        <v>3058</v>
      </c>
      <c r="Q1177" t="s">
        <v>3320</v>
      </c>
      <c r="R1177">
        <v>49.95</v>
      </c>
      <c r="S1177">
        <v>4</v>
      </c>
      <c r="T1177">
        <v>0.05</v>
      </c>
      <c r="U1177">
        <v>45.46</v>
      </c>
    </row>
    <row r="1178" spans="1:21" x14ac:dyDescent="0.3">
      <c r="A1178">
        <v>1177</v>
      </c>
      <c r="B1178" t="s">
        <v>1197</v>
      </c>
      <c r="C1178" s="2">
        <v>45340</v>
      </c>
      <c r="D1178" s="2">
        <v>45343</v>
      </c>
      <c r="E1178" t="s">
        <v>1524</v>
      </c>
      <c r="F1178" t="s">
        <v>1686</v>
      </c>
      <c r="G1178" t="s">
        <v>1973</v>
      </c>
      <c r="H1178" t="s">
        <v>2315</v>
      </c>
      <c r="I1178" t="s">
        <v>2317</v>
      </c>
      <c r="J1178" t="s">
        <v>2326</v>
      </c>
      <c r="K1178" t="s">
        <v>2326</v>
      </c>
      <c r="L1178">
        <v>310590</v>
      </c>
      <c r="M1178" t="s">
        <v>2331</v>
      </c>
      <c r="N1178" t="s">
        <v>2969</v>
      </c>
      <c r="O1178" t="s">
        <v>3054</v>
      </c>
      <c r="P1178" t="s">
        <v>3057</v>
      </c>
      <c r="Q1178" t="s">
        <v>3074</v>
      </c>
      <c r="R1178">
        <v>72.680000000000007</v>
      </c>
      <c r="S1178">
        <v>6</v>
      </c>
      <c r="T1178">
        <v>0.05</v>
      </c>
      <c r="U1178">
        <v>22.04</v>
      </c>
    </row>
    <row r="1179" spans="1:21" x14ac:dyDescent="0.3">
      <c r="A1179">
        <v>1178</v>
      </c>
      <c r="B1179" t="s">
        <v>1198</v>
      </c>
      <c r="C1179" s="2">
        <v>45375</v>
      </c>
      <c r="D1179" s="2">
        <v>45377</v>
      </c>
      <c r="E1179" t="s">
        <v>1524</v>
      </c>
      <c r="F1179" t="s">
        <v>1819</v>
      </c>
      <c r="G1179" t="s">
        <v>2040</v>
      </c>
      <c r="H1179" t="s">
        <v>2314</v>
      </c>
      <c r="I1179" t="s">
        <v>2317</v>
      </c>
      <c r="J1179" t="s">
        <v>2323</v>
      </c>
      <c r="K1179" t="s">
        <v>2323</v>
      </c>
      <c r="L1179">
        <v>864323</v>
      </c>
      <c r="M1179" t="s">
        <v>2328</v>
      </c>
      <c r="N1179" t="s">
        <v>2478</v>
      </c>
      <c r="O1179" t="s">
        <v>3053</v>
      </c>
      <c r="P1179" t="s">
        <v>3065</v>
      </c>
      <c r="Q1179" t="s">
        <v>3802</v>
      </c>
      <c r="R1179">
        <v>212.85</v>
      </c>
      <c r="S1179">
        <v>9</v>
      </c>
      <c r="T1179">
        <v>0.2</v>
      </c>
      <c r="U1179">
        <v>-13.59</v>
      </c>
    </row>
    <row r="1180" spans="1:21" x14ac:dyDescent="0.3">
      <c r="A1180">
        <v>1179</v>
      </c>
      <c r="B1180" t="s">
        <v>1199</v>
      </c>
      <c r="C1180" s="2">
        <v>45652</v>
      </c>
      <c r="D1180" s="2">
        <v>45657</v>
      </c>
      <c r="E1180" t="s">
        <v>1522</v>
      </c>
      <c r="F1180" t="s">
        <v>1623</v>
      </c>
      <c r="G1180" t="s">
        <v>1958</v>
      </c>
      <c r="H1180" t="s">
        <v>2315</v>
      </c>
      <c r="I1180" t="s">
        <v>2317</v>
      </c>
      <c r="J1180" t="s">
        <v>2318</v>
      </c>
      <c r="K1180" t="s">
        <v>2318</v>
      </c>
      <c r="L1180">
        <v>742757</v>
      </c>
      <c r="M1180" t="s">
        <v>2328</v>
      </c>
      <c r="N1180" t="s">
        <v>2643</v>
      </c>
      <c r="O1180" t="s">
        <v>3053</v>
      </c>
      <c r="P1180" t="s">
        <v>3062</v>
      </c>
      <c r="Q1180" t="s">
        <v>3271</v>
      </c>
      <c r="R1180">
        <v>273.8</v>
      </c>
      <c r="S1180">
        <v>3</v>
      </c>
      <c r="T1180">
        <v>0.1</v>
      </c>
      <c r="U1180">
        <v>31.85</v>
      </c>
    </row>
    <row r="1181" spans="1:21" x14ac:dyDescent="0.3">
      <c r="A1181">
        <v>1180</v>
      </c>
      <c r="B1181" t="s">
        <v>1200</v>
      </c>
      <c r="C1181" s="2">
        <v>45980</v>
      </c>
      <c r="D1181" s="2">
        <v>45982</v>
      </c>
      <c r="E1181" t="s">
        <v>1522</v>
      </c>
      <c r="F1181" t="s">
        <v>1582</v>
      </c>
      <c r="G1181" t="s">
        <v>2304</v>
      </c>
      <c r="H1181" t="s">
        <v>2315</v>
      </c>
      <c r="I1181" t="s">
        <v>2317</v>
      </c>
      <c r="J1181" t="s">
        <v>2320</v>
      </c>
      <c r="K1181" t="s">
        <v>2320</v>
      </c>
      <c r="L1181">
        <v>957111</v>
      </c>
      <c r="M1181" t="s">
        <v>2330</v>
      </c>
      <c r="N1181" t="s">
        <v>2970</v>
      </c>
      <c r="O1181" t="s">
        <v>3053</v>
      </c>
      <c r="P1181" t="s">
        <v>3062</v>
      </c>
      <c r="Q1181" t="s">
        <v>3542</v>
      </c>
      <c r="R1181">
        <v>77.260000000000005</v>
      </c>
      <c r="S1181">
        <v>5</v>
      </c>
      <c r="T1181">
        <v>0.1</v>
      </c>
      <c r="U1181">
        <v>12.44</v>
      </c>
    </row>
    <row r="1182" spans="1:21" x14ac:dyDescent="0.3">
      <c r="A1182">
        <v>1181</v>
      </c>
      <c r="B1182" t="s">
        <v>1201</v>
      </c>
      <c r="C1182" s="2">
        <v>45439</v>
      </c>
      <c r="D1182" s="2">
        <v>45441</v>
      </c>
      <c r="E1182" t="s">
        <v>1523</v>
      </c>
      <c r="F1182" t="s">
        <v>1908</v>
      </c>
      <c r="G1182" t="s">
        <v>1997</v>
      </c>
      <c r="H1182" t="s">
        <v>2314</v>
      </c>
      <c r="I1182" t="s">
        <v>2317</v>
      </c>
      <c r="J1182" t="s">
        <v>2322</v>
      </c>
      <c r="K1182" t="s">
        <v>2322</v>
      </c>
      <c r="L1182">
        <v>437247</v>
      </c>
      <c r="M1182" t="s">
        <v>2331</v>
      </c>
      <c r="N1182" t="s">
        <v>2666</v>
      </c>
      <c r="O1182" t="s">
        <v>3054</v>
      </c>
      <c r="P1182" t="s">
        <v>3058</v>
      </c>
      <c r="Q1182" t="s">
        <v>3459</v>
      </c>
      <c r="R1182">
        <v>65.98</v>
      </c>
      <c r="S1182">
        <v>4</v>
      </c>
      <c r="T1182">
        <v>0.4</v>
      </c>
      <c r="U1182">
        <v>-0.37</v>
      </c>
    </row>
    <row r="1183" spans="1:21" x14ac:dyDescent="0.3">
      <c r="A1183">
        <v>1182</v>
      </c>
      <c r="B1183" t="s">
        <v>1202</v>
      </c>
      <c r="C1183" s="2">
        <v>45921</v>
      </c>
      <c r="D1183" s="2">
        <v>45924</v>
      </c>
      <c r="E1183" t="s">
        <v>1522</v>
      </c>
      <c r="F1183" t="s">
        <v>1526</v>
      </c>
      <c r="G1183" t="s">
        <v>2127</v>
      </c>
      <c r="H1183" t="s">
        <v>2314</v>
      </c>
      <c r="I1183" t="s">
        <v>2317</v>
      </c>
      <c r="J1183" t="s">
        <v>2326</v>
      </c>
      <c r="K1183" t="s">
        <v>2326</v>
      </c>
      <c r="L1183">
        <v>861720</v>
      </c>
      <c r="M1183" t="s">
        <v>2331</v>
      </c>
      <c r="N1183" t="s">
        <v>2971</v>
      </c>
      <c r="O1183" t="s">
        <v>3053</v>
      </c>
      <c r="P1183" t="s">
        <v>3062</v>
      </c>
      <c r="Q1183" t="s">
        <v>3710</v>
      </c>
      <c r="R1183">
        <v>98.75</v>
      </c>
      <c r="S1183">
        <v>8</v>
      </c>
      <c r="T1183">
        <v>0.3</v>
      </c>
      <c r="U1183">
        <v>-25.51</v>
      </c>
    </row>
    <row r="1184" spans="1:21" x14ac:dyDescent="0.3">
      <c r="A1184">
        <v>1183</v>
      </c>
      <c r="B1184" t="s">
        <v>1203</v>
      </c>
      <c r="C1184" s="2">
        <v>45633</v>
      </c>
      <c r="D1184" s="2">
        <v>45635</v>
      </c>
      <c r="E1184" t="s">
        <v>1522</v>
      </c>
      <c r="F1184" t="s">
        <v>1755</v>
      </c>
      <c r="G1184" t="s">
        <v>2100</v>
      </c>
      <c r="H1184" t="s">
        <v>2316</v>
      </c>
      <c r="I1184" t="s">
        <v>2317</v>
      </c>
      <c r="J1184" t="s">
        <v>2319</v>
      </c>
      <c r="K1184" t="s">
        <v>2319</v>
      </c>
      <c r="L1184">
        <v>634421</v>
      </c>
      <c r="M1184" t="s">
        <v>2329</v>
      </c>
      <c r="N1184" t="s">
        <v>2972</v>
      </c>
      <c r="O1184" t="s">
        <v>3054</v>
      </c>
      <c r="P1184" t="s">
        <v>3058</v>
      </c>
      <c r="Q1184" t="s">
        <v>3293</v>
      </c>
      <c r="R1184">
        <v>141.26</v>
      </c>
      <c r="S1184">
        <v>8</v>
      </c>
      <c r="T1184">
        <v>0.05</v>
      </c>
      <c r="U1184">
        <v>13.84</v>
      </c>
    </row>
    <row r="1185" spans="1:21" x14ac:dyDescent="0.3">
      <c r="A1185">
        <v>1184</v>
      </c>
      <c r="B1185" t="s">
        <v>1204</v>
      </c>
      <c r="C1185" s="2">
        <v>45767</v>
      </c>
      <c r="D1185" s="2">
        <v>45770</v>
      </c>
      <c r="E1185" t="s">
        <v>1523</v>
      </c>
      <c r="F1185" t="s">
        <v>1729</v>
      </c>
      <c r="G1185" t="s">
        <v>2028</v>
      </c>
      <c r="H1185" t="s">
        <v>2316</v>
      </c>
      <c r="I1185" t="s">
        <v>2317</v>
      </c>
      <c r="J1185" t="s">
        <v>2325</v>
      </c>
      <c r="K1185" t="s">
        <v>2325</v>
      </c>
      <c r="L1185">
        <v>466014</v>
      </c>
      <c r="M1185" t="s">
        <v>2332</v>
      </c>
      <c r="N1185" t="s">
        <v>2973</v>
      </c>
      <c r="O1185" t="s">
        <v>3053</v>
      </c>
      <c r="P1185" t="s">
        <v>3062</v>
      </c>
      <c r="Q1185" t="s">
        <v>3803</v>
      </c>
      <c r="R1185">
        <v>359.87</v>
      </c>
      <c r="S1185">
        <v>2</v>
      </c>
      <c r="T1185">
        <v>0.2</v>
      </c>
      <c r="U1185">
        <v>-43.1</v>
      </c>
    </row>
    <row r="1186" spans="1:21" x14ac:dyDescent="0.3">
      <c r="A1186">
        <v>1185</v>
      </c>
      <c r="B1186" t="s">
        <v>1205</v>
      </c>
      <c r="C1186" s="2">
        <v>45354</v>
      </c>
      <c r="D1186" s="2">
        <v>45356</v>
      </c>
      <c r="E1186" t="s">
        <v>1521</v>
      </c>
      <c r="F1186" t="s">
        <v>1754</v>
      </c>
      <c r="G1186" t="s">
        <v>2002</v>
      </c>
      <c r="H1186" t="s">
        <v>2314</v>
      </c>
      <c r="I1186" t="s">
        <v>2317</v>
      </c>
      <c r="J1186" t="s">
        <v>2324</v>
      </c>
      <c r="K1186" t="s">
        <v>2324</v>
      </c>
      <c r="L1186">
        <v>984588</v>
      </c>
      <c r="M1186" t="s">
        <v>2330</v>
      </c>
      <c r="N1186" t="s">
        <v>2424</v>
      </c>
      <c r="O1186" t="s">
        <v>3054</v>
      </c>
      <c r="P1186" t="s">
        <v>3063</v>
      </c>
      <c r="Q1186" t="s">
        <v>3804</v>
      </c>
      <c r="R1186">
        <v>100.51</v>
      </c>
      <c r="S1186">
        <v>1</v>
      </c>
      <c r="T1186">
        <v>0</v>
      </c>
      <c r="U1186">
        <v>52.5</v>
      </c>
    </row>
    <row r="1187" spans="1:21" x14ac:dyDescent="0.3">
      <c r="A1187">
        <v>1186</v>
      </c>
      <c r="B1187" t="s">
        <v>1206</v>
      </c>
      <c r="C1187" s="2">
        <v>45992</v>
      </c>
      <c r="D1187" s="2">
        <v>45995</v>
      </c>
      <c r="E1187" t="s">
        <v>1524</v>
      </c>
      <c r="F1187" t="s">
        <v>1826</v>
      </c>
      <c r="G1187" t="s">
        <v>2181</v>
      </c>
      <c r="H1187" t="s">
        <v>2314</v>
      </c>
      <c r="I1187" t="s">
        <v>2317</v>
      </c>
      <c r="J1187" t="s">
        <v>2326</v>
      </c>
      <c r="K1187" t="s">
        <v>2326</v>
      </c>
      <c r="L1187">
        <v>183404</v>
      </c>
      <c r="M1187" t="s">
        <v>2331</v>
      </c>
      <c r="N1187" t="s">
        <v>2340</v>
      </c>
      <c r="O1187" t="s">
        <v>3054</v>
      </c>
      <c r="P1187" t="s">
        <v>3064</v>
      </c>
      <c r="Q1187" t="s">
        <v>3416</v>
      </c>
      <c r="R1187">
        <v>40.11</v>
      </c>
      <c r="S1187">
        <v>4</v>
      </c>
      <c r="T1187">
        <v>0.2</v>
      </c>
      <c r="U1187">
        <v>-0.59</v>
      </c>
    </row>
    <row r="1188" spans="1:21" x14ac:dyDescent="0.3">
      <c r="A1188">
        <v>1187</v>
      </c>
      <c r="B1188" t="s">
        <v>1207</v>
      </c>
      <c r="C1188" s="2">
        <v>45651</v>
      </c>
      <c r="D1188" s="2">
        <v>45654</v>
      </c>
      <c r="E1188" t="s">
        <v>1522</v>
      </c>
      <c r="F1188" t="s">
        <v>1560</v>
      </c>
      <c r="G1188" t="s">
        <v>2095</v>
      </c>
      <c r="H1188" t="s">
        <v>2315</v>
      </c>
      <c r="I1188" t="s">
        <v>2317</v>
      </c>
      <c r="J1188" t="s">
        <v>2321</v>
      </c>
      <c r="K1188" t="s">
        <v>2321</v>
      </c>
      <c r="L1188">
        <v>662922</v>
      </c>
      <c r="M1188" t="s">
        <v>2329</v>
      </c>
      <c r="N1188" t="s">
        <v>2960</v>
      </c>
      <c r="O1188" t="s">
        <v>3053</v>
      </c>
      <c r="P1188" t="s">
        <v>3062</v>
      </c>
      <c r="Q1188" t="s">
        <v>3203</v>
      </c>
      <c r="R1188">
        <v>193.62</v>
      </c>
      <c r="S1188">
        <v>4</v>
      </c>
      <c r="T1188">
        <v>0.15</v>
      </c>
      <c r="U1188">
        <v>-31.8</v>
      </c>
    </row>
    <row r="1189" spans="1:21" x14ac:dyDescent="0.3">
      <c r="A1189">
        <v>1188</v>
      </c>
      <c r="B1189" t="s">
        <v>1208</v>
      </c>
      <c r="C1189" s="2">
        <v>45852</v>
      </c>
      <c r="D1189" s="2">
        <v>45854</v>
      </c>
      <c r="E1189" t="s">
        <v>1524</v>
      </c>
      <c r="F1189" t="s">
        <v>1709</v>
      </c>
      <c r="G1189" t="s">
        <v>2194</v>
      </c>
      <c r="H1189" t="s">
        <v>2316</v>
      </c>
      <c r="I1189" t="s">
        <v>2317</v>
      </c>
      <c r="J1189" t="s">
        <v>2322</v>
      </c>
      <c r="K1189" t="s">
        <v>2322</v>
      </c>
      <c r="L1189">
        <v>401355</v>
      </c>
      <c r="M1189" t="s">
        <v>2331</v>
      </c>
      <c r="N1189" t="s">
        <v>2974</v>
      </c>
      <c r="O1189" t="s">
        <v>3054</v>
      </c>
      <c r="P1189" t="s">
        <v>3057</v>
      </c>
      <c r="Q1189" t="s">
        <v>3805</v>
      </c>
      <c r="R1189">
        <v>43.05</v>
      </c>
      <c r="S1189">
        <v>1</v>
      </c>
      <c r="T1189">
        <v>0.3</v>
      </c>
      <c r="U1189">
        <v>11.94</v>
      </c>
    </row>
    <row r="1190" spans="1:21" x14ac:dyDescent="0.3">
      <c r="A1190">
        <v>1189</v>
      </c>
      <c r="B1190" t="s">
        <v>1209</v>
      </c>
      <c r="C1190" s="2">
        <v>45618</v>
      </c>
      <c r="D1190" s="2">
        <v>45621</v>
      </c>
      <c r="E1190" t="s">
        <v>1521</v>
      </c>
      <c r="F1190" t="s">
        <v>1538</v>
      </c>
      <c r="G1190" t="s">
        <v>1950</v>
      </c>
      <c r="H1190" t="s">
        <v>2315</v>
      </c>
      <c r="I1190" t="s">
        <v>2317</v>
      </c>
      <c r="J1190" t="s">
        <v>2321</v>
      </c>
      <c r="K1190" t="s">
        <v>2321</v>
      </c>
      <c r="L1190">
        <v>250694</v>
      </c>
      <c r="M1190" t="s">
        <v>2329</v>
      </c>
      <c r="N1190" t="s">
        <v>2975</v>
      </c>
      <c r="O1190" t="s">
        <v>3055</v>
      </c>
      <c r="P1190" t="s">
        <v>3060</v>
      </c>
      <c r="Q1190" t="s">
        <v>3806</v>
      </c>
      <c r="R1190">
        <v>359.58</v>
      </c>
      <c r="S1190">
        <v>3</v>
      </c>
      <c r="T1190">
        <v>0.1</v>
      </c>
      <c r="U1190">
        <v>43.48</v>
      </c>
    </row>
    <row r="1191" spans="1:21" x14ac:dyDescent="0.3">
      <c r="A1191">
        <v>1190</v>
      </c>
      <c r="B1191" t="s">
        <v>1210</v>
      </c>
      <c r="C1191" s="2">
        <v>45432</v>
      </c>
      <c r="D1191" s="2">
        <v>45435</v>
      </c>
      <c r="E1191" t="s">
        <v>1523</v>
      </c>
      <c r="F1191" t="s">
        <v>1693</v>
      </c>
      <c r="G1191" t="s">
        <v>2198</v>
      </c>
      <c r="H1191" t="s">
        <v>2315</v>
      </c>
      <c r="I1191" t="s">
        <v>2317</v>
      </c>
      <c r="J1191" t="s">
        <v>2325</v>
      </c>
      <c r="K1191" t="s">
        <v>2325</v>
      </c>
      <c r="L1191">
        <v>644903</v>
      </c>
      <c r="M1191" t="s">
        <v>2332</v>
      </c>
      <c r="N1191" t="s">
        <v>2976</v>
      </c>
      <c r="O1191" t="s">
        <v>3054</v>
      </c>
      <c r="P1191" t="s">
        <v>3064</v>
      </c>
      <c r="Q1191" t="s">
        <v>3627</v>
      </c>
      <c r="R1191">
        <v>84.96</v>
      </c>
      <c r="S1191">
        <v>6</v>
      </c>
      <c r="T1191">
        <v>0.15</v>
      </c>
      <c r="U1191">
        <v>1.17</v>
      </c>
    </row>
    <row r="1192" spans="1:21" x14ac:dyDescent="0.3">
      <c r="A1192">
        <v>1191</v>
      </c>
      <c r="B1192" t="s">
        <v>1211</v>
      </c>
      <c r="C1192" s="2">
        <v>45506</v>
      </c>
      <c r="D1192" s="2">
        <v>45508</v>
      </c>
      <c r="E1192" t="s">
        <v>1522</v>
      </c>
      <c r="F1192" t="s">
        <v>1891</v>
      </c>
      <c r="G1192" t="s">
        <v>2055</v>
      </c>
      <c r="H1192" t="s">
        <v>2316</v>
      </c>
      <c r="I1192" t="s">
        <v>2317</v>
      </c>
      <c r="J1192" t="s">
        <v>2320</v>
      </c>
      <c r="K1192" t="s">
        <v>2320</v>
      </c>
      <c r="L1192">
        <v>551420</v>
      </c>
      <c r="M1192" t="s">
        <v>2330</v>
      </c>
      <c r="N1192" t="s">
        <v>2977</v>
      </c>
      <c r="O1192" t="s">
        <v>3054</v>
      </c>
      <c r="P1192" t="s">
        <v>3057</v>
      </c>
      <c r="Q1192" t="s">
        <v>3807</v>
      </c>
      <c r="R1192">
        <v>80.17</v>
      </c>
      <c r="S1192">
        <v>4</v>
      </c>
      <c r="T1192">
        <v>0.1</v>
      </c>
      <c r="U1192">
        <v>-3.1</v>
      </c>
    </row>
    <row r="1193" spans="1:21" x14ac:dyDescent="0.3">
      <c r="A1193">
        <v>1192</v>
      </c>
      <c r="B1193" t="s">
        <v>1212</v>
      </c>
      <c r="C1193" s="2">
        <v>45726</v>
      </c>
      <c r="D1193" s="2">
        <v>45728</v>
      </c>
      <c r="E1193" t="s">
        <v>1523</v>
      </c>
      <c r="F1193" t="s">
        <v>1559</v>
      </c>
      <c r="G1193" t="s">
        <v>2289</v>
      </c>
      <c r="H1193" t="s">
        <v>2314</v>
      </c>
      <c r="I1193" t="s">
        <v>2317</v>
      </c>
      <c r="J1193" t="s">
        <v>2323</v>
      </c>
      <c r="K1193" t="s">
        <v>2323</v>
      </c>
      <c r="L1193">
        <v>902717</v>
      </c>
      <c r="M1193" t="s">
        <v>2328</v>
      </c>
      <c r="N1193" t="s">
        <v>2380</v>
      </c>
      <c r="O1193" t="s">
        <v>3055</v>
      </c>
      <c r="P1193" t="s">
        <v>3061</v>
      </c>
      <c r="Q1193" t="s">
        <v>3808</v>
      </c>
      <c r="R1193">
        <v>750.34</v>
      </c>
      <c r="S1193">
        <v>1</v>
      </c>
      <c r="T1193">
        <v>0.15</v>
      </c>
      <c r="U1193">
        <v>58.17</v>
      </c>
    </row>
    <row r="1194" spans="1:21" x14ac:dyDescent="0.3">
      <c r="A1194">
        <v>1193</v>
      </c>
      <c r="B1194" t="s">
        <v>1213</v>
      </c>
      <c r="C1194" s="2">
        <v>46014</v>
      </c>
      <c r="D1194" s="2">
        <v>46016</v>
      </c>
      <c r="E1194" t="s">
        <v>1522</v>
      </c>
      <c r="F1194" t="s">
        <v>1897</v>
      </c>
      <c r="G1194" t="s">
        <v>2010</v>
      </c>
      <c r="H1194" t="s">
        <v>2316</v>
      </c>
      <c r="I1194" t="s">
        <v>2317</v>
      </c>
      <c r="J1194" t="s">
        <v>2323</v>
      </c>
      <c r="K1194" t="s">
        <v>2323</v>
      </c>
      <c r="L1194">
        <v>107131</v>
      </c>
      <c r="M1194" t="s">
        <v>2328</v>
      </c>
      <c r="N1194" t="s">
        <v>2978</v>
      </c>
      <c r="O1194" t="s">
        <v>3054</v>
      </c>
      <c r="P1194" t="s">
        <v>3058</v>
      </c>
      <c r="Q1194" t="s">
        <v>3135</v>
      </c>
      <c r="R1194">
        <v>45.77</v>
      </c>
      <c r="S1194">
        <v>2</v>
      </c>
      <c r="T1194">
        <v>0.05</v>
      </c>
      <c r="U1194">
        <v>-11.13</v>
      </c>
    </row>
    <row r="1195" spans="1:21" x14ac:dyDescent="0.3">
      <c r="A1195">
        <v>1194</v>
      </c>
      <c r="B1195" t="s">
        <v>1214</v>
      </c>
      <c r="C1195" s="2">
        <v>45609</v>
      </c>
      <c r="D1195" s="2">
        <v>45613</v>
      </c>
      <c r="E1195" t="s">
        <v>1524</v>
      </c>
      <c r="F1195" t="s">
        <v>1839</v>
      </c>
      <c r="G1195" t="s">
        <v>2090</v>
      </c>
      <c r="H1195" t="s">
        <v>2314</v>
      </c>
      <c r="I1195" t="s">
        <v>2317</v>
      </c>
      <c r="J1195" t="s">
        <v>2321</v>
      </c>
      <c r="K1195" t="s">
        <v>2321</v>
      </c>
      <c r="L1195">
        <v>385574</v>
      </c>
      <c r="M1195" t="s">
        <v>2329</v>
      </c>
      <c r="N1195" t="s">
        <v>2375</v>
      </c>
      <c r="O1195" t="s">
        <v>3054</v>
      </c>
      <c r="P1195" t="s">
        <v>3063</v>
      </c>
      <c r="Q1195" t="s">
        <v>3809</v>
      </c>
      <c r="R1195">
        <v>131.21</v>
      </c>
      <c r="S1195">
        <v>7</v>
      </c>
      <c r="T1195">
        <v>0.05</v>
      </c>
      <c r="U1195">
        <v>36.81</v>
      </c>
    </row>
    <row r="1196" spans="1:21" x14ac:dyDescent="0.3">
      <c r="A1196">
        <v>1195</v>
      </c>
      <c r="B1196" t="s">
        <v>1215</v>
      </c>
      <c r="C1196" s="2">
        <v>45323</v>
      </c>
      <c r="D1196" s="2">
        <v>45326</v>
      </c>
      <c r="E1196" t="s">
        <v>1522</v>
      </c>
      <c r="F1196" t="s">
        <v>1867</v>
      </c>
      <c r="G1196" t="s">
        <v>1969</v>
      </c>
      <c r="H1196" t="s">
        <v>2316</v>
      </c>
      <c r="I1196" t="s">
        <v>2317</v>
      </c>
      <c r="J1196" t="s">
        <v>2318</v>
      </c>
      <c r="K1196" t="s">
        <v>2318</v>
      </c>
      <c r="L1196">
        <v>739340</v>
      </c>
      <c r="M1196" t="s">
        <v>2328</v>
      </c>
      <c r="N1196" t="s">
        <v>2979</v>
      </c>
      <c r="O1196" t="s">
        <v>3055</v>
      </c>
      <c r="P1196" t="s">
        <v>3067</v>
      </c>
      <c r="Q1196" t="s">
        <v>3599</v>
      </c>
      <c r="R1196">
        <v>267.10000000000002</v>
      </c>
      <c r="S1196">
        <v>1</v>
      </c>
      <c r="T1196">
        <v>0.1</v>
      </c>
      <c r="U1196">
        <v>30.74</v>
      </c>
    </row>
    <row r="1197" spans="1:21" x14ac:dyDescent="0.3">
      <c r="A1197">
        <v>1196</v>
      </c>
      <c r="B1197" t="s">
        <v>1216</v>
      </c>
      <c r="C1197" s="2">
        <v>45961</v>
      </c>
      <c r="D1197" s="2">
        <v>45963</v>
      </c>
      <c r="E1197" t="s">
        <v>1521</v>
      </c>
      <c r="F1197" t="s">
        <v>1745</v>
      </c>
      <c r="G1197" t="s">
        <v>2214</v>
      </c>
      <c r="H1197" t="s">
        <v>2316</v>
      </c>
      <c r="I1197" t="s">
        <v>2317</v>
      </c>
      <c r="J1197" t="s">
        <v>2320</v>
      </c>
      <c r="K1197" t="s">
        <v>2320</v>
      </c>
      <c r="L1197">
        <v>432744</v>
      </c>
      <c r="M1197" t="s">
        <v>2330</v>
      </c>
      <c r="N1197" t="s">
        <v>2419</v>
      </c>
      <c r="O1197" t="s">
        <v>3053</v>
      </c>
      <c r="P1197" t="s">
        <v>3056</v>
      </c>
      <c r="Q1197" t="s">
        <v>3679</v>
      </c>
      <c r="R1197">
        <v>106.12</v>
      </c>
      <c r="S1197">
        <v>3</v>
      </c>
      <c r="T1197">
        <v>0</v>
      </c>
      <c r="U1197">
        <v>-24.61</v>
      </c>
    </row>
    <row r="1198" spans="1:21" x14ac:dyDescent="0.3">
      <c r="A1198">
        <v>1197</v>
      </c>
      <c r="B1198" t="s">
        <v>1217</v>
      </c>
      <c r="C1198" s="2">
        <v>45576</v>
      </c>
      <c r="D1198" s="2">
        <v>45580</v>
      </c>
      <c r="E1198" t="s">
        <v>1524</v>
      </c>
      <c r="F1198" t="s">
        <v>1741</v>
      </c>
      <c r="G1198" t="s">
        <v>2213</v>
      </c>
      <c r="H1198" t="s">
        <v>2316</v>
      </c>
      <c r="I1198" t="s">
        <v>2317</v>
      </c>
      <c r="J1198" t="s">
        <v>2323</v>
      </c>
      <c r="K1198" t="s">
        <v>2323</v>
      </c>
      <c r="L1198">
        <v>768130</v>
      </c>
      <c r="M1198" t="s">
        <v>2328</v>
      </c>
      <c r="N1198" t="s">
        <v>2932</v>
      </c>
      <c r="O1198" t="s">
        <v>3054</v>
      </c>
      <c r="P1198" t="s">
        <v>3064</v>
      </c>
      <c r="Q1198" t="s">
        <v>3162</v>
      </c>
      <c r="R1198">
        <v>163.31</v>
      </c>
      <c r="S1198">
        <v>9</v>
      </c>
      <c r="T1198">
        <v>0.2</v>
      </c>
      <c r="U1198">
        <v>-38.43</v>
      </c>
    </row>
    <row r="1199" spans="1:21" x14ac:dyDescent="0.3">
      <c r="A1199">
        <v>1198</v>
      </c>
      <c r="B1199" t="s">
        <v>1218</v>
      </c>
      <c r="C1199" s="2">
        <v>45596</v>
      </c>
      <c r="D1199" s="2">
        <v>45599</v>
      </c>
      <c r="E1199" t="s">
        <v>1521</v>
      </c>
      <c r="F1199" t="s">
        <v>1909</v>
      </c>
      <c r="G1199" t="s">
        <v>2249</v>
      </c>
      <c r="H1199" t="s">
        <v>2316</v>
      </c>
      <c r="I1199" t="s">
        <v>2317</v>
      </c>
      <c r="J1199" t="s">
        <v>2320</v>
      </c>
      <c r="K1199" t="s">
        <v>2320</v>
      </c>
      <c r="L1199">
        <v>453198</v>
      </c>
      <c r="M1199" t="s">
        <v>2330</v>
      </c>
      <c r="N1199" t="s">
        <v>2542</v>
      </c>
      <c r="O1199" t="s">
        <v>3054</v>
      </c>
      <c r="P1199" t="s">
        <v>3063</v>
      </c>
      <c r="Q1199" t="s">
        <v>3810</v>
      </c>
      <c r="R1199">
        <v>28.98</v>
      </c>
      <c r="S1199">
        <v>2</v>
      </c>
      <c r="T1199">
        <v>0.2</v>
      </c>
      <c r="U1199">
        <v>8.91</v>
      </c>
    </row>
    <row r="1200" spans="1:21" x14ac:dyDescent="0.3">
      <c r="A1200">
        <v>1199</v>
      </c>
      <c r="B1200" t="s">
        <v>1219</v>
      </c>
      <c r="C1200" s="2">
        <v>45720</v>
      </c>
      <c r="D1200" s="2">
        <v>45722</v>
      </c>
      <c r="E1200" t="s">
        <v>1522</v>
      </c>
      <c r="F1200" t="s">
        <v>1557</v>
      </c>
      <c r="G1200" t="s">
        <v>1971</v>
      </c>
      <c r="H1200" t="s">
        <v>2316</v>
      </c>
      <c r="I1200" t="s">
        <v>2317</v>
      </c>
      <c r="J1200" t="s">
        <v>2326</v>
      </c>
      <c r="K1200" t="s">
        <v>2326</v>
      </c>
      <c r="L1200">
        <v>171035</v>
      </c>
      <c r="M1200" t="s">
        <v>2331</v>
      </c>
      <c r="N1200" t="s">
        <v>2950</v>
      </c>
      <c r="O1200" t="s">
        <v>3053</v>
      </c>
      <c r="P1200" t="s">
        <v>3062</v>
      </c>
      <c r="Q1200" t="s">
        <v>3197</v>
      </c>
      <c r="R1200">
        <v>254.5</v>
      </c>
      <c r="S1200">
        <v>1</v>
      </c>
      <c r="T1200">
        <v>0.15</v>
      </c>
      <c r="U1200">
        <v>17.82</v>
      </c>
    </row>
    <row r="1201" spans="1:21" x14ac:dyDescent="0.3">
      <c r="A1201">
        <v>1200</v>
      </c>
      <c r="B1201" t="s">
        <v>1220</v>
      </c>
      <c r="C1201" s="2">
        <v>45768</v>
      </c>
      <c r="D1201" s="2">
        <v>45772</v>
      </c>
      <c r="E1201" t="s">
        <v>1521</v>
      </c>
      <c r="F1201" t="s">
        <v>1600</v>
      </c>
      <c r="G1201" t="s">
        <v>2234</v>
      </c>
      <c r="H1201" t="s">
        <v>2315</v>
      </c>
      <c r="I1201" t="s">
        <v>2317</v>
      </c>
      <c r="J1201" t="s">
        <v>2320</v>
      </c>
      <c r="K1201" t="s">
        <v>2320</v>
      </c>
      <c r="L1201">
        <v>656549</v>
      </c>
      <c r="M1201" t="s">
        <v>2330</v>
      </c>
      <c r="N1201" t="s">
        <v>2980</v>
      </c>
      <c r="O1201" t="s">
        <v>3055</v>
      </c>
      <c r="P1201" t="s">
        <v>3067</v>
      </c>
      <c r="Q1201" t="s">
        <v>3811</v>
      </c>
      <c r="R1201">
        <v>354.58</v>
      </c>
      <c r="S1201">
        <v>6</v>
      </c>
      <c r="T1201">
        <v>0.2</v>
      </c>
      <c r="U1201">
        <v>36.57</v>
      </c>
    </row>
    <row r="1202" spans="1:21" x14ac:dyDescent="0.3">
      <c r="A1202">
        <v>1201</v>
      </c>
      <c r="B1202" t="s">
        <v>1221</v>
      </c>
      <c r="C1202" s="2">
        <v>45577</v>
      </c>
      <c r="D1202" s="2">
        <v>45583</v>
      </c>
      <c r="E1202" t="s">
        <v>1521</v>
      </c>
      <c r="F1202" t="s">
        <v>1768</v>
      </c>
      <c r="G1202" t="s">
        <v>2226</v>
      </c>
      <c r="H1202" t="s">
        <v>2316</v>
      </c>
      <c r="I1202" t="s">
        <v>2317</v>
      </c>
      <c r="J1202" t="s">
        <v>2327</v>
      </c>
      <c r="K1202" t="s">
        <v>2327</v>
      </c>
      <c r="L1202">
        <v>495151</v>
      </c>
      <c r="M1202" t="s">
        <v>2330</v>
      </c>
      <c r="N1202" t="s">
        <v>2981</v>
      </c>
      <c r="O1202" t="s">
        <v>3055</v>
      </c>
      <c r="P1202" t="s">
        <v>3059</v>
      </c>
      <c r="Q1202" t="s">
        <v>3747</v>
      </c>
      <c r="R1202">
        <v>450.24</v>
      </c>
      <c r="S1202">
        <v>1</v>
      </c>
      <c r="T1202">
        <v>0.1</v>
      </c>
      <c r="U1202">
        <v>101.9</v>
      </c>
    </row>
    <row r="1203" spans="1:21" x14ac:dyDescent="0.3">
      <c r="A1203">
        <v>1202</v>
      </c>
      <c r="B1203" t="s">
        <v>1222</v>
      </c>
      <c r="C1203" s="2">
        <v>45435</v>
      </c>
      <c r="D1203" s="2">
        <v>45436</v>
      </c>
      <c r="E1203" t="s">
        <v>1524</v>
      </c>
      <c r="F1203" t="s">
        <v>1732</v>
      </c>
      <c r="G1203" t="s">
        <v>2089</v>
      </c>
      <c r="H1203" t="s">
        <v>2316</v>
      </c>
      <c r="I1203" t="s">
        <v>2317</v>
      </c>
      <c r="J1203" t="s">
        <v>2325</v>
      </c>
      <c r="K1203" t="s">
        <v>2325</v>
      </c>
      <c r="L1203">
        <v>989572</v>
      </c>
      <c r="M1203" t="s">
        <v>2332</v>
      </c>
      <c r="N1203" t="s">
        <v>2500</v>
      </c>
      <c r="O1203" t="s">
        <v>3053</v>
      </c>
      <c r="P1203" t="s">
        <v>3062</v>
      </c>
      <c r="Q1203" t="s">
        <v>3812</v>
      </c>
      <c r="R1203">
        <v>231.05</v>
      </c>
      <c r="S1203">
        <v>5</v>
      </c>
      <c r="T1203">
        <v>0.3</v>
      </c>
      <c r="U1203">
        <v>-0.48</v>
      </c>
    </row>
    <row r="1204" spans="1:21" x14ac:dyDescent="0.3">
      <c r="A1204">
        <v>1203</v>
      </c>
      <c r="B1204" t="s">
        <v>1223</v>
      </c>
      <c r="C1204" s="2">
        <v>45715</v>
      </c>
      <c r="D1204" s="2">
        <v>45717</v>
      </c>
      <c r="E1204" t="s">
        <v>1524</v>
      </c>
      <c r="F1204" t="s">
        <v>1728</v>
      </c>
      <c r="G1204" t="s">
        <v>2294</v>
      </c>
      <c r="H1204" t="s">
        <v>2315</v>
      </c>
      <c r="I1204" t="s">
        <v>2317</v>
      </c>
      <c r="J1204" t="s">
        <v>2323</v>
      </c>
      <c r="K1204" t="s">
        <v>2323</v>
      </c>
      <c r="L1204">
        <v>279913</v>
      </c>
      <c r="M1204" t="s">
        <v>2328</v>
      </c>
      <c r="N1204" t="s">
        <v>2626</v>
      </c>
      <c r="O1204" t="s">
        <v>3053</v>
      </c>
      <c r="P1204" t="s">
        <v>3066</v>
      </c>
      <c r="Q1204" t="s">
        <v>3531</v>
      </c>
      <c r="R1204">
        <v>256.85000000000002</v>
      </c>
      <c r="S1204">
        <v>1</v>
      </c>
      <c r="T1204">
        <v>0.05</v>
      </c>
      <c r="U1204">
        <v>65.17</v>
      </c>
    </row>
    <row r="1205" spans="1:21" x14ac:dyDescent="0.3">
      <c r="A1205">
        <v>1204</v>
      </c>
      <c r="B1205" t="s">
        <v>1224</v>
      </c>
      <c r="C1205" s="2">
        <v>45310</v>
      </c>
      <c r="D1205" s="2">
        <v>45312</v>
      </c>
      <c r="E1205" t="s">
        <v>1523</v>
      </c>
      <c r="F1205" t="s">
        <v>1723</v>
      </c>
      <c r="G1205" t="s">
        <v>2040</v>
      </c>
      <c r="H1205" t="s">
        <v>2316</v>
      </c>
      <c r="I1205" t="s">
        <v>2317</v>
      </c>
      <c r="J1205" t="s">
        <v>2320</v>
      </c>
      <c r="K1205" t="s">
        <v>2320</v>
      </c>
      <c r="L1205">
        <v>160941</v>
      </c>
      <c r="M1205" t="s">
        <v>2330</v>
      </c>
      <c r="N1205" t="s">
        <v>2732</v>
      </c>
      <c r="O1205" t="s">
        <v>3054</v>
      </c>
      <c r="P1205" t="s">
        <v>3057</v>
      </c>
      <c r="Q1205" t="s">
        <v>3368</v>
      </c>
      <c r="R1205">
        <v>40.159999999999997</v>
      </c>
      <c r="S1205">
        <v>3</v>
      </c>
      <c r="T1205">
        <v>0.4</v>
      </c>
      <c r="U1205">
        <v>-41.86</v>
      </c>
    </row>
    <row r="1206" spans="1:21" x14ac:dyDescent="0.3">
      <c r="A1206">
        <v>1205</v>
      </c>
      <c r="B1206" t="s">
        <v>1225</v>
      </c>
      <c r="C1206" s="2">
        <v>45309</v>
      </c>
      <c r="D1206" s="2">
        <v>45312</v>
      </c>
      <c r="E1206" t="s">
        <v>1522</v>
      </c>
      <c r="F1206" t="s">
        <v>1748</v>
      </c>
      <c r="G1206" t="s">
        <v>2189</v>
      </c>
      <c r="H1206" t="s">
        <v>2315</v>
      </c>
      <c r="I1206" t="s">
        <v>2317</v>
      </c>
      <c r="J1206" t="s">
        <v>2321</v>
      </c>
      <c r="K1206" t="s">
        <v>2321</v>
      </c>
      <c r="L1206">
        <v>884118</v>
      </c>
      <c r="M1206" t="s">
        <v>2329</v>
      </c>
      <c r="N1206" t="s">
        <v>2772</v>
      </c>
      <c r="O1206" t="s">
        <v>3055</v>
      </c>
      <c r="P1206" t="s">
        <v>3061</v>
      </c>
      <c r="Q1206" t="s">
        <v>3391</v>
      </c>
      <c r="R1206">
        <v>1226.55</v>
      </c>
      <c r="S1206">
        <v>6</v>
      </c>
      <c r="T1206">
        <v>0.05</v>
      </c>
      <c r="U1206">
        <v>159.94999999999999</v>
      </c>
    </row>
    <row r="1207" spans="1:21" x14ac:dyDescent="0.3">
      <c r="A1207">
        <v>1206</v>
      </c>
      <c r="B1207" t="s">
        <v>1226</v>
      </c>
      <c r="C1207" s="2">
        <v>45881</v>
      </c>
      <c r="D1207" s="2">
        <v>45885</v>
      </c>
      <c r="E1207" t="s">
        <v>1521</v>
      </c>
      <c r="F1207" t="s">
        <v>1546</v>
      </c>
      <c r="G1207" t="s">
        <v>2218</v>
      </c>
      <c r="H1207" t="s">
        <v>2314</v>
      </c>
      <c r="I1207" t="s">
        <v>2317</v>
      </c>
      <c r="J1207" t="s">
        <v>2319</v>
      </c>
      <c r="K1207" t="s">
        <v>2319</v>
      </c>
      <c r="L1207">
        <v>335281</v>
      </c>
      <c r="M1207" t="s">
        <v>2329</v>
      </c>
      <c r="N1207" t="s">
        <v>2968</v>
      </c>
      <c r="O1207" t="s">
        <v>3054</v>
      </c>
      <c r="P1207" t="s">
        <v>3063</v>
      </c>
      <c r="Q1207" t="s">
        <v>3457</v>
      </c>
      <c r="R1207">
        <v>74.09</v>
      </c>
      <c r="S1207">
        <v>5</v>
      </c>
      <c r="T1207">
        <v>0.3</v>
      </c>
      <c r="U1207">
        <v>-16.79</v>
      </c>
    </row>
    <row r="1208" spans="1:21" x14ac:dyDescent="0.3">
      <c r="A1208">
        <v>1207</v>
      </c>
      <c r="B1208" t="s">
        <v>1227</v>
      </c>
      <c r="C1208" s="2">
        <v>45662</v>
      </c>
      <c r="D1208" s="2">
        <v>45666</v>
      </c>
      <c r="E1208" t="s">
        <v>1524</v>
      </c>
      <c r="F1208" t="s">
        <v>1536</v>
      </c>
      <c r="G1208" t="s">
        <v>2036</v>
      </c>
      <c r="H1208" t="s">
        <v>2314</v>
      </c>
      <c r="I1208" t="s">
        <v>2317</v>
      </c>
      <c r="J1208" t="s">
        <v>2327</v>
      </c>
      <c r="K1208" t="s">
        <v>2327</v>
      </c>
      <c r="L1208">
        <v>703986</v>
      </c>
      <c r="M1208" t="s">
        <v>2330</v>
      </c>
      <c r="N1208" t="s">
        <v>2517</v>
      </c>
      <c r="O1208" t="s">
        <v>3055</v>
      </c>
      <c r="P1208" t="s">
        <v>3061</v>
      </c>
      <c r="Q1208" t="s">
        <v>3083</v>
      </c>
      <c r="R1208">
        <v>399.59</v>
      </c>
      <c r="S1208">
        <v>2</v>
      </c>
      <c r="T1208">
        <v>0.05</v>
      </c>
      <c r="U1208">
        <v>24.18</v>
      </c>
    </row>
    <row r="1209" spans="1:21" x14ac:dyDescent="0.3">
      <c r="A1209">
        <v>1208</v>
      </c>
      <c r="B1209" t="s">
        <v>1228</v>
      </c>
      <c r="C1209" s="2">
        <v>45466</v>
      </c>
      <c r="D1209" s="2">
        <v>45469</v>
      </c>
      <c r="E1209" t="s">
        <v>1522</v>
      </c>
      <c r="F1209" t="s">
        <v>1877</v>
      </c>
      <c r="G1209" t="s">
        <v>2007</v>
      </c>
      <c r="H1209" t="s">
        <v>2316</v>
      </c>
      <c r="I1209" t="s">
        <v>2317</v>
      </c>
      <c r="J1209" t="s">
        <v>2327</v>
      </c>
      <c r="K1209" t="s">
        <v>2327</v>
      </c>
      <c r="L1209">
        <v>505234</v>
      </c>
      <c r="M1209" t="s">
        <v>2330</v>
      </c>
      <c r="N1209" t="s">
        <v>2877</v>
      </c>
      <c r="O1209" t="s">
        <v>3055</v>
      </c>
      <c r="P1209" t="s">
        <v>3067</v>
      </c>
      <c r="Q1209" t="s">
        <v>3480</v>
      </c>
      <c r="R1209">
        <v>576.85</v>
      </c>
      <c r="S1209">
        <v>7</v>
      </c>
      <c r="T1209">
        <v>0.15</v>
      </c>
      <c r="U1209">
        <v>64.430000000000007</v>
      </c>
    </row>
    <row r="1210" spans="1:21" x14ac:dyDescent="0.3">
      <c r="A1210">
        <v>1209</v>
      </c>
      <c r="B1210" t="s">
        <v>1229</v>
      </c>
      <c r="C1210" s="2">
        <v>45485</v>
      </c>
      <c r="D1210" s="2">
        <v>45487</v>
      </c>
      <c r="E1210" t="s">
        <v>1521</v>
      </c>
      <c r="F1210" t="s">
        <v>1723</v>
      </c>
      <c r="G1210" t="s">
        <v>2287</v>
      </c>
      <c r="H1210" t="s">
        <v>2316</v>
      </c>
      <c r="I1210" t="s">
        <v>2317</v>
      </c>
      <c r="J1210" t="s">
        <v>2318</v>
      </c>
      <c r="K1210" t="s">
        <v>2318</v>
      </c>
      <c r="L1210">
        <v>161282</v>
      </c>
      <c r="M1210" t="s">
        <v>2328</v>
      </c>
      <c r="N1210" t="s">
        <v>2937</v>
      </c>
      <c r="O1210" t="s">
        <v>3053</v>
      </c>
      <c r="P1210" t="s">
        <v>3065</v>
      </c>
      <c r="Q1210" t="s">
        <v>3813</v>
      </c>
      <c r="R1210">
        <v>212.17</v>
      </c>
      <c r="S1210">
        <v>2</v>
      </c>
      <c r="T1210">
        <v>0.05</v>
      </c>
      <c r="U1210">
        <v>12.68</v>
      </c>
    </row>
    <row r="1211" spans="1:21" x14ac:dyDescent="0.3">
      <c r="A1211">
        <v>1210</v>
      </c>
      <c r="B1211" t="s">
        <v>1230</v>
      </c>
      <c r="C1211" s="2">
        <v>45793</v>
      </c>
      <c r="D1211" s="2">
        <v>45795</v>
      </c>
      <c r="E1211" t="s">
        <v>1523</v>
      </c>
      <c r="F1211" t="s">
        <v>1844</v>
      </c>
      <c r="G1211" t="s">
        <v>2126</v>
      </c>
      <c r="H1211" t="s">
        <v>2316</v>
      </c>
      <c r="I1211" t="s">
        <v>2317</v>
      </c>
      <c r="J1211" t="s">
        <v>2320</v>
      </c>
      <c r="K1211" t="s">
        <v>2320</v>
      </c>
      <c r="L1211">
        <v>278874</v>
      </c>
      <c r="M1211" t="s">
        <v>2330</v>
      </c>
      <c r="N1211" t="s">
        <v>2982</v>
      </c>
      <c r="O1211" t="s">
        <v>3053</v>
      </c>
      <c r="P1211" t="s">
        <v>3062</v>
      </c>
      <c r="Q1211" t="s">
        <v>3078</v>
      </c>
      <c r="R1211">
        <v>78.62</v>
      </c>
      <c r="S1211">
        <v>7</v>
      </c>
      <c r="T1211">
        <v>0.05</v>
      </c>
      <c r="U1211">
        <v>31.61</v>
      </c>
    </row>
    <row r="1212" spans="1:21" x14ac:dyDescent="0.3">
      <c r="A1212">
        <v>1211</v>
      </c>
      <c r="B1212" t="s">
        <v>1231</v>
      </c>
      <c r="C1212" s="2">
        <v>45404</v>
      </c>
      <c r="D1212" s="2">
        <v>45406</v>
      </c>
      <c r="E1212" t="s">
        <v>1524</v>
      </c>
      <c r="F1212" t="s">
        <v>1691</v>
      </c>
      <c r="G1212" t="s">
        <v>2305</v>
      </c>
      <c r="H1212" t="s">
        <v>2316</v>
      </c>
      <c r="I1212" t="s">
        <v>2317</v>
      </c>
      <c r="J1212" t="s">
        <v>2318</v>
      </c>
      <c r="K1212" t="s">
        <v>2318</v>
      </c>
      <c r="L1212">
        <v>907503</v>
      </c>
      <c r="M1212" t="s">
        <v>2328</v>
      </c>
      <c r="N1212" t="s">
        <v>2983</v>
      </c>
      <c r="O1212" t="s">
        <v>3054</v>
      </c>
      <c r="P1212" t="s">
        <v>3063</v>
      </c>
      <c r="Q1212" t="s">
        <v>3814</v>
      </c>
      <c r="R1212">
        <v>139.86000000000001</v>
      </c>
      <c r="S1212">
        <v>6</v>
      </c>
      <c r="T1212">
        <v>0.1</v>
      </c>
      <c r="U1212">
        <v>12.94</v>
      </c>
    </row>
    <row r="1213" spans="1:21" x14ac:dyDescent="0.3">
      <c r="A1213">
        <v>1212</v>
      </c>
      <c r="B1213" t="s">
        <v>1232</v>
      </c>
      <c r="C1213" s="2">
        <v>45405</v>
      </c>
      <c r="D1213" s="2">
        <v>45408</v>
      </c>
      <c r="E1213" t="s">
        <v>1523</v>
      </c>
      <c r="F1213" t="s">
        <v>1789</v>
      </c>
      <c r="G1213" t="s">
        <v>1961</v>
      </c>
      <c r="H1213" t="s">
        <v>2315</v>
      </c>
      <c r="I1213" t="s">
        <v>2317</v>
      </c>
      <c r="J1213" t="s">
        <v>2318</v>
      </c>
      <c r="K1213" t="s">
        <v>2318</v>
      </c>
      <c r="L1213">
        <v>397691</v>
      </c>
      <c r="M1213" t="s">
        <v>2328</v>
      </c>
      <c r="N1213" t="s">
        <v>2829</v>
      </c>
      <c r="O1213" t="s">
        <v>3054</v>
      </c>
      <c r="P1213" t="s">
        <v>3064</v>
      </c>
      <c r="Q1213" t="s">
        <v>3815</v>
      </c>
      <c r="R1213">
        <v>109.2</v>
      </c>
      <c r="S1213">
        <v>6</v>
      </c>
      <c r="T1213">
        <v>0.1</v>
      </c>
      <c r="U1213">
        <v>17.55</v>
      </c>
    </row>
    <row r="1214" spans="1:21" x14ac:dyDescent="0.3">
      <c r="A1214">
        <v>1213</v>
      </c>
      <c r="B1214" t="s">
        <v>1233</v>
      </c>
      <c r="C1214" s="2">
        <v>45513</v>
      </c>
      <c r="D1214" s="2">
        <v>45515</v>
      </c>
      <c r="E1214" t="s">
        <v>1524</v>
      </c>
      <c r="F1214" t="s">
        <v>1910</v>
      </c>
      <c r="G1214" t="s">
        <v>2306</v>
      </c>
      <c r="H1214" t="s">
        <v>2315</v>
      </c>
      <c r="I1214" t="s">
        <v>2317</v>
      </c>
      <c r="J1214" t="s">
        <v>2319</v>
      </c>
      <c r="K1214" t="s">
        <v>2319</v>
      </c>
      <c r="L1214">
        <v>504255</v>
      </c>
      <c r="M1214" t="s">
        <v>2329</v>
      </c>
      <c r="N1214" t="s">
        <v>2945</v>
      </c>
      <c r="O1214" t="s">
        <v>3054</v>
      </c>
      <c r="P1214" t="s">
        <v>3057</v>
      </c>
      <c r="Q1214" t="s">
        <v>3807</v>
      </c>
      <c r="R1214">
        <v>392.29</v>
      </c>
      <c r="S1214">
        <v>4</v>
      </c>
      <c r="T1214">
        <v>0.15</v>
      </c>
      <c r="U1214">
        <v>56.33</v>
      </c>
    </row>
    <row r="1215" spans="1:21" x14ac:dyDescent="0.3">
      <c r="A1215">
        <v>1214</v>
      </c>
      <c r="B1215" t="s">
        <v>1234</v>
      </c>
      <c r="C1215" s="2">
        <v>45969</v>
      </c>
      <c r="D1215" s="2">
        <v>45972</v>
      </c>
      <c r="E1215" t="s">
        <v>1523</v>
      </c>
      <c r="F1215" t="s">
        <v>1556</v>
      </c>
      <c r="G1215" t="s">
        <v>1956</v>
      </c>
      <c r="H1215" t="s">
        <v>2316</v>
      </c>
      <c r="I1215" t="s">
        <v>2317</v>
      </c>
      <c r="J1215" t="s">
        <v>2326</v>
      </c>
      <c r="K1215" t="s">
        <v>2326</v>
      </c>
      <c r="L1215">
        <v>597981</v>
      </c>
      <c r="M1215" t="s">
        <v>2331</v>
      </c>
      <c r="N1215" t="s">
        <v>2964</v>
      </c>
      <c r="O1215" t="s">
        <v>3054</v>
      </c>
      <c r="P1215" t="s">
        <v>3058</v>
      </c>
      <c r="Q1215" t="s">
        <v>3303</v>
      </c>
      <c r="R1215">
        <v>113.49</v>
      </c>
      <c r="S1215">
        <v>8</v>
      </c>
      <c r="T1215">
        <v>0</v>
      </c>
      <c r="U1215">
        <v>65.06</v>
      </c>
    </row>
    <row r="1216" spans="1:21" x14ac:dyDescent="0.3">
      <c r="A1216">
        <v>1215</v>
      </c>
      <c r="B1216" t="s">
        <v>1235</v>
      </c>
      <c r="C1216" s="2">
        <v>45935</v>
      </c>
      <c r="D1216" s="2">
        <v>45937</v>
      </c>
      <c r="E1216" t="s">
        <v>1523</v>
      </c>
      <c r="F1216" t="s">
        <v>1526</v>
      </c>
      <c r="G1216" t="s">
        <v>2280</v>
      </c>
      <c r="H1216" t="s">
        <v>2314</v>
      </c>
      <c r="I1216" t="s">
        <v>2317</v>
      </c>
      <c r="J1216" t="s">
        <v>2320</v>
      </c>
      <c r="K1216" t="s">
        <v>2320</v>
      </c>
      <c r="L1216">
        <v>374371</v>
      </c>
      <c r="M1216" t="s">
        <v>2330</v>
      </c>
      <c r="N1216" t="s">
        <v>2724</v>
      </c>
      <c r="O1216" t="s">
        <v>3054</v>
      </c>
      <c r="P1216" t="s">
        <v>3058</v>
      </c>
      <c r="Q1216" t="s">
        <v>3338</v>
      </c>
      <c r="R1216">
        <v>120.71</v>
      </c>
      <c r="S1216">
        <v>9</v>
      </c>
      <c r="T1216">
        <v>0.2</v>
      </c>
      <c r="U1216">
        <v>-4.3</v>
      </c>
    </row>
    <row r="1217" spans="1:21" x14ac:dyDescent="0.3">
      <c r="A1217">
        <v>1216</v>
      </c>
      <c r="B1217" t="s">
        <v>1236</v>
      </c>
      <c r="C1217" s="2">
        <v>45555</v>
      </c>
      <c r="D1217" s="2">
        <v>45558</v>
      </c>
      <c r="E1217" t="s">
        <v>1522</v>
      </c>
      <c r="F1217" t="s">
        <v>1688</v>
      </c>
      <c r="G1217" t="s">
        <v>2307</v>
      </c>
      <c r="H1217" t="s">
        <v>2315</v>
      </c>
      <c r="I1217" t="s">
        <v>2317</v>
      </c>
      <c r="J1217" t="s">
        <v>2322</v>
      </c>
      <c r="K1217" t="s">
        <v>2322</v>
      </c>
      <c r="L1217">
        <v>692237</v>
      </c>
      <c r="M1217" t="s">
        <v>2331</v>
      </c>
      <c r="N1217" t="s">
        <v>2644</v>
      </c>
      <c r="O1217" t="s">
        <v>3053</v>
      </c>
      <c r="P1217" t="s">
        <v>3065</v>
      </c>
      <c r="Q1217" t="s">
        <v>3816</v>
      </c>
      <c r="R1217">
        <v>122.56</v>
      </c>
      <c r="S1217">
        <v>6</v>
      </c>
      <c r="T1217">
        <v>0.05</v>
      </c>
      <c r="U1217">
        <v>26.86</v>
      </c>
    </row>
    <row r="1218" spans="1:21" x14ac:dyDescent="0.3">
      <c r="A1218">
        <v>1217</v>
      </c>
      <c r="B1218" t="s">
        <v>1237</v>
      </c>
      <c r="C1218" s="2">
        <v>45346</v>
      </c>
      <c r="D1218" s="2">
        <v>45349</v>
      </c>
      <c r="E1218" t="s">
        <v>1522</v>
      </c>
      <c r="F1218" t="s">
        <v>1864</v>
      </c>
      <c r="G1218" t="s">
        <v>1942</v>
      </c>
      <c r="H1218" t="s">
        <v>2315</v>
      </c>
      <c r="I1218" t="s">
        <v>2317</v>
      </c>
      <c r="J1218" t="s">
        <v>2323</v>
      </c>
      <c r="K1218" t="s">
        <v>2323</v>
      </c>
      <c r="L1218">
        <v>756334</v>
      </c>
      <c r="M1218" t="s">
        <v>2328</v>
      </c>
      <c r="N1218" t="s">
        <v>2470</v>
      </c>
      <c r="O1218" t="s">
        <v>3054</v>
      </c>
      <c r="P1218" t="s">
        <v>3058</v>
      </c>
      <c r="Q1218" t="s">
        <v>3124</v>
      </c>
      <c r="R1218">
        <v>68.17</v>
      </c>
      <c r="S1218">
        <v>7</v>
      </c>
      <c r="T1218">
        <v>0.4</v>
      </c>
      <c r="U1218">
        <v>-30.74</v>
      </c>
    </row>
    <row r="1219" spans="1:21" x14ac:dyDescent="0.3">
      <c r="A1219">
        <v>1218</v>
      </c>
      <c r="B1219" t="s">
        <v>1238</v>
      </c>
      <c r="C1219" s="2">
        <v>45934</v>
      </c>
      <c r="D1219" s="2">
        <v>45936</v>
      </c>
      <c r="E1219" t="s">
        <v>1521</v>
      </c>
      <c r="F1219" t="s">
        <v>1550</v>
      </c>
      <c r="G1219" t="s">
        <v>2129</v>
      </c>
      <c r="H1219" t="s">
        <v>2315</v>
      </c>
      <c r="I1219" t="s">
        <v>2317</v>
      </c>
      <c r="J1219" t="s">
        <v>2318</v>
      </c>
      <c r="K1219" t="s">
        <v>2318</v>
      </c>
      <c r="L1219">
        <v>620715</v>
      </c>
      <c r="M1219" t="s">
        <v>2328</v>
      </c>
      <c r="N1219" t="s">
        <v>2984</v>
      </c>
      <c r="O1219" t="s">
        <v>3054</v>
      </c>
      <c r="P1219" t="s">
        <v>3064</v>
      </c>
      <c r="Q1219" t="s">
        <v>3222</v>
      </c>
      <c r="R1219">
        <v>86.85</v>
      </c>
      <c r="S1219">
        <v>9</v>
      </c>
      <c r="T1219">
        <v>0.4</v>
      </c>
      <c r="U1219">
        <v>-33.9</v>
      </c>
    </row>
    <row r="1220" spans="1:21" x14ac:dyDescent="0.3">
      <c r="A1220">
        <v>1219</v>
      </c>
      <c r="B1220" t="s">
        <v>1239</v>
      </c>
      <c r="C1220" s="2">
        <v>45749</v>
      </c>
      <c r="D1220" s="2">
        <v>45752</v>
      </c>
      <c r="E1220" t="s">
        <v>1523</v>
      </c>
      <c r="F1220" t="s">
        <v>1883</v>
      </c>
      <c r="G1220" t="s">
        <v>2056</v>
      </c>
      <c r="H1220" t="s">
        <v>2314</v>
      </c>
      <c r="I1220" t="s">
        <v>2317</v>
      </c>
      <c r="J1220" t="s">
        <v>2325</v>
      </c>
      <c r="K1220" t="s">
        <v>2325</v>
      </c>
      <c r="L1220">
        <v>861177</v>
      </c>
      <c r="M1220" t="s">
        <v>2332</v>
      </c>
      <c r="N1220" t="s">
        <v>2475</v>
      </c>
      <c r="O1220" t="s">
        <v>3055</v>
      </c>
      <c r="P1220" t="s">
        <v>3061</v>
      </c>
      <c r="Q1220" t="s">
        <v>3083</v>
      </c>
      <c r="R1220">
        <v>328.27</v>
      </c>
      <c r="S1220">
        <v>3</v>
      </c>
      <c r="T1220">
        <v>0.2</v>
      </c>
      <c r="U1220">
        <v>0.17</v>
      </c>
    </row>
    <row r="1221" spans="1:21" x14ac:dyDescent="0.3">
      <c r="A1221">
        <v>1220</v>
      </c>
      <c r="B1221" t="s">
        <v>1240</v>
      </c>
      <c r="C1221" s="2">
        <v>45453</v>
      </c>
      <c r="D1221" s="2">
        <v>45456</v>
      </c>
      <c r="E1221" t="s">
        <v>1522</v>
      </c>
      <c r="F1221" t="s">
        <v>1611</v>
      </c>
      <c r="G1221" t="s">
        <v>1926</v>
      </c>
      <c r="H1221" t="s">
        <v>2316</v>
      </c>
      <c r="I1221" t="s">
        <v>2317</v>
      </c>
      <c r="J1221" t="s">
        <v>2324</v>
      </c>
      <c r="K1221" t="s">
        <v>2324</v>
      </c>
      <c r="L1221">
        <v>463877</v>
      </c>
      <c r="M1221" t="s">
        <v>2330</v>
      </c>
      <c r="N1221" t="s">
        <v>2516</v>
      </c>
      <c r="O1221" t="s">
        <v>3054</v>
      </c>
      <c r="P1221" t="s">
        <v>3057</v>
      </c>
      <c r="Q1221" t="s">
        <v>3287</v>
      </c>
      <c r="R1221">
        <v>60.27</v>
      </c>
      <c r="S1221">
        <v>2</v>
      </c>
      <c r="T1221">
        <v>0.2</v>
      </c>
      <c r="U1221">
        <v>-31.93</v>
      </c>
    </row>
    <row r="1222" spans="1:21" x14ac:dyDescent="0.3">
      <c r="A1222">
        <v>1221</v>
      </c>
      <c r="B1222" t="s">
        <v>1241</v>
      </c>
      <c r="C1222" s="2">
        <v>45671</v>
      </c>
      <c r="D1222" s="2">
        <v>45673</v>
      </c>
      <c r="E1222" t="s">
        <v>1523</v>
      </c>
      <c r="F1222" t="s">
        <v>1808</v>
      </c>
      <c r="G1222" t="s">
        <v>2060</v>
      </c>
      <c r="H1222" t="s">
        <v>2315</v>
      </c>
      <c r="I1222" t="s">
        <v>2317</v>
      </c>
      <c r="J1222" t="s">
        <v>2325</v>
      </c>
      <c r="K1222" t="s">
        <v>2325</v>
      </c>
      <c r="L1222">
        <v>953707</v>
      </c>
      <c r="M1222" t="s">
        <v>2332</v>
      </c>
      <c r="N1222" t="s">
        <v>2985</v>
      </c>
      <c r="O1222" t="s">
        <v>3055</v>
      </c>
      <c r="P1222" t="s">
        <v>3060</v>
      </c>
      <c r="Q1222" t="s">
        <v>3556</v>
      </c>
      <c r="R1222">
        <v>566.01</v>
      </c>
      <c r="S1222">
        <v>6</v>
      </c>
      <c r="T1222">
        <v>0.4</v>
      </c>
      <c r="U1222">
        <v>-23.22</v>
      </c>
    </row>
    <row r="1223" spans="1:21" x14ac:dyDescent="0.3">
      <c r="A1223">
        <v>1222</v>
      </c>
      <c r="B1223" t="s">
        <v>1242</v>
      </c>
      <c r="C1223" s="2">
        <v>45378</v>
      </c>
      <c r="D1223" s="2">
        <v>45381</v>
      </c>
      <c r="E1223" t="s">
        <v>1522</v>
      </c>
      <c r="F1223" t="s">
        <v>1771</v>
      </c>
      <c r="G1223" t="s">
        <v>2074</v>
      </c>
      <c r="H1223" t="s">
        <v>2314</v>
      </c>
      <c r="I1223" t="s">
        <v>2317</v>
      </c>
      <c r="J1223" t="s">
        <v>2319</v>
      </c>
      <c r="K1223" t="s">
        <v>2319</v>
      </c>
      <c r="L1223">
        <v>421660</v>
      </c>
      <c r="M1223" t="s">
        <v>2329</v>
      </c>
      <c r="N1223" t="s">
        <v>2986</v>
      </c>
      <c r="O1223" t="s">
        <v>3053</v>
      </c>
      <c r="P1223" t="s">
        <v>3066</v>
      </c>
      <c r="Q1223" t="s">
        <v>3273</v>
      </c>
      <c r="R1223">
        <v>105.91</v>
      </c>
      <c r="S1223">
        <v>9</v>
      </c>
      <c r="T1223">
        <v>0.05</v>
      </c>
      <c r="U1223">
        <v>31.28</v>
      </c>
    </row>
    <row r="1224" spans="1:21" x14ac:dyDescent="0.3">
      <c r="A1224">
        <v>1223</v>
      </c>
      <c r="B1224" t="s">
        <v>1243</v>
      </c>
      <c r="C1224" s="2">
        <v>45346</v>
      </c>
      <c r="D1224" s="2">
        <v>45348</v>
      </c>
      <c r="E1224" t="s">
        <v>1521</v>
      </c>
      <c r="F1224" t="s">
        <v>1810</v>
      </c>
      <c r="G1224" t="s">
        <v>1990</v>
      </c>
      <c r="H1224" t="s">
        <v>2314</v>
      </c>
      <c r="I1224" t="s">
        <v>2317</v>
      </c>
      <c r="J1224" t="s">
        <v>2319</v>
      </c>
      <c r="K1224" t="s">
        <v>2319</v>
      </c>
      <c r="L1224">
        <v>616929</v>
      </c>
      <c r="M1224" t="s">
        <v>2329</v>
      </c>
      <c r="N1224" t="s">
        <v>2511</v>
      </c>
      <c r="O1224" t="s">
        <v>3054</v>
      </c>
      <c r="P1224" t="s">
        <v>3057</v>
      </c>
      <c r="Q1224" t="s">
        <v>3436</v>
      </c>
      <c r="R1224">
        <v>90.54</v>
      </c>
      <c r="S1224">
        <v>4</v>
      </c>
      <c r="T1224">
        <v>0.15</v>
      </c>
      <c r="U1224">
        <v>15.77</v>
      </c>
    </row>
    <row r="1225" spans="1:21" x14ac:dyDescent="0.3">
      <c r="A1225">
        <v>1224</v>
      </c>
      <c r="B1225" t="s">
        <v>1244</v>
      </c>
      <c r="C1225" s="2">
        <v>45767</v>
      </c>
      <c r="D1225" s="2">
        <v>45770</v>
      </c>
      <c r="E1225" t="s">
        <v>1522</v>
      </c>
      <c r="F1225" t="s">
        <v>1837</v>
      </c>
      <c r="G1225" t="s">
        <v>2098</v>
      </c>
      <c r="H1225" t="s">
        <v>2315</v>
      </c>
      <c r="I1225" t="s">
        <v>2317</v>
      </c>
      <c r="J1225" t="s">
        <v>2321</v>
      </c>
      <c r="K1225" t="s">
        <v>2321</v>
      </c>
      <c r="L1225">
        <v>908391</v>
      </c>
      <c r="M1225" t="s">
        <v>2329</v>
      </c>
      <c r="N1225" t="s">
        <v>2618</v>
      </c>
      <c r="O1225" t="s">
        <v>3055</v>
      </c>
      <c r="P1225" t="s">
        <v>3059</v>
      </c>
      <c r="Q1225" t="s">
        <v>3252</v>
      </c>
      <c r="R1225">
        <v>316.7</v>
      </c>
      <c r="S1225">
        <v>4</v>
      </c>
      <c r="T1225">
        <v>0.2</v>
      </c>
      <c r="U1225">
        <v>23.81</v>
      </c>
    </row>
    <row r="1226" spans="1:21" x14ac:dyDescent="0.3">
      <c r="A1226">
        <v>1225</v>
      </c>
      <c r="B1226" t="s">
        <v>1245</v>
      </c>
      <c r="C1226" s="2">
        <v>45469</v>
      </c>
      <c r="D1226" s="2">
        <v>45473</v>
      </c>
      <c r="E1226" t="s">
        <v>1522</v>
      </c>
      <c r="F1226" t="s">
        <v>1807</v>
      </c>
      <c r="G1226" t="s">
        <v>2246</v>
      </c>
      <c r="H1226" t="s">
        <v>2316</v>
      </c>
      <c r="I1226" t="s">
        <v>2317</v>
      </c>
      <c r="J1226" t="s">
        <v>2326</v>
      </c>
      <c r="K1226" t="s">
        <v>2326</v>
      </c>
      <c r="L1226">
        <v>871280</v>
      </c>
      <c r="M1226" t="s">
        <v>2331</v>
      </c>
      <c r="N1226" t="s">
        <v>2840</v>
      </c>
      <c r="O1226" t="s">
        <v>3055</v>
      </c>
      <c r="P1226" t="s">
        <v>3067</v>
      </c>
      <c r="Q1226" t="s">
        <v>3381</v>
      </c>
      <c r="R1226">
        <v>453.86</v>
      </c>
      <c r="S1226">
        <v>7</v>
      </c>
      <c r="T1226">
        <v>0.4</v>
      </c>
      <c r="U1226">
        <v>-44.25</v>
      </c>
    </row>
    <row r="1227" spans="1:21" x14ac:dyDescent="0.3">
      <c r="A1227">
        <v>1226</v>
      </c>
      <c r="B1227" t="s">
        <v>1246</v>
      </c>
      <c r="C1227" s="2">
        <v>45682</v>
      </c>
      <c r="D1227" s="2">
        <v>45688</v>
      </c>
      <c r="E1227" t="s">
        <v>1523</v>
      </c>
      <c r="F1227" t="s">
        <v>1821</v>
      </c>
      <c r="G1227" t="s">
        <v>2249</v>
      </c>
      <c r="H1227" t="s">
        <v>2315</v>
      </c>
      <c r="I1227" t="s">
        <v>2317</v>
      </c>
      <c r="J1227" t="s">
        <v>2323</v>
      </c>
      <c r="K1227" t="s">
        <v>2323</v>
      </c>
      <c r="L1227">
        <v>943976</v>
      </c>
      <c r="M1227" t="s">
        <v>2328</v>
      </c>
      <c r="N1227" t="s">
        <v>2684</v>
      </c>
      <c r="O1227" t="s">
        <v>3054</v>
      </c>
      <c r="P1227" t="s">
        <v>3064</v>
      </c>
      <c r="Q1227" t="s">
        <v>3817</v>
      </c>
      <c r="R1227">
        <v>127.73</v>
      </c>
      <c r="S1227">
        <v>1</v>
      </c>
      <c r="T1227">
        <v>0.2</v>
      </c>
      <c r="U1227">
        <v>7.77</v>
      </c>
    </row>
    <row r="1228" spans="1:21" x14ac:dyDescent="0.3">
      <c r="A1228">
        <v>1227</v>
      </c>
      <c r="B1228" t="s">
        <v>1247</v>
      </c>
      <c r="C1228" s="2">
        <v>45640</v>
      </c>
      <c r="D1228" s="2">
        <v>45643</v>
      </c>
      <c r="E1228" t="s">
        <v>1522</v>
      </c>
      <c r="F1228" t="s">
        <v>1650</v>
      </c>
      <c r="G1228" t="s">
        <v>1945</v>
      </c>
      <c r="H1228" t="s">
        <v>2316</v>
      </c>
      <c r="I1228" t="s">
        <v>2317</v>
      </c>
      <c r="J1228" t="s">
        <v>2318</v>
      </c>
      <c r="K1228" t="s">
        <v>2318</v>
      </c>
      <c r="L1228">
        <v>485383</v>
      </c>
      <c r="M1228" t="s">
        <v>2328</v>
      </c>
      <c r="N1228" t="s">
        <v>2712</v>
      </c>
      <c r="O1228" t="s">
        <v>3054</v>
      </c>
      <c r="P1228" t="s">
        <v>3064</v>
      </c>
      <c r="Q1228" t="s">
        <v>3511</v>
      </c>
      <c r="R1228">
        <v>238.83</v>
      </c>
      <c r="S1228">
        <v>4</v>
      </c>
      <c r="T1228">
        <v>0.15</v>
      </c>
      <c r="U1228">
        <v>14.73</v>
      </c>
    </row>
    <row r="1229" spans="1:21" x14ac:dyDescent="0.3">
      <c r="A1229">
        <v>1228</v>
      </c>
      <c r="B1229" t="s">
        <v>1248</v>
      </c>
      <c r="C1229" s="2">
        <v>45299</v>
      </c>
      <c r="D1229" s="2">
        <v>45302</v>
      </c>
      <c r="E1229" t="s">
        <v>1524</v>
      </c>
      <c r="F1229" t="s">
        <v>1540</v>
      </c>
      <c r="G1229" t="s">
        <v>2124</v>
      </c>
      <c r="H1229" t="s">
        <v>2315</v>
      </c>
      <c r="I1229" t="s">
        <v>2317</v>
      </c>
      <c r="J1229" t="s">
        <v>2325</v>
      </c>
      <c r="K1229" t="s">
        <v>2325</v>
      </c>
      <c r="L1229">
        <v>282992</v>
      </c>
      <c r="M1229" t="s">
        <v>2332</v>
      </c>
      <c r="N1229" t="s">
        <v>2987</v>
      </c>
      <c r="O1229" t="s">
        <v>3055</v>
      </c>
      <c r="P1229" t="s">
        <v>3059</v>
      </c>
      <c r="Q1229" t="s">
        <v>3818</v>
      </c>
      <c r="R1229">
        <v>417.02</v>
      </c>
      <c r="S1229">
        <v>4</v>
      </c>
      <c r="T1229">
        <v>0.1</v>
      </c>
      <c r="U1229">
        <v>37.479999999999997</v>
      </c>
    </row>
    <row r="1230" spans="1:21" x14ac:dyDescent="0.3">
      <c r="A1230">
        <v>1229</v>
      </c>
      <c r="B1230" t="s">
        <v>1249</v>
      </c>
      <c r="C1230" s="2">
        <v>45604</v>
      </c>
      <c r="D1230" s="2">
        <v>45607</v>
      </c>
      <c r="E1230" t="s">
        <v>1523</v>
      </c>
      <c r="F1230" t="s">
        <v>1751</v>
      </c>
      <c r="G1230" t="s">
        <v>2055</v>
      </c>
      <c r="H1230" t="s">
        <v>2314</v>
      </c>
      <c r="I1230" t="s">
        <v>2317</v>
      </c>
      <c r="J1230" t="s">
        <v>2324</v>
      </c>
      <c r="K1230" t="s">
        <v>2324</v>
      </c>
      <c r="L1230">
        <v>283097</v>
      </c>
      <c r="M1230" t="s">
        <v>2330</v>
      </c>
      <c r="N1230" t="s">
        <v>2712</v>
      </c>
      <c r="O1230" t="s">
        <v>3054</v>
      </c>
      <c r="P1230" t="s">
        <v>3063</v>
      </c>
      <c r="Q1230" t="s">
        <v>3154</v>
      </c>
      <c r="R1230">
        <v>166.44</v>
      </c>
      <c r="S1230">
        <v>6</v>
      </c>
      <c r="T1230">
        <v>0.1</v>
      </c>
      <c r="U1230">
        <v>0.31</v>
      </c>
    </row>
    <row r="1231" spans="1:21" x14ac:dyDescent="0.3">
      <c r="A1231">
        <v>1230</v>
      </c>
      <c r="B1231" t="s">
        <v>1250</v>
      </c>
      <c r="C1231" s="2">
        <v>45734</v>
      </c>
      <c r="D1231" s="2">
        <v>45739</v>
      </c>
      <c r="E1231" t="s">
        <v>1524</v>
      </c>
      <c r="F1231" t="s">
        <v>1537</v>
      </c>
      <c r="G1231" t="s">
        <v>2211</v>
      </c>
      <c r="H1231" t="s">
        <v>2315</v>
      </c>
      <c r="I1231" t="s">
        <v>2317</v>
      </c>
      <c r="J1231" t="s">
        <v>2319</v>
      </c>
      <c r="K1231" t="s">
        <v>2319</v>
      </c>
      <c r="L1231">
        <v>293399</v>
      </c>
      <c r="M1231" t="s">
        <v>2329</v>
      </c>
      <c r="N1231" t="s">
        <v>2706</v>
      </c>
      <c r="O1231" t="s">
        <v>3053</v>
      </c>
      <c r="P1231" t="s">
        <v>3056</v>
      </c>
      <c r="Q1231" t="s">
        <v>3819</v>
      </c>
      <c r="R1231">
        <v>160</v>
      </c>
      <c r="S1231">
        <v>5</v>
      </c>
      <c r="T1231">
        <v>0.15</v>
      </c>
      <c r="U1231">
        <v>30.34</v>
      </c>
    </row>
    <row r="1232" spans="1:21" x14ac:dyDescent="0.3">
      <c r="A1232">
        <v>1231</v>
      </c>
      <c r="B1232" t="s">
        <v>1251</v>
      </c>
      <c r="C1232" s="2">
        <v>45619</v>
      </c>
      <c r="D1232" s="2">
        <v>45622</v>
      </c>
      <c r="E1232" t="s">
        <v>1523</v>
      </c>
      <c r="F1232" t="s">
        <v>1692</v>
      </c>
      <c r="G1232" t="s">
        <v>1951</v>
      </c>
      <c r="H1232" t="s">
        <v>2316</v>
      </c>
      <c r="I1232" t="s">
        <v>2317</v>
      </c>
      <c r="J1232" t="s">
        <v>2319</v>
      </c>
      <c r="K1232" t="s">
        <v>2319</v>
      </c>
      <c r="L1232">
        <v>238721</v>
      </c>
      <c r="M1232" t="s">
        <v>2329</v>
      </c>
      <c r="N1232" t="s">
        <v>2988</v>
      </c>
      <c r="O1232" t="s">
        <v>3053</v>
      </c>
      <c r="P1232" t="s">
        <v>3066</v>
      </c>
      <c r="Q1232" t="s">
        <v>3440</v>
      </c>
      <c r="R1232">
        <v>261.55</v>
      </c>
      <c r="S1232">
        <v>8</v>
      </c>
      <c r="T1232">
        <v>0.2</v>
      </c>
      <c r="U1232">
        <v>12.59</v>
      </c>
    </row>
    <row r="1233" spans="1:21" x14ac:dyDescent="0.3">
      <c r="A1233">
        <v>1232</v>
      </c>
      <c r="B1233" t="s">
        <v>1252</v>
      </c>
      <c r="C1233" s="2">
        <v>45345</v>
      </c>
      <c r="D1233" s="2">
        <v>45349</v>
      </c>
      <c r="E1233" t="s">
        <v>1523</v>
      </c>
      <c r="F1233" t="s">
        <v>1911</v>
      </c>
      <c r="G1233" t="s">
        <v>2080</v>
      </c>
      <c r="H1233" t="s">
        <v>2316</v>
      </c>
      <c r="I1233" t="s">
        <v>2317</v>
      </c>
      <c r="J1233" t="s">
        <v>2326</v>
      </c>
      <c r="K1233" t="s">
        <v>2326</v>
      </c>
      <c r="L1233">
        <v>587043</v>
      </c>
      <c r="M1233" t="s">
        <v>2331</v>
      </c>
      <c r="N1233" t="s">
        <v>2678</v>
      </c>
      <c r="O1233" t="s">
        <v>3054</v>
      </c>
      <c r="P1233" t="s">
        <v>3058</v>
      </c>
      <c r="Q1233" t="s">
        <v>3518</v>
      </c>
      <c r="R1233">
        <v>93.72</v>
      </c>
      <c r="S1233">
        <v>9</v>
      </c>
      <c r="T1233">
        <v>0.2</v>
      </c>
      <c r="U1233">
        <v>-0.44</v>
      </c>
    </row>
    <row r="1234" spans="1:21" x14ac:dyDescent="0.3">
      <c r="A1234">
        <v>1233</v>
      </c>
      <c r="B1234" t="s">
        <v>1253</v>
      </c>
      <c r="C1234" s="2">
        <v>45530</v>
      </c>
      <c r="D1234" s="2">
        <v>45533</v>
      </c>
      <c r="E1234" t="s">
        <v>1524</v>
      </c>
      <c r="F1234" t="s">
        <v>1764</v>
      </c>
      <c r="G1234" t="s">
        <v>2302</v>
      </c>
      <c r="H1234" t="s">
        <v>2316</v>
      </c>
      <c r="I1234" t="s">
        <v>2317</v>
      </c>
      <c r="J1234" t="s">
        <v>2324</v>
      </c>
      <c r="K1234" t="s">
        <v>2324</v>
      </c>
      <c r="L1234">
        <v>262198</v>
      </c>
      <c r="M1234" t="s">
        <v>2330</v>
      </c>
      <c r="N1234" t="s">
        <v>2985</v>
      </c>
      <c r="O1234" t="s">
        <v>3054</v>
      </c>
      <c r="P1234" t="s">
        <v>3058</v>
      </c>
      <c r="Q1234" t="s">
        <v>3508</v>
      </c>
      <c r="R1234">
        <v>42.62</v>
      </c>
      <c r="S1234">
        <v>9</v>
      </c>
      <c r="T1234">
        <v>0.15</v>
      </c>
      <c r="U1234">
        <v>48.9</v>
      </c>
    </row>
    <row r="1235" spans="1:21" x14ac:dyDescent="0.3">
      <c r="A1235">
        <v>1234</v>
      </c>
      <c r="B1235" t="s">
        <v>1254</v>
      </c>
      <c r="C1235" s="2">
        <v>45520</v>
      </c>
      <c r="D1235" s="2">
        <v>45525</v>
      </c>
      <c r="E1235" t="s">
        <v>1521</v>
      </c>
      <c r="F1235" t="s">
        <v>1879</v>
      </c>
      <c r="G1235" t="s">
        <v>2121</v>
      </c>
      <c r="H1235" t="s">
        <v>2315</v>
      </c>
      <c r="I1235" t="s">
        <v>2317</v>
      </c>
      <c r="J1235" t="s">
        <v>2324</v>
      </c>
      <c r="K1235" t="s">
        <v>2324</v>
      </c>
      <c r="L1235">
        <v>517236</v>
      </c>
      <c r="M1235" t="s">
        <v>2330</v>
      </c>
      <c r="N1235" t="s">
        <v>2989</v>
      </c>
      <c r="O1235" t="s">
        <v>3053</v>
      </c>
      <c r="P1235" t="s">
        <v>3066</v>
      </c>
      <c r="Q1235" t="s">
        <v>3820</v>
      </c>
      <c r="R1235">
        <v>102.9</v>
      </c>
      <c r="S1235">
        <v>7</v>
      </c>
      <c r="T1235">
        <v>0.15</v>
      </c>
      <c r="U1235">
        <v>-42.46</v>
      </c>
    </row>
    <row r="1236" spans="1:21" x14ac:dyDescent="0.3">
      <c r="A1236">
        <v>1235</v>
      </c>
      <c r="B1236" t="s">
        <v>1255</v>
      </c>
      <c r="C1236" s="2">
        <v>45870</v>
      </c>
      <c r="D1236" s="2">
        <v>45875</v>
      </c>
      <c r="E1236" t="s">
        <v>1523</v>
      </c>
      <c r="F1236" t="s">
        <v>1729</v>
      </c>
      <c r="G1236" t="s">
        <v>1988</v>
      </c>
      <c r="H1236" t="s">
        <v>2315</v>
      </c>
      <c r="I1236" t="s">
        <v>2317</v>
      </c>
      <c r="J1236" t="s">
        <v>2326</v>
      </c>
      <c r="K1236" t="s">
        <v>2326</v>
      </c>
      <c r="L1236">
        <v>157564</v>
      </c>
      <c r="M1236" t="s">
        <v>2331</v>
      </c>
      <c r="N1236" t="s">
        <v>2519</v>
      </c>
      <c r="O1236" t="s">
        <v>3054</v>
      </c>
      <c r="P1236" t="s">
        <v>3058</v>
      </c>
      <c r="Q1236" t="s">
        <v>3299</v>
      </c>
      <c r="R1236">
        <v>113.17</v>
      </c>
      <c r="S1236">
        <v>9</v>
      </c>
      <c r="T1236">
        <v>0.3</v>
      </c>
      <c r="U1236">
        <v>-34.67</v>
      </c>
    </row>
    <row r="1237" spans="1:21" x14ac:dyDescent="0.3">
      <c r="A1237">
        <v>1236</v>
      </c>
      <c r="B1237" t="s">
        <v>1256</v>
      </c>
      <c r="C1237" s="2">
        <v>45342</v>
      </c>
      <c r="D1237" s="2">
        <v>45344</v>
      </c>
      <c r="E1237" t="s">
        <v>1521</v>
      </c>
      <c r="F1237" t="s">
        <v>1732</v>
      </c>
      <c r="G1237" t="s">
        <v>2059</v>
      </c>
      <c r="H1237" t="s">
        <v>2316</v>
      </c>
      <c r="I1237" t="s">
        <v>2317</v>
      </c>
      <c r="J1237" t="s">
        <v>2319</v>
      </c>
      <c r="K1237" t="s">
        <v>2319</v>
      </c>
      <c r="L1237">
        <v>665672</v>
      </c>
      <c r="M1237" t="s">
        <v>2329</v>
      </c>
      <c r="N1237" t="s">
        <v>2990</v>
      </c>
      <c r="O1237" t="s">
        <v>3054</v>
      </c>
      <c r="P1237" t="s">
        <v>3058</v>
      </c>
      <c r="Q1237" t="s">
        <v>3439</v>
      </c>
      <c r="R1237">
        <v>104.8</v>
      </c>
      <c r="S1237">
        <v>4</v>
      </c>
      <c r="T1237">
        <v>0</v>
      </c>
      <c r="U1237">
        <v>37.43</v>
      </c>
    </row>
    <row r="1238" spans="1:21" x14ac:dyDescent="0.3">
      <c r="A1238">
        <v>1237</v>
      </c>
      <c r="B1238" t="s">
        <v>1257</v>
      </c>
      <c r="C1238" s="2">
        <v>45900</v>
      </c>
      <c r="D1238" s="2">
        <v>45901</v>
      </c>
      <c r="E1238" t="s">
        <v>1522</v>
      </c>
      <c r="F1238" t="s">
        <v>1773</v>
      </c>
      <c r="G1238" t="s">
        <v>2145</v>
      </c>
      <c r="H1238" t="s">
        <v>2314</v>
      </c>
      <c r="I1238" t="s">
        <v>2317</v>
      </c>
      <c r="J1238" t="s">
        <v>2323</v>
      </c>
      <c r="K1238" t="s">
        <v>2323</v>
      </c>
      <c r="L1238">
        <v>314589</v>
      </c>
      <c r="M1238" t="s">
        <v>2328</v>
      </c>
      <c r="N1238" t="s">
        <v>2991</v>
      </c>
      <c r="O1238" t="s">
        <v>3055</v>
      </c>
      <c r="P1238" t="s">
        <v>3067</v>
      </c>
      <c r="Q1238" t="s">
        <v>3115</v>
      </c>
      <c r="R1238">
        <v>515.1</v>
      </c>
      <c r="S1238">
        <v>2</v>
      </c>
      <c r="T1238">
        <v>0.1</v>
      </c>
      <c r="U1238">
        <v>2.23</v>
      </c>
    </row>
    <row r="1239" spans="1:21" x14ac:dyDescent="0.3">
      <c r="A1239">
        <v>1238</v>
      </c>
      <c r="B1239" t="s">
        <v>1258</v>
      </c>
      <c r="C1239" s="2">
        <v>45895</v>
      </c>
      <c r="D1239" s="2">
        <v>45898</v>
      </c>
      <c r="E1239" t="s">
        <v>1522</v>
      </c>
      <c r="F1239" t="s">
        <v>1529</v>
      </c>
      <c r="G1239" t="s">
        <v>2222</v>
      </c>
      <c r="H1239" t="s">
        <v>2316</v>
      </c>
      <c r="I1239" t="s">
        <v>2317</v>
      </c>
      <c r="J1239" t="s">
        <v>2320</v>
      </c>
      <c r="K1239" t="s">
        <v>2320</v>
      </c>
      <c r="L1239">
        <v>707563</v>
      </c>
      <c r="M1239" t="s">
        <v>2330</v>
      </c>
      <c r="N1239" t="s">
        <v>2527</v>
      </c>
      <c r="O1239" t="s">
        <v>3055</v>
      </c>
      <c r="P1239" t="s">
        <v>3061</v>
      </c>
      <c r="Q1239" t="s">
        <v>3575</v>
      </c>
      <c r="R1239">
        <v>220.2</v>
      </c>
      <c r="S1239">
        <v>2</v>
      </c>
      <c r="T1239">
        <v>0</v>
      </c>
      <c r="U1239">
        <v>49.04</v>
      </c>
    </row>
    <row r="1240" spans="1:21" x14ac:dyDescent="0.3">
      <c r="A1240">
        <v>1239</v>
      </c>
      <c r="B1240" t="s">
        <v>1259</v>
      </c>
      <c r="C1240" s="2">
        <v>45555</v>
      </c>
      <c r="D1240" s="2">
        <v>45559</v>
      </c>
      <c r="E1240" t="s">
        <v>1523</v>
      </c>
      <c r="F1240" t="s">
        <v>1525</v>
      </c>
      <c r="G1240" t="s">
        <v>2306</v>
      </c>
      <c r="H1240" t="s">
        <v>2316</v>
      </c>
      <c r="I1240" t="s">
        <v>2317</v>
      </c>
      <c r="J1240" t="s">
        <v>2320</v>
      </c>
      <c r="K1240" t="s">
        <v>2320</v>
      </c>
      <c r="L1240">
        <v>707198</v>
      </c>
      <c r="M1240" t="s">
        <v>2330</v>
      </c>
      <c r="N1240" t="s">
        <v>2395</v>
      </c>
      <c r="O1240" t="s">
        <v>3055</v>
      </c>
      <c r="P1240" t="s">
        <v>3067</v>
      </c>
      <c r="Q1240" t="s">
        <v>3640</v>
      </c>
      <c r="R1240">
        <v>127.77</v>
      </c>
      <c r="S1240">
        <v>4</v>
      </c>
      <c r="T1240">
        <v>0</v>
      </c>
      <c r="U1240">
        <v>4.76</v>
      </c>
    </row>
    <row r="1241" spans="1:21" x14ac:dyDescent="0.3">
      <c r="A1241">
        <v>1240</v>
      </c>
      <c r="B1241" t="s">
        <v>1260</v>
      </c>
      <c r="C1241" s="2">
        <v>45709</v>
      </c>
      <c r="D1241" s="2">
        <v>45711</v>
      </c>
      <c r="E1241" t="s">
        <v>1522</v>
      </c>
      <c r="F1241" t="s">
        <v>1632</v>
      </c>
      <c r="G1241" t="s">
        <v>1980</v>
      </c>
      <c r="H1241" t="s">
        <v>2314</v>
      </c>
      <c r="I1241" t="s">
        <v>2317</v>
      </c>
      <c r="J1241" t="s">
        <v>2326</v>
      </c>
      <c r="K1241" t="s">
        <v>2326</v>
      </c>
      <c r="L1241">
        <v>311168</v>
      </c>
      <c r="M1241" t="s">
        <v>2331</v>
      </c>
      <c r="N1241" t="s">
        <v>2452</v>
      </c>
      <c r="O1241" t="s">
        <v>3054</v>
      </c>
      <c r="P1241" t="s">
        <v>3058</v>
      </c>
      <c r="Q1241" t="s">
        <v>3821</v>
      </c>
      <c r="R1241">
        <v>147.32</v>
      </c>
      <c r="S1241">
        <v>2</v>
      </c>
      <c r="T1241">
        <v>0.1</v>
      </c>
      <c r="U1241">
        <v>10.7</v>
      </c>
    </row>
    <row r="1242" spans="1:21" x14ac:dyDescent="0.3">
      <c r="A1242">
        <v>1241</v>
      </c>
      <c r="B1242" t="s">
        <v>1261</v>
      </c>
      <c r="C1242" s="2">
        <v>45387</v>
      </c>
      <c r="D1242" s="2">
        <v>45390</v>
      </c>
      <c r="E1242" t="s">
        <v>1522</v>
      </c>
      <c r="F1242" t="s">
        <v>1743</v>
      </c>
      <c r="G1242" t="s">
        <v>2275</v>
      </c>
      <c r="H1242" t="s">
        <v>2315</v>
      </c>
      <c r="I1242" t="s">
        <v>2317</v>
      </c>
      <c r="J1242" t="s">
        <v>2324</v>
      </c>
      <c r="K1242" t="s">
        <v>2324</v>
      </c>
      <c r="L1242">
        <v>279012</v>
      </c>
      <c r="M1242" t="s">
        <v>2330</v>
      </c>
      <c r="N1242" t="s">
        <v>2992</v>
      </c>
      <c r="O1242" t="s">
        <v>3054</v>
      </c>
      <c r="P1242" t="s">
        <v>3064</v>
      </c>
      <c r="Q1242" t="s">
        <v>3822</v>
      </c>
      <c r="R1242">
        <v>59.38</v>
      </c>
      <c r="S1242">
        <v>5</v>
      </c>
      <c r="T1242">
        <v>0.15</v>
      </c>
      <c r="U1242">
        <v>-4.1100000000000003</v>
      </c>
    </row>
    <row r="1243" spans="1:21" x14ac:dyDescent="0.3">
      <c r="A1243">
        <v>1242</v>
      </c>
      <c r="B1243" t="s">
        <v>1262</v>
      </c>
      <c r="C1243" s="2">
        <v>45379</v>
      </c>
      <c r="D1243" s="2">
        <v>45381</v>
      </c>
      <c r="E1243" t="s">
        <v>1524</v>
      </c>
      <c r="F1243" t="s">
        <v>1612</v>
      </c>
      <c r="G1243" t="s">
        <v>2226</v>
      </c>
      <c r="H1243" t="s">
        <v>2316</v>
      </c>
      <c r="I1243" t="s">
        <v>2317</v>
      </c>
      <c r="J1243" t="s">
        <v>2318</v>
      </c>
      <c r="K1243" t="s">
        <v>2318</v>
      </c>
      <c r="L1243">
        <v>167484</v>
      </c>
      <c r="M1243" t="s">
        <v>2328</v>
      </c>
      <c r="N1243" t="s">
        <v>2652</v>
      </c>
      <c r="O1243" t="s">
        <v>3054</v>
      </c>
      <c r="P1243" t="s">
        <v>3064</v>
      </c>
      <c r="Q1243" t="s">
        <v>3162</v>
      </c>
      <c r="R1243">
        <v>37.33</v>
      </c>
      <c r="S1243">
        <v>4</v>
      </c>
      <c r="T1243">
        <v>0</v>
      </c>
      <c r="U1243">
        <v>39.340000000000003</v>
      </c>
    </row>
    <row r="1244" spans="1:21" x14ac:dyDescent="0.3">
      <c r="A1244">
        <v>1243</v>
      </c>
      <c r="B1244" t="s">
        <v>1263</v>
      </c>
      <c r="C1244" s="2">
        <v>45369</v>
      </c>
      <c r="D1244" s="2">
        <v>45372</v>
      </c>
      <c r="E1244" t="s">
        <v>1521</v>
      </c>
      <c r="F1244" t="s">
        <v>1609</v>
      </c>
      <c r="G1244" t="s">
        <v>2236</v>
      </c>
      <c r="H1244" t="s">
        <v>2314</v>
      </c>
      <c r="I1244" t="s">
        <v>2317</v>
      </c>
      <c r="J1244" t="s">
        <v>2326</v>
      </c>
      <c r="K1244" t="s">
        <v>2326</v>
      </c>
      <c r="L1244">
        <v>865230</v>
      </c>
      <c r="M1244" t="s">
        <v>2331</v>
      </c>
      <c r="N1244" t="s">
        <v>2993</v>
      </c>
      <c r="O1244" t="s">
        <v>3054</v>
      </c>
      <c r="P1244" t="s">
        <v>3063</v>
      </c>
      <c r="Q1244" t="s">
        <v>3176</v>
      </c>
      <c r="R1244">
        <v>109.77</v>
      </c>
      <c r="S1244">
        <v>4</v>
      </c>
      <c r="T1244">
        <v>0.1</v>
      </c>
      <c r="U1244">
        <v>7.21</v>
      </c>
    </row>
    <row r="1245" spans="1:21" x14ac:dyDescent="0.3">
      <c r="A1245">
        <v>1244</v>
      </c>
      <c r="B1245" t="s">
        <v>1264</v>
      </c>
      <c r="C1245" s="2">
        <v>45579</v>
      </c>
      <c r="D1245" s="2">
        <v>45582</v>
      </c>
      <c r="E1245" t="s">
        <v>1521</v>
      </c>
      <c r="F1245" t="s">
        <v>1842</v>
      </c>
      <c r="G1245" t="s">
        <v>2276</v>
      </c>
      <c r="H1245" t="s">
        <v>2316</v>
      </c>
      <c r="I1245" t="s">
        <v>2317</v>
      </c>
      <c r="J1245" t="s">
        <v>2323</v>
      </c>
      <c r="K1245" t="s">
        <v>2323</v>
      </c>
      <c r="L1245">
        <v>821841</v>
      </c>
      <c r="M1245" t="s">
        <v>2328</v>
      </c>
      <c r="N1245" t="s">
        <v>2994</v>
      </c>
      <c r="O1245" t="s">
        <v>3054</v>
      </c>
      <c r="P1245" t="s">
        <v>3064</v>
      </c>
      <c r="Q1245" t="s">
        <v>3214</v>
      </c>
      <c r="R1245">
        <v>147.68</v>
      </c>
      <c r="S1245">
        <v>6</v>
      </c>
      <c r="T1245">
        <v>0.1</v>
      </c>
      <c r="U1245">
        <v>18.239999999999998</v>
      </c>
    </row>
    <row r="1246" spans="1:21" x14ac:dyDescent="0.3">
      <c r="A1246">
        <v>1245</v>
      </c>
      <c r="B1246" t="s">
        <v>1265</v>
      </c>
      <c r="C1246" s="2">
        <v>45411</v>
      </c>
      <c r="D1246" s="2">
        <v>45414</v>
      </c>
      <c r="E1246" t="s">
        <v>1521</v>
      </c>
      <c r="F1246" t="s">
        <v>1790</v>
      </c>
      <c r="G1246" t="s">
        <v>2240</v>
      </c>
      <c r="H1246" t="s">
        <v>2315</v>
      </c>
      <c r="I1246" t="s">
        <v>2317</v>
      </c>
      <c r="J1246" t="s">
        <v>2326</v>
      </c>
      <c r="K1246" t="s">
        <v>2326</v>
      </c>
      <c r="L1246">
        <v>763582</v>
      </c>
      <c r="M1246" t="s">
        <v>2331</v>
      </c>
      <c r="N1246" t="s">
        <v>2445</v>
      </c>
      <c r="O1246" t="s">
        <v>3055</v>
      </c>
      <c r="P1246" t="s">
        <v>3060</v>
      </c>
      <c r="Q1246" t="s">
        <v>3608</v>
      </c>
      <c r="R1246">
        <v>915.16</v>
      </c>
      <c r="S1246">
        <v>7</v>
      </c>
      <c r="T1246">
        <v>0.1</v>
      </c>
      <c r="U1246">
        <v>114.1</v>
      </c>
    </row>
    <row r="1247" spans="1:21" x14ac:dyDescent="0.3">
      <c r="A1247">
        <v>1246</v>
      </c>
      <c r="B1247" t="s">
        <v>1266</v>
      </c>
      <c r="C1247" s="2">
        <v>45782</v>
      </c>
      <c r="D1247" s="2">
        <v>45785</v>
      </c>
      <c r="E1247" t="s">
        <v>1522</v>
      </c>
      <c r="F1247" t="s">
        <v>1865</v>
      </c>
      <c r="G1247" t="s">
        <v>2043</v>
      </c>
      <c r="H1247" t="s">
        <v>2316</v>
      </c>
      <c r="I1247" t="s">
        <v>2317</v>
      </c>
      <c r="J1247" t="s">
        <v>2327</v>
      </c>
      <c r="K1247" t="s">
        <v>2327</v>
      </c>
      <c r="L1247">
        <v>348492</v>
      </c>
      <c r="M1247" t="s">
        <v>2330</v>
      </c>
      <c r="N1247" t="s">
        <v>2586</v>
      </c>
      <c r="O1247" t="s">
        <v>3053</v>
      </c>
      <c r="P1247" t="s">
        <v>3056</v>
      </c>
      <c r="Q1247" t="s">
        <v>3823</v>
      </c>
      <c r="R1247">
        <v>229.06</v>
      </c>
      <c r="S1247">
        <v>3</v>
      </c>
      <c r="T1247">
        <v>0.3</v>
      </c>
      <c r="U1247">
        <v>-30.78</v>
      </c>
    </row>
    <row r="1248" spans="1:21" x14ac:dyDescent="0.3">
      <c r="A1248">
        <v>1247</v>
      </c>
      <c r="B1248" t="s">
        <v>1267</v>
      </c>
      <c r="C1248" s="2">
        <v>45743</v>
      </c>
      <c r="D1248" s="2">
        <v>45746</v>
      </c>
      <c r="E1248" t="s">
        <v>1523</v>
      </c>
      <c r="F1248" t="s">
        <v>1705</v>
      </c>
      <c r="G1248" t="s">
        <v>2015</v>
      </c>
      <c r="H1248" t="s">
        <v>2316</v>
      </c>
      <c r="I1248" t="s">
        <v>2317</v>
      </c>
      <c r="J1248" t="s">
        <v>2325</v>
      </c>
      <c r="K1248" t="s">
        <v>2325</v>
      </c>
      <c r="L1248">
        <v>901204</v>
      </c>
      <c r="M1248" t="s">
        <v>2332</v>
      </c>
      <c r="N1248" t="s">
        <v>2833</v>
      </c>
      <c r="O1248" t="s">
        <v>3053</v>
      </c>
      <c r="P1248" t="s">
        <v>3066</v>
      </c>
      <c r="Q1248" t="s">
        <v>3824</v>
      </c>
      <c r="R1248">
        <v>431.05</v>
      </c>
      <c r="S1248">
        <v>6</v>
      </c>
      <c r="T1248">
        <v>0.1</v>
      </c>
      <c r="U1248">
        <v>52.61</v>
      </c>
    </row>
    <row r="1249" spans="1:21" x14ac:dyDescent="0.3">
      <c r="A1249">
        <v>1248</v>
      </c>
      <c r="B1249" t="s">
        <v>1268</v>
      </c>
      <c r="C1249" s="2">
        <v>45791</v>
      </c>
      <c r="D1249" s="2">
        <v>45794</v>
      </c>
      <c r="E1249" t="s">
        <v>1524</v>
      </c>
      <c r="F1249" t="s">
        <v>1901</v>
      </c>
      <c r="G1249" t="s">
        <v>2203</v>
      </c>
      <c r="H1249" t="s">
        <v>2316</v>
      </c>
      <c r="I1249" t="s">
        <v>2317</v>
      </c>
      <c r="J1249" t="s">
        <v>2324</v>
      </c>
      <c r="K1249" t="s">
        <v>2324</v>
      </c>
      <c r="L1249">
        <v>484910</v>
      </c>
      <c r="M1249" t="s">
        <v>2330</v>
      </c>
      <c r="N1249" t="s">
        <v>2995</v>
      </c>
      <c r="O1249" t="s">
        <v>3053</v>
      </c>
      <c r="P1249" t="s">
        <v>3065</v>
      </c>
      <c r="Q1249" t="s">
        <v>3761</v>
      </c>
      <c r="R1249">
        <v>163.36000000000001</v>
      </c>
      <c r="S1249">
        <v>6</v>
      </c>
      <c r="T1249">
        <v>0.2</v>
      </c>
      <c r="U1249">
        <v>-24.99</v>
      </c>
    </row>
    <row r="1250" spans="1:21" x14ac:dyDescent="0.3">
      <c r="A1250">
        <v>1249</v>
      </c>
      <c r="B1250" t="s">
        <v>1269</v>
      </c>
      <c r="C1250" s="2">
        <v>45456</v>
      </c>
      <c r="D1250" s="2">
        <v>45458</v>
      </c>
      <c r="E1250" t="s">
        <v>1522</v>
      </c>
      <c r="F1250" t="s">
        <v>1806</v>
      </c>
      <c r="G1250" t="s">
        <v>1929</v>
      </c>
      <c r="H1250" t="s">
        <v>2316</v>
      </c>
      <c r="I1250" t="s">
        <v>2317</v>
      </c>
      <c r="J1250" t="s">
        <v>2321</v>
      </c>
      <c r="K1250" t="s">
        <v>2321</v>
      </c>
      <c r="L1250">
        <v>714427</v>
      </c>
      <c r="M1250" t="s">
        <v>2329</v>
      </c>
      <c r="N1250" t="s">
        <v>2996</v>
      </c>
      <c r="O1250" t="s">
        <v>3054</v>
      </c>
      <c r="P1250" t="s">
        <v>3057</v>
      </c>
      <c r="Q1250" t="s">
        <v>3402</v>
      </c>
      <c r="R1250">
        <v>33.729999999999997</v>
      </c>
      <c r="S1250">
        <v>2</v>
      </c>
      <c r="T1250">
        <v>0.05</v>
      </c>
      <c r="U1250">
        <v>25.97</v>
      </c>
    </row>
    <row r="1251" spans="1:21" x14ac:dyDescent="0.3">
      <c r="A1251">
        <v>1250</v>
      </c>
      <c r="B1251" t="s">
        <v>1270</v>
      </c>
      <c r="C1251" s="2">
        <v>45473</v>
      </c>
      <c r="D1251" s="2">
        <v>45475</v>
      </c>
      <c r="E1251" t="s">
        <v>1523</v>
      </c>
      <c r="F1251" t="s">
        <v>1599</v>
      </c>
      <c r="G1251" t="s">
        <v>2282</v>
      </c>
      <c r="H1251" t="s">
        <v>2314</v>
      </c>
      <c r="I1251" t="s">
        <v>2317</v>
      </c>
      <c r="J1251" t="s">
        <v>2321</v>
      </c>
      <c r="K1251" t="s">
        <v>2321</v>
      </c>
      <c r="L1251">
        <v>341245</v>
      </c>
      <c r="M1251" t="s">
        <v>2329</v>
      </c>
      <c r="N1251" t="s">
        <v>2491</v>
      </c>
      <c r="O1251" t="s">
        <v>3054</v>
      </c>
      <c r="P1251" t="s">
        <v>3058</v>
      </c>
      <c r="Q1251" t="s">
        <v>3825</v>
      </c>
      <c r="R1251">
        <v>34.78</v>
      </c>
      <c r="S1251">
        <v>8</v>
      </c>
      <c r="T1251">
        <v>0.2</v>
      </c>
      <c r="U1251">
        <v>0.64</v>
      </c>
    </row>
    <row r="1252" spans="1:21" x14ac:dyDescent="0.3">
      <c r="A1252">
        <v>1251</v>
      </c>
      <c r="B1252" t="s">
        <v>1271</v>
      </c>
      <c r="C1252" s="2">
        <v>45760</v>
      </c>
      <c r="D1252" s="2">
        <v>45763</v>
      </c>
      <c r="E1252" t="s">
        <v>1524</v>
      </c>
      <c r="F1252" t="s">
        <v>1821</v>
      </c>
      <c r="G1252" t="s">
        <v>2063</v>
      </c>
      <c r="H1252" t="s">
        <v>2316</v>
      </c>
      <c r="I1252" t="s">
        <v>2317</v>
      </c>
      <c r="J1252" t="s">
        <v>2324</v>
      </c>
      <c r="K1252" t="s">
        <v>2324</v>
      </c>
      <c r="L1252">
        <v>903603</v>
      </c>
      <c r="M1252" t="s">
        <v>2330</v>
      </c>
      <c r="N1252" t="s">
        <v>2578</v>
      </c>
      <c r="O1252" t="s">
        <v>3053</v>
      </c>
      <c r="P1252" t="s">
        <v>3056</v>
      </c>
      <c r="Q1252" t="s">
        <v>3313</v>
      </c>
      <c r="R1252">
        <v>130.91999999999999</v>
      </c>
      <c r="S1252">
        <v>3</v>
      </c>
      <c r="T1252">
        <v>0.15</v>
      </c>
      <c r="U1252">
        <v>-41.71</v>
      </c>
    </row>
    <row r="1253" spans="1:21" x14ac:dyDescent="0.3">
      <c r="A1253">
        <v>1252</v>
      </c>
      <c r="B1253" t="s">
        <v>1272</v>
      </c>
      <c r="C1253" s="2">
        <v>45298</v>
      </c>
      <c r="D1253" s="2">
        <v>45299</v>
      </c>
      <c r="E1253" t="s">
        <v>1523</v>
      </c>
      <c r="F1253" t="s">
        <v>1857</v>
      </c>
      <c r="G1253" t="s">
        <v>2262</v>
      </c>
      <c r="H1253" t="s">
        <v>2316</v>
      </c>
      <c r="I1253" t="s">
        <v>2317</v>
      </c>
      <c r="J1253" t="s">
        <v>2323</v>
      </c>
      <c r="K1253" t="s">
        <v>2323</v>
      </c>
      <c r="L1253">
        <v>775799</v>
      </c>
      <c r="M1253" t="s">
        <v>2328</v>
      </c>
      <c r="N1253" t="s">
        <v>2360</v>
      </c>
      <c r="O1253" t="s">
        <v>3053</v>
      </c>
      <c r="P1253" t="s">
        <v>3066</v>
      </c>
      <c r="Q1253" t="s">
        <v>3341</v>
      </c>
      <c r="R1253">
        <v>222.36</v>
      </c>
      <c r="S1253">
        <v>2</v>
      </c>
      <c r="T1253">
        <v>0.05</v>
      </c>
      <c r="U1253">
        <v>-11.51</v>
      </c>
    </row>
    <row r="1254" spans="1:21" x14ac:dyDescent="0.3">
      <c r="A1254">
        <v>1253</v>
      </c>
      <c r="B1254" t="s">
        <v>1273</v>
      </c>
      <c r="C1254" s="2">
        <v>45621</v>
      </c>
      <c r="D1254" s="2">
        <v>45624</v>
      </c>
      <c r="E1254" t="s">
        <v>1524</v>
      </c>
      <c r="F1254" t="s">
        <v>1663</v>
      </c>
      <c r="G1254" t="s">
        <v>2211</v>
      </c>
      <c r="H1254" t="s">
        <v>2316</v>
      </c>
      <c r="I1254" t="s">
        <v>2317</v>
      </c>
      <c r="J1254" t="s">
        <v>2327</v>
      </c>
      <c r="K1254" t="s">
        <v>2327</v>
      </c>
      <c r="L1254">
        <v>869709</v>
      </c>
      <c r="M1254" t="s">
        <v>2330</v>
      </c>
      <c r="N1254" t="s">
        <v>2345</v>
      </c>
      <c r="O1254" t="s">
        <v>3054</v>
      </c>
      <c r="P1254" t="s">
        <v>3057</v>
      </c>
      <c r="Q1254" t="s">
        <v>3826</v>
      </c>
      <c r="R1254">
        <v>42.07</v>
      </c>
      <c r="S1254">
        <v>3</v>
      </c>
      <c r="T1254">
        <v>0.15</v>
      </c>
      <c r="U1254">
        <v>17.43</v>
      </c>
    </row>
    <row r="1255" spans="1:21" x14ac:dyDescent="0.3">
      <c r="A1255">
        <v>1254</v>
      </c>
      <c r="B1255" t="s">
        <v>1274</v>
      </c>
      <c r="C1255" s="2">
        <v>45964</v>
      </c>
      <c r="D1255" s="2">
        <v>45965</v>
      </c>
      <c r="E1255" t="s">
        <v>1523</v>
      </c>
      <c r="F1255" t="s">
        <v>1878</v>
      </c>
      <c r="G1255" t="s">
        <v>2203</v>
      </c>
      <c r="H1255" t="s">
        <v>2315</v>
      </c>
      <c r="I1255" t="s">
        <v>2317</v>
      </c>
      <c r="J1255" t="s">
        <v>2327</v>
      </c>
      <c r="K1255" t="s">
        <v>2327</v>
      </c>
      <c r="L1255">
        <v>451406</v>
      </c>
      <c r="M1255" t="s">
        <v>2330</v>
      </c>
      <c r="N1255" t="s">
        <v>2344</v>
      </c>
      <c r="O1255" t="s">
        <v>3053</v>
      </c>
      <c r="P1255" t="s">
        <v>3066</v>
      </c>
      <c r="Q1255" t="s">
        <v>3461</v>
      </c>
      <c r="R1255">
        <v>367.89</v>
      </c>
      <c r="S1255">
        <v>4</v>
      </c>
      <c r="T1255">
        <v>0.15</v>
      </c>
      <c r="U1255">
        <v>12.2</v>
      </c>
    </row>
    <row r="1256" spans="1:21" x14ac:dyDescent="0.3">
      <c r="A1256">
        <v>1255</v>
      </c>
      <c r="B1256" t="s">
        <v>1275</v>
      </c>
      <c r="C1256" s="2">
        <v>45442</v>
      </c>
      <c r="D1256" s="2">
        <v>45445</v>
      </c>
      <c r="E1256" t="s">
        <v>1522</v>
      </c>
      <c r="F1256" t="s">
        <v>1783</v>
      </c>
      <c r="G1256" t="s">
        <v>2122</v>
      </c>
      <c r="H1256" t="s">
        <v>2316</v>
      </c>
      <c r="I1256" t="s">
        <v>2317</v>
      </c>
      <c r="J1256" t="s">
        <v>2319</v>
      </c>
      <c r="K1256" t="s">
        <v>2319</v>
      </c>
      <c r="L1256">
        <v>231692</v>
      </c>
      <c r="M1256" t="s">
        <v>2329</v>
      </c>
      <c r="N1256" t="s">
        <v>2691</v>
      </c>
      <c r="O1256" t="s">
        <v>3055</v>
      </c>
      <c r="P1256" t="s">
        <v>3061</v>
      </c>
      <c r="Q1256" t="s">
        <v>3541</v>
      </c>
      <c r="R1256">
        <v>493.97</v>
      </c>
      <c r="S1256">
        <v>6</v>
      </c>
      <c r="T1256">
        <v>0.1</v>
      </c>
      <c r="U1256">
        <v>12.9</v>
      </c>
    </row>
    <row r="1257" spans="1:21" x14ac:dyDescent="0.3">
      <c r="A1257">
        <v>1256</v>
      </c>
      <c r="B1257" t="s">
        <v>1276</v>
      </c>
      <c r="C1257" s="2">
        <v>45376</v>
      </c>
      <c r="D1257" s="2">
        <v>45382</v>
      </c>
      <c r="E1257" t="s">
        <v>1524</v>
      </c>
      <c r="F1257" t="s">
        <v>1721</v>
      </c>
      <c r="G1257" t="s">
        <v>2151</v>
      </c>
      <c r="H1257" t="s">
        <v>2314</v>
      </c>
      <c r="I1257" t="s">
        <v>2317</v>
      </c>
      <c r="J1257" t="s">
        <v>2325</v>
      </c>
      <c r="K1257" t="s">
        <v>2325</v>
      </c>
      <c r="L1257">
        <v>386965</v>
      </c>
      <c r="M1257" t="s">
        <v>2332</v>
      </c>
      <c r="N1257" t="s">
        <v>2442</v>
      </c>
      <c r="O1257" t="s">
        <v>3053</v>
      </c>
      <c r="P1257" t="s">
        <v>3062</v>
      </c>
      <c r="Q1257" t="s">
        <v>3827</v>
      </c>
      <c r="R1257">
        <v>738.35</v>
      </c>
      <c r="S1257">
        <v>6</v>
      </c>
      <c r="T1257">
        <v>0.05</v>
      </c>
      <c r="U1257">
        <v>45.18</v>
      </c>
    </row>
    <row r="1258" spans="1:21" x14ac:dyDescent="0.3">
      <c r="A1258">
        <v>1257</v>
      </c>
      <c r="B1258" t="s">
        <v>1277</v>
      </c>
      <c r="C1258" s="2">
        <v>45438</v>
      </c>
      <c r="D1258" s="2">
        <v>45439</v>
      </c>
      <c r="E1258" t="s">
        <v>1524</v>
      </c>
      <c r="F1258" t="s">
        <v>1565</v>
      </c>
      <c r="G1258" t="s">
        <v>2243</v>
      </c>
      <c r="H1258" t="s">
        <v>2315</v>
      </c>
      <c r="I1258" t="s">
        <v>2317</v>
      </c>
      <c r="J1258" t="s">
        <v>2320</v>
      </c>
      <c r="K1258" t="s">
        <v>2320</v>
      </c>
      <c r="L1258">
        <v>125979</v>
      </c>
      <c r="M1258" t="s">
        <v>2330</v>
      </c>
      <c r="N1258" t="s">
        <v>2692</v>
      </c>
      <c r="O1258" t="s">
        <v>3055</v>
      </c>
      <c r="P1258" t="s">
        <v>3061</v>
      </c>
      <c r="Q1258" t="s">
        <v>3750</v>
      </c>
      <c r="R1258">
        <v>910.05</v>
      </c>
      <c r="S1258">
        <v>7</v>
      </c>
      <c r="T1258">
        <v>0.2</v>
      </c>
      <c r="U1258">
        <v>7.43</v>
      </c>
    </row>
    <row r="1259" spans="1:21" x14ac:dyDescent="0.3">
      <c r="A1259">
        <v>1258</v>
      </c>
      <c r="B1259" t="s">
        <v>1278</v>
      </c>
      <c r="C1259" s="2">
        <v>45915</v>
      </c>
      <c r="D1259" s="2">
        <v>45917</v>
      </c>
      <c r="E1259" t="s">
        <v>1524</v>
      </c>
      <c r="F1259" t="s">
        <v>1614</v>
      </c>
      <c r="G1259" t="s">
        <v>2142</v>
      </c>
      <c r="H1259" t="s">
        <v>2314</v>
      </c>
      <c r="I1259" t="s">
        <v>2317</v>
      </c>
      <c r="J1259" t="s">
        <v>2322</v>
      </c>
      <c r="K1259" t="s">
        <v>2322</v>
      </c>
      <c r="L1259">
        <v>839378</v>
      </c>
      <c r="M1259" t="s">
        <v>2331</v>
      </c>
      <c r="N1259" t="s">
        <v>2678</v>
      </c>
      <c r="O1259" t="s">
        <v>3054</v>
      </c>
      <c r="P1259" t="s">
        <v>3064</v>
      </c>
      <c r="Q1259" t="s">
        <v>3828</v>
      </c>
      <c r="R1259">
        <v>21.66</v>
      </c>
      <c r="S1259">
        <v>9</v>
      </c>
      <c r="T1259">
        <v>0.15</v>
      </c>
      <c r="U1259">
        <v>9.9600000000000009</v>
      </c>
    </row>
    <row r="1260" spans="1:21" x14ac:dyDescent="0.3">
      <c r="A1260">
        <v>1259</v>
      </c>
      <c r="B1260" t="s">
        <v>1279</v>
      </c>
      <c r="C1260" s="2">
        <v>45672</v>
      </c>
      <c r="D1260" s="2">
        <v>45677</v>
      </c>
      <c r="E1260" t="s">
        <v>1523</v>
      </c>
      <c r="F1260" t="s">
        <v>1864</v>
      </c>
      <c r="G1260" t="s">
        <v>2004</v>
      </c>
      <c r="H1260" t="s">
        <v>2314</v>
      </c>
      <c r="I1260" t="s">
        <v>2317</v>
      </c>
      <c r="J1260" t="s">
        <v>2323</v>
      </c>
      <c r="K1260" t="s">
        <v>2323</v>
      </c>
      <c r="L1260">
        <v>473413</v>
      </c>
      <c r="M1260" t="s">
        <v>2328</v>
      </c>
      <c r="N1260" t="s">
        <v>2997</v>
      </c>
      <c r="O1260" t="s">
        <v>3055</v>
      </c>
      <c r="P1260" t="s">
        <v>3067</v>
      </c>
      <c r="Q1260" t="s">
        <v>3640</v>
      </c>
      <c r="R1260">
        <v>350.72</v>
      </c>
      <c r="S1260">
        <v>9</v>
      </c>
      <c r="T1260">
        <v>0.05</v>
      </c>
      <c r="U1260">
        <v>42.98</v>
      </c>
    </row>
    <row r="1261" spans="1:21" x14ac:dyDescent="0.3">
      <c r="A1261">
        <v>1260</v>
      </c>
      <c r="B1261" t="s">
        <v>1280</v>
      </c>
      <c r="C1261" s="2">
        <v>45839</v>
      </c>
      <c r="D1261" s="2">
        <v>45841</v>
      </c>
      <c r="E1261" t="s">
        <v>1522</v>
      </c>
      <c r="F1261" t="s">
        <v>1832</v>
      </c>
      <c r="G1261" t="s">
        <v>2098</v>
      </c>
      <c r="H1261" t="s">
        <v>2315</v>
      </c>
      <c r="I1261" t="s">
        <v>2317</v>
      </c>
      <c r="J1261" t="s">
        <v>2322</v>
      </c>
      <c r="K1261" t="s">
        <v>2322</v>
      </c>
      <c r="L1261">
        <v>435482</v>
      </c>
      <c r="M1261" t="s">
        <v>2331</v>
      </c>
      <c r="N1261" t="s">
        <v>2998</v>
      </c>
      <c r="O1261" t="s">
        <v>3053</v>
      </c>
      <c r="P1261" t="s">
        <v>3056</v>
      </c>
      <c r="Q1261" t="s">
        <v>3829</v>
      </c>
      <c r="R1261">
        <v>162</v>
      </c>
      <c r="S1261">
        <v>8</v>
      </c>
      <c r="T1261">
        <v>0.05</v>
      </c>
      <c r="U1261">
        <v>-0.83</v>
      </c>
    </row>
    <row r="1262" spans="1:21" x14ac:dyDescent="0.3">
      <c r="A1262">
        <v>1261</v>
      </c>
      <c r="B1262" t="s">
        <v>1281</v>
      </c>
      <c r="C1262" s="2">
        <v>45576</v>
      </c>
      <c r="D1262" s="2">
        <v>45580</v>
      </c>
      <c r="E1262" t="s">
        <v>1523</v>
      </c>
      <c r="F1262" t="s">
        <v>1823</v>
      </c>
      <c r="G1262" t="s">
        <v>2170</v>
      </c>
      <c r="H1262" t="s">
        <v>2315</v>
      </c>
      <c r="I1262" t="s">
        <v>2317</v>
      </c>
      <c r="J1262" t="s">
        <v>2322</v>
      </c>
      <c r="K1262" t="s">
        <v>2322</v>
      </c>
      <c r="L1262">
        <v>757374</v>
      </c>
      <c r="M1262" t="s">
        <v>2331</v>
      </c>
      <c r="N1262" t="s">
        <v>2510</v>
      </c>
      <c r="O1262" t="s">
        <v>3053</v>
      </c>
      <c r="P1262" t="s">
        <v>3066</v>
      </c>
      <c r="Q1262" t="s">
        <v>3830</v>
      </c>
      <c r="R1262">
        <v>426.91</v>
      </c>
      <c r="S1262">
        <v>7</v>
      </c>
      <c r="T1262">
        <v>0.1</v>
      </c>
      <c r="U1262">
        <v>36.85</v>
      </c>
    </row>
    <row r="1263" spans="1:21" x14ac:dyDescent="0.3">
      <c r="A1263">
        <v>1262</v>
      </c>
      <c r="B1263" t="s">
        <v>1282</v>
      </c>
      <c r="C1263" s="2">
        <v>45991</v>
      </c>
      <c r="D1263" s="2">
        <v>45992</v>
      </c>
      <c r="E1263" t="s">
        <v>1524</v>
      </c>
      <c r="F1263" t="s">
        <v>1911</v>
      </c>
      <c r="G1263" t="s">
        <v>2262</v>
      </c>
      <c r="H1263" t="s">
        <v>2316</v>
      </c>
      <c r="I1263" t="s">
        <v>2317</v>
      </c>
      <c r="J1263" t="s">
        <v>2324</v>
      </c>
      <c r="K1263" t="s">
        <v>2324</v>
      </c>
      <c r="L1263">
        <v>820406</v>
      </c>
      <c r="M1263" t="s">
        <v>2330</v>
      </c>
      <c r="N1263" t="s">
        <v>2742</v>
      </c>
      <c r="O1263" t="s">
        <v>3054</v>
      </c>
      <c r="P1263" t="s">
        <v>3058</v>
      </c>
      <c r="Q1263" t="s">
        <v>3520</v>
      </c>
      <c r="R1263">
        <v>47.48</v>
      </c>
      <c r="S1263">
        <v>4</v>
      </c>
      <c r="T1263">
        <v>0.2</v>
      </c>
      <c r="U1263">
        <v>51.89</v>
      </c>
    </row>
    <row r="1264" spans="1:21" x14ac:dyDescent="0.3">
      <c r="A1264">
        <v>1263</v>
      </c>
      <c r="B1264" t="s">
        <v>1283</v>
      </c>
      <c r="C1264" s="2">
        <v>45373</v>
      </c>
      <c r="D1264" s="2">
        <v>45375</v>
      </c>
      <c r="E1264" t="s">
        <v>1524</v>
      </c>
      <c r="F1264" t="s">
        <v>1753</v>
      </c>
      <c r="G1264" t="s">
        <v>2054</v>
      </c>
      <c r="H1264" t="s">
        <v>2316</v>
      </c>
      <c r="I1264" t="s">
        <v>2317</v>
      </c>
      <c r="J1264" t="s">
        <v>2321</v>
      </c>
      <c r="K1264" t="s">
        <v>2321</v>
      </c>
      <c r="L1264">
        <v>230512</v>
      </c>
      <c r="M1264" t="s">
        <v>2329</v>
      </c>
      <c r="N1264" t="s">
        <v>2646</v>
      </c>
      <c r="O1264" t="s">
        <v>3055</v>
      </c>
      <c r="P1264" t="s">
        <v>3059</v>
      </c>
      <c r="Q1264" t="s">
        <v>3831</v>
      </c>
      <c r="R1264">
        <v>1431.84</v>
      </c>
      <c r="S1264">
        <v>6</v>
      </c>
      <c r="T1264">
        <v>0.4</v>
      </c>
      <c r="U1264">
        <v>-58.39</v>
      </c>
    </row>
    <row r="1265" spans="1:21" x14ac:dyDescent="0.3">
      <c r="A1265">
        <v>1264</v>
      </c>
      <c r="B1265" t="s">
        <v>1284</v>
      </c>
      <c r="C1265" s="2">
        <v>45805</v>
      </c>
      <c r="D1265" s="2">
        <v>45809</v>
      </c>
      <c r="E1265" t="s">
        <v>1524</v>
      </c>
      <c r="F1265" t="s">
        <v>1526</v>
      </c>
      <c r="G1265" t="s">
        <v>2093</v>
      </c>
      <c r="H1265" t="s">
        <v>2316</v>
      </c>
      <c r="I1265" t="s">
        <v>2317</v>
      </c>
      <c r="J1265" t="s">
        <v>2321</v>
      </c>
      <c r="K1265" t="s">
        <v>2321</v>
      </c>
      <c r="L1265">
        <v>406732</v>
      </c>
      <c r="M1265" t="s">
        <v>2329</v>
      </c>
      <c r="N1265" t="s">
        <v>2642</v>
      </c>
      <c r="O1265" t="s">
        <v>3055</v>
      </c>
      <c r="P1265" t="s">
        <v>3061</v>
      </c>
      <c r="Q1265" t="s">
        <v>3832</v>
      </c>
      <c r="R1265">
        <v>162.24</v>
      </c>
      <c r="S1265">
        <v>6</v>
      </c>
      <c r="T1265">
        <v>0.15</v>
      </c>
      <c r="U1265">
        <v>-2.57</v>
      </c>
    </row>
    <row r="1266" spans="1:21" x14ac:dyDescent="0.3">
      <c r="A1266">
        <v>1265</v>
      </c>
      <c r="B1266" t="s">
        <v>1285</v>
      </c>
      <c r="C1266" s="2">
        <v>46000</v>
      </c>
      <c r="D1266" s="2">
        <v>46004</v>
      </c>
      <c r="E1266" t="s">
        <v>1523</v>
      </c>
      <c r="F1266" t="s">
        <v>1776</v>
      </c>
      <c r="G1266" t="s">
        <v>1952</v>
      </c>
      <c r="H1266" t="s">
        <v>2316</v>
      </c>
      <c r="I1266" t="s">
        <v>2317</v>
      </c>
      <c r="J1266" t="s">
        <v>2320</v>
      </c>
      <c r="K1266" t="s">
        <v>2320</v>
      </c>
      <c r="L1266">
        <v>863421</v>
      </c>
      <c r="M1266" t="s">
        <v>2330</v>
      </c>
      <c r="N1266" t="s">
        <v>2999</v>
      </c>
      <c r="O1266" t="s">
        <v>3055</v>
      </c>
      <c r="P1266" t="s">
        <v>3067</v>
      </c>
      <c r="Q1266" t="s">
        <v>3205</v>
      </c>
      <c r="R1266">
        <v>1997.58</v>
      </c>
      <c r="S1266">
        <v>3</v>
      </c>
      <c r="T1266">
        <v>0.15</v>
      </c>
      <c r="U1266">
        <v>139.69999999999999</v>
      </c>
    </row>
    <row r="1267" spans="1:21" x14ac:dyDescent="0.3">
      <c r="A1267">
        <v>1266</v>
      </c>
      <c r="B1267" t="s">
        <v>1286</v>
      </c>
      <c r="C1267" s="2">
        <v>45814</v>
      </c>
      <c r="D1267" s="2">
        <v>45817</v>
      </c>
      <c r="E1267" t="s">
        <v>1524</v>
      </c>
      <c r="F1267" t="s">
        <v>1912</v>
      </c>
      <c r="G1267" t="s">
        <v>2202</v>
      </c>
      <c r="H1267" t="s">
        <v>2314</v>
      </c>
      <c r="I1267" t="s">
        <v>2317</v>
      </c>
      <c r="J1267" t="s">
        <v>2324</v>
      </c>
      <c r="K1267" t="s">
        <v>2324</v>
      </c>
      <c r="L1267">
        <v>980219</v>
      </c>
      <c r="M1267" t="s">
        <v>2330</v>
      </c>
      <c r="N1267" t="s">
        <v>3000</v>
      </c>
      <c r="O1267" t="s">
        <v>3055</v>
      </c>
      <c r="P1267" t="s">
        <v>3061</v>
      </c>
      <c r="Q1267" t="s">
        <v>3833</v>
      </c>
      <c r="R1267">
        <v>815.27</v>
      </c>
      <c r="S1267">
        <v>4</v>
      </c>
      <c r="T1267">
        <v>0</v>
      </c>
      <c r="U1267">
        <v>131.91</v>
      </c>
    </row>
    <row r="1268" spans="1:21" x14ac:dyDescent="0.3">
      <c r="A1268">
        <v>1267</v>
      </c>
      <c r="B1268" t="s">
        <v>1287</v>
      </c>
      <c r="C1268" s="2">
        <v>45677</v>
      </c>
      <c r="D1268" s="2">
        <v>45680</v>
      </c>
      <c r="E1268" t="s">
        <v>1522</v>
      </c>
      <c r="F1268" t="s">
        <v>1591</v>
      </c>
      <c r="G1268" t="s">
        <v>2308</v>
      </c>
      <c r="H1268" t="s">
        <v>2316</v>
      </c>
      <c r="I1268" t="s">
        <v>2317</v>
      </c>
      <c r="J1268" t="s">
        <v>2322</v>
      </c>
      <c r="K1268" t="s">
        <v>2322</v>
      </c>
      <c r="L1268">
        <v>568668</v>
      </c>
      <c r="M1268" t="s">
        <v>2331</v>
      </c>
      <c r="N1268" t="s">
        <v>2766</v>
      </c>
      <c r="O1268" t="s">
        <v>3055</v>
      </c>
      <c r="P1268" t="s">
        <v>3059</v>
      </c>
      <c r="Q1268" t="s">
        <v>3834</v>
      </c>
      <c r="R1268">
        <v>465.26</v>
      </c>
      <c r="S1268">
        <v>9</v>
      </c>
      <c r="T1268">
        <v>0.4</v>
      </c>
      <c r="U1268">
        <v>-27.95</v>
      </c>
    </row>
    <row r="1269" spans="1:21" x14ac:dyDescent="0.3">
      <c r="A1269">
        <v>1268</v>
      </c>
      <c r="B1269" t="s">
        <v>1288</v>
      </c>
      <c r="C1269" s="2">
        <v>45998</v>
      </c>
      <c r="D1269" s="2">
        <v>46000</v>
      </c>
      <c r="E1269" t="s">
        <v>1524</v>
      </c>
      <c r="F1269" t="s">
        <v>1867</v>
      </c>
      <c r="G1269" t="s">
        <v>2225</v>
      </c>
      <c r="H1269" t="s">
        <v>2314</v>
      </c>
      <c r="I1269" t="s">
        <v>2317</v>
      </c>
      <c r="J1269" t="s">
        <v>2318</v>
      </c>
      <c r="K1269" t="s">
        <v>2318</v>
      </c>
      <c r="L1269">
        <v>692633</v>
      </c>
      <c r="M1269" t="s">
        <v>2328</v>
      </c>
      <c r="N1269" t="s">
        <v>2395</v>
      </c>
      <c r="O1269" t="s">
        <v>3054</v>
      </c>
      <c r="P1269" t="s">
        <v>3057</v>
      </c>
      <c r="Q1269" t="s">
        <v>3835</v>
      </c>
      <c r="R1269">
        <v>494.03</v>
      </c>
      <c r="S1269">
        <v>8</v>
      </c>
      <c r="T1269">
        <v>0</v>
      </c>
      <c r="U1269">
        <v>101.21</v>
      </c>
    </row>
    <row r="1270" spans="1:21" x14ac:dyDescent="0.3">
      <c r="A1270">
        <v>1269</v>
      </c>
      <c r="B1270" t="s">
        <v>1289</v>
      </c>
      <c r="C1270" s="2">
        <v>45762</v>
      </c>
      <c r="D1270" s="2">
        <v>45767</v>
      </c>
      <c r="E1270" t="s">
        <v>1524</v>
      </c>
      <c r="F1270" t="s">
        <v>1802</v>
      </c>
      <c r="G1270" t="s">
        <v>1976</v>
      </c>
      <c r="H1270" t="s">
        <v>2314</v>
      </c>
      <c r="I1270" t="s">
        <v>2317</v>
      </c>
      <c r="J1270" t="s">
        <v>2321</v>
      </c>
      <c r="K1270" t="s">
        <v>2321</v>
      </c>
      <c r="L1270">
        <v>813297</v>
      </c>
      <c r="M1270" t="s">
        <v>2329</v>
      </c>
      <c r="N1270" t="s">
        <v>2683</v>
      </c>
      <c r="O1270" t="s">
        <v>3055</v>
      </c>
      <c r="P1270" t="s">
        <v>3059</v>
      </c>
      <c r="Q1270" t="s">
        <v>3683</v>
      </c>
      <c r="R1270">
        <v>240.21</v>
      </c>
      <c r="S1270">
        <v>8</v>
      </c>
      <c r="T1270">
        <v>0.15</v>
      </c>
      <c r="U1270">
        <v>7.17</v>
      </c>
    </row>
    <row r="1271" spans="1:21" x14ac:dyDescent="0.3">
      <c r="A1271">
        <v>1270</v>
      </c>
      <c r="B1271" t="s">
        <v>1290</v>
      </c>
      <c r="C1271" s="2">
        <v>45410</v>
      </c>
      <c r="D1271" s="2">
        <v>45413</v>
      </c>
      <c r="E1271" t="s">
        <v>1522</v>
      </c>
      <c r="F1271" t="s">
        <v>1729</v>
      </c>
      <c r="G1271" t="s">
        <v>2225</v>
      </c>
      <c r="H1271" t="s">
        <v>2314</v>
      </c>
      <c r="I1271" t="s">
        <v>2317</v>
      </c>
      <c r="J1271" t="s">
        <v>2323</v>
      </c>
      <c r="K1271" t="s">
        <v>2323</v>
      </c>
      <c r="L1271">
        <v>796771</v>
      </c>
      <c r="M1271" t="s">
        <v>2328</v>
      </c>
      <c r="N1271" t="s">
        <v>3001</v>
      </c>
      <c r="O1271" t="s">
        <v>3055</v>
      </c>
      <c r="P1271" t="s">
        <v>3061</v>
      </c>
      <c r="Q1271" t="s">
        <v>3503</v>
      </c>
      <c r="R1271">
        <v>128.25</v>
      </c>
      <c r="S1271">
        <v>7</v>
      </c>
      <c r="T1271">
        <v>0</v>
      </c>
      <c r="U1271">
        <v>49.33</v>
      </c>
    </row>
    <row r="1272" spans="1:21" x14ac:dyDescent="0.3">
      <c r="A1272">
        <v>1271</v>
      </c>
      <c r="B1272" t="s">
        <v>1291</v>
      </c>
      <c r="C1272" s="2">
        <v>45687</v>
      </c>
      <c r="D1272" s="2">
        <v>45690</v>
      </c>
      <c r="E1272" t="s">
        <v>1523</v>
      </c>
      <c r="F1272" t="s">
        <v>1704</v>
      </c>
      <c r="G1272" t="s">
        <v>2237</v>
      </c>
      <c r="H1272" t="s">
        <v>2314</v>
      </c>
      <c r="I1272" t="s">
        <v>2317</v>
      </c>
      <c r="J1272" t="s">
        <v>2323</v>
      </c>
      <c r="K1272" t="s">
        <v>2323</v>
      </c>
      <c r="L1272">
        <v>744615</v>
      </c>
      <c r="M1272" t="s">
        <v>2328</v>
      </c>
      <c r="N1272" t="s">
        <v>2644</v>
      </c>
      <c r="O1272" t="s">
        <v>3054</v>
      </c>
      <c r="P1272" t="s">
        <v>3058</v>
      </c>
      <c r="Q1272" t="s">
        <v>3439</v>
      </c>
      <c r="R1272">
        <v>47.83</v>
      </c>
      <c r="S1272">
        <v>4</v>
      </c>
      <c r="T1272">
        <v>0.2</v>
      </c>
      <c r="U1272">
        <v>38.07</v>
      </c>
    </row>
    <row r="1273" spans="1:21" x14ac:dyDescent="0.3">
      <c r="A1273">
        <v>1272</v>
      </c>
      <c r="B1273" t="s">
        <v>1292</v>
      </c>
      <c r="C1273" s="2">
        <v>45823</v>
      </c>
      <c r="D1273" s="2">
        <v>45826</v>
      </c>
      <c r="E1273" t="s">
        <v>1524</v>
      </c>
      <c r="F1273" t="s">
        <v>1820</v>
      </c>
      <c r="G1273" t="s">
        <v>2281</v>
      </c>
      <c r="H1273" t="s">
        <v>2315</v>
      </c>
      <c r="I1273" t="s">
        <v>2317</v>
      </c>
      <c r="J1273" t="s">
        <v>2319</v>
      </c>
      <c r="K1273" t="s">
        <v>2319</v>
      </c>
      <c r="L1273">
        <v>838322</v>
      </c>
      <c r="M1273" t="s">
        <v>2329</v>
      </c>
      <c r="N1273" t="s">
        <v>3002</v>
      </c>
      <c r="O1273" t="s">
        <v>3053</v>
      </c>
      <c r="P1273" t="s">
        <v>3056</v>
      </c>
      <c r="Q1273" t="s">
        <v>3689</v>
      </c>
      <c r="R1273">
        <v>113.69</v>
      </c>
      <c r="S1273">
        <v>9</v>
      </c>
      <c r="T1273">
        <v>0.05</v>
      </c>
      <c r="U1273">
        <v>-16.18</v>
      </c>
    </row>
    <row r="1274" spans="1:21" x14ac:dyDescent="0.3">
      <c r="A1274">
        <v>1273</v>
      </c>
      <c r="B1274" t="s">
        <v>1293</v>
      </c>
      <c r="C1274" s="2">
        <v>45552</v>
      </c>
      <c r="D1274" s="2">
        <v>45556</v>
      </c>
      <c r="E1274" t="s">
        <v>1521</v>
      </c>
      <c r="F1274" t="s">
        <v>1746</v>
      </c>
      <c r="G1274" t="s">
        <v>2240</v>
      </c>
      <c r="H1274" t="s">
        <v>2314</v>
      </c>
      <c r="I1274" t="s">
        <v>2317</v>
      </c>
      <c r="J1274" t="s">
        <v>2326</v>
      </c>
      <c r="K1274" t="s">
        <v>2326</v>
      </c>
      <c r="L1274">
        <v>140131</v>
      </c>
      <c r="M1274" t="s">
        <v>2331</v>
      </c>
      <c r="N1274" t="s">
        <v>2726</v>
      </c>
      <c r="O1274" t="s">
        <v>3053</v>
      </c>
      <c r="P1274" t="s">
        <v>3056</v>
      </c>
      <c r="Q1274" t="s">
        <v>3187</v>
      </c>
      <c r="R1274">
        <v>88.06</v>
      </c>
      <c r="S1274">
        <v>2</v>
      </c>
      <c r="T1274">
        <v>0.2</v>
      </c>
      <c r="U1274">
        <v>0.27</v>
      </c>
    </row>
    <row r="1275" spans="1:21" x14ac:dyDescent="0.3">
      <c r="A1275">
        <v>1274</v>
      </c>
      <c r="B1275" t="s">
        <v>1294</v>
      </c>
      <c r="C1275" s="2">
        <v>45547</v>
      </c>
      <c r="D1275" s="2">
        <v>45552</v>
      </c>
      <c r="E1275" t="s">
        <v>1522</v>
      </c>
      <c r="F1275" t="s">
        <v>1817</v>
      </c>
      <c r="G1275" t="s">
        <v>2300</v>
      </c>
      <c r="H1275" t="s">
        <v>2315</v>
      </c>
      <c r="I1275" t="s">
        <v>2317</v>
      </c>
      <c r="J1275" t="s">
        <v>2318</v>
      </c>
      <c r="K1275" t="s">
        <v>2318</v>
      </c>
      <c r="L1275">
        <v>642744</v>
      </c>
      <c r="M1275" t="s">
        <v>2328</v>
      </c>
      <c r="N1275" t="s">
        <v>3003</v>
      </c>
      <c r="O1275" t="s">
        <v>3053</v>
      </c>
      <c r="P1275" t="s">
        <v>3066</v>
      </c>
      <c r="Q1275" t="s">
        <v>3767</v>
      </c>
      <c r="R1275">
        <v>97.9</v>
      </c>
      <c r="S1275">
        <v>6</v>
      </c>
      <c r="T1275">
        <v>0.15</v>
      </c>
      <c r="U1275">
        <v>-14.01</v>
      </c>
    </row>
    <row r="1276" spans="1:21" x14ac:dyDescent="0.3">
      <c r="A1276">
        <v>1275</v>
      </c>
      <c r="B1276" t="s">
        <v>1295</v>
      </c>
      <c r="C1276" s="2">
        <v>45517</v>
      </c>
      <c r="D1276" s="2">
        <v>45519</v>
      </c>
      <c r="E1276" t="s">
        <v>1521</v>
      </c>
      <c r="F1276" t="s">
        <v>1783</v>
      </c>
      <c r="G1276" t="s">
        <v>2142</v>
      </c>
      <c r="H1276" t="s">
        <v>2316</v>
      </c>
      <c r="I1276" t="s">
        <v>2317</v>
      </c>
      <c r="J1276" t="s">
        <v>2321</v>
      </c>
      <c r="K1276" t="s">
        <v>2321</v>
      </c>
      <c r="L1276">
        <v>349596</v>
      </c>
      <c r="M1276" t="s">
        <v>2329</v>
      </c>
      <c r="N1276" t="s">
        <v>2934</v>
      </c>
      <c r="O1276" t="s">
        <v>3054</v>
      </c>
      <c r="P1276" t="s">
        <v>3063</v>
      </c>
      <c r="Q1276" t="s">
        <v>3602</v>
      </c>
      <c r="R1276">
        <v>210.41</v>
      </c>
      <c r="S1276">
        <v>6</v>
      </c>
      <c r="T1276">
        <v>0.3</v>
      </c>
      <c r="U1276">
        <v>-20.04</v>
      </c>
    </row>
    <row r="1277" spans="1:21" x14ac:dyDescent="0.3">
      <c r="A1277">
        <v>1276</v>
      </c>
      <c r="B1277" t="s">
        <v>1296</v>
      </c>
      <c r="C1277" s="2">
        <v>45344</v>
      </c>
      <c r="D1277" s="2">
        <v>45348</v>
      </c>
      <c r="E1277" t="s">
        <v>1524</v>
      </c>
      <c r="F1277" t="s">
        <v>1665</v>
      </c>
      <c r="G1277" t="s">
        <v>1964</v>
      </c>
      <c r="H1277" t="s">
        <v>2316</v>
      </c>
      <c r="I1277" t="s">
        <v>2317</v>
      </c>
      <c r="J1277" t="s">
        <v>2327</v>
      </c>
      <c r="K1277" t="s">
        <v>2327</v>
      </c>
      <c r="L1277">
        <v>862017</v>
      </c>
      <c r="M1277" t="s">
        <v>2330</v>
      </c>
      <c r="N1277" t="s">
        <v>2758</v>
      </c>
      <c r="O1277" t="s">
        <v>3055</v>
      </c>
      <c r="P1277" t="s">
        <v>3061</v>
      </c>
      <c r="Q1277" t="s">
        <v>3836</v>
      </c>
      <c r="R1277">
        <v>235.24</v>
      </c>
      <c r="S1277">
        <v>2</v>
      </c>
      <c r="T1277">
        <v>0.1</v>
      </c>
      <c r="U1277">
        <v>43.3</v>
      </c>
    </row>
    <row r="1278" spans="1:21" x14ac:dyDescent="0.3">
      <c r="A1278">
        <v>1277</v>
      </c>
      <c r="B1278" t="s">
        <v>1297</v>
      </c>
      <c r="C1278" s="2">
        <v>45791</v>
      </c>
      <c r="D1278" s="2">
        <v>45793</v>
      </c>
      <c r="E1278" t="s">
        <v>1522</v>
      </c>
      <c r="F1278" t="s">
        <v>1808</v>
      </c>
      <c r="G1278" t="s">
        <v>2005</v>
      </c>
      <c r="H1278" t="s">
        <v>2316</v>
      </c>
      <c r="I1278" t="s">
        <v>2317</v>
      </c>
      <c r="J1278" t="s">
        <v>2321</v>
      </c>
      <c r="K1278" t="s">
        <v>2321</v>
      </c>
      <c r="L1278">
        <v>620751</v>
      </c>
      <c r="M1278" t="s">
        <v>2329</v>
      </c>
      <c r="N1278" t="s">
        <v>2543</v>
      </c>
      <c r="O1278" t="s">
        <v>3054</v>
      </c>
      <c r="P1278" t="s">
        <v>3057</v>
      </c>
      <c r="Q1278" t="s">
        <v>3581</v>
      </c>
      <c r="R1278">
        <v>49.81</v>
      </c>
      <c r="S1278">
        <v>3</v>
      </c>
      <c r="T1278">
        <v>0.3</v>
      </c>
      <c r="U1278">
        <v>0.99</v>
      </c>
    </row>
    <row r="1279" spans="1:21" x14ac:dyDescent="0.3">
      <c r="A1279">
        <v>1278</v>
      </c>
      <c r="B1279" t="s">
        <v>1298</v>
      </c>
      <c r="C1279" s="2">
        <v>45797</v>
      </c>
      <c r="D1279" s="2">
        <v>45799</v>
      </c>
      <c r="E1279" t="s">
        <v>1524</v>
      </c>
      <c r="F1279" t="s">
        <v>1908</v>
      </c>
      <c r="G1279" t="s">
        <v>2237</v>
      </c>
      <c r="H1279" t="s">
        <v>2315</v>
      </c>
      <c r="I1279" t="s">
        <v>2317</v>
      </c>
      <c r="J1279" t="s">
        <v>2319</v>
      </c>
      <c r="K1279" t="s">
        <v>2319</v>
      </c>
      <c r="L1279">
        <v>750222</v>
      </c>
      <c r="M1279" t="s">
        <v>2329</v>
      </c>
      <c r="N1279" t="s">
        <v>2929</v>
      </c>
      <c r="O1279" t="s">
        <v>3054</v>
      </c>
      <c r="P1279" t="s">
        <v>3057</v>
      </c>
      <c r="Q1279" t="s">
        <v>3805</v>
      </c>
      <c r="R1279">
        <v>131.76</v>
      </c>
      <c r="S1279">
        <v>2</v>
      </c>
      <c r="T1279">
        <v>0.1</v>
      </c>
      <c r="U1279">
        <v>60.9</v>
      </c>
    </row>
    <row r="1280" spans="1:21" x14ac:dyDescent="0.3">
      <c r="A1280">
        <v>1279</v>
      </c>
      <c r="B1280" t="s">
        <v>1299</v>
      </c>
      <c r="C1280" s="2">
        <v>45655</v>
      </c>
      <c r="D1280" s="2">
        <v>45658</v>
      </c>
      <c r="E1280" t="s">
        <v>1524</v>
      </c>
      <c r="F1280" t="s">
        <v>1872</v>
      </c>
      <c r="G1280" t="s">
        <v>2221</v>
      </c>
      <c r="H1280" t="s">
        <v>2315</v>
      </c>
      <c r="I1280" t="s">
        <v>2317</v>
      </c>
      <c r="J1280" t="s">
        <v>2323</v>
      </c>
      <c r="K1280" t="s">
        <v>2323</v>
      </c>
      <c r="L1280">
        <v>845723</v>
      </c>
      <c r="M1280" t="s">
        <v>2328</v>
      </c>
      <c r="N1280" t="s">
        <v>2915</v>
      </c>
      <c r="O1280" t="s">
        <v>3055</v>
      </c>
      <c r="P1280" t="s">
        <v>3059</v>
      </c>
      <c r="Q1280" t="s">
        <v>3837</v>
      </c>
      <c r="R1280">
        <v>113.67</v>
      </c>
      <c r="S1280">
        <v>8</v>
      </c>
      <c r="T1280">
        <v>0.1</v>
      </c>
      <c r="U1280">
        <v>-7.48</v>
      </c>
    </row>
    <row r="1281" spans="1:21" x14ac:dyDescent="0.3">
      <c r="A1281">
        <v>1280</v>
      </c>
      <c r="B1281" t="s">
        <v>1300</v>
      </c>
      <c r="C1281" s="2">
        <v>45571</v>
      </c>
      <c r="D1281" s="2">
        <v>45575</v>
      </c>
      <c r="E1281" t="s">
        <v>1523</v>
      </c>
      <c r="F1281" t="s">
        <v>1796</v>
      </c>
      <c r="G1281" t="s">
        <v>2272</v>
      </c>
      <c r="H1281" t="s">
        <v>2315</v>
      </c>
      <c r="I1281" t="s">
        <v>2317</v>
      </c>
      <c r="J1281" t="s">
        <v>2322</v>
      </c>
      <c r="K1281" t="s">
        <v>2322</v>
      </c>
      <c r="L1281">
        <v>894780</v>
      </c>
      <c r="M1281" t="s">
        <v>2331</v>
      </c>
      <c r="N1281" t="s">
        <v>2845</v>
      </c>
      <c r="O1281" t="s">
        <v>3054</v>
      </c>
      <c r="P1281" t="s">
        <v>3058</v>
      </c>
      <c r="Q1281" t="s">
        <v>3587</v>
      </c>
      <c r="R1281">
        <v>166.94</v>
      </c>
      <c r="S1281">
        <v>9</v>
      </c>
      <c r="T1281">
        <v>0.15</v>
      </c>
      <c r="U1281">
        <v>20.13</v>
      </c>
    </row>
    <row r="1282" spans="1:21" x14ac:dyDescent="0.3">
      <c r="A1282">
        <v>1281</v>
      </c>
      <c r="B1282" t="s">
        <v>1301</v>
      </c>
      <c r="C1282" s="2">
        <v>45884</v>
      </c>
      <c r="D1282" s="2">
        <v>45887</v>
      </c>
      <c r="E1282" t="s">
        <v>1522</v>
      </c>
      <c r="F1282" t="s">
        <v>1730</v>
      </c>
      <c r="G1282" t="s">
        <v>2218</v>
      </c>
      <c r="H1282" t="s">
        <v>2315</v>
      </c>
      <c r="I1282" t="s">
        <v>2317</v>
      </c>
      <c r="J1282" t="s">
        <v>2327</v>
      </c>
      <c r="K1282" t="s">
        <v>2327</v>
      </c>
      <c r="L1282">
        <v>260059</v>
      </c>
      <c r="M1282" t="s">
        <v>2330</v>
      </c>
      <c r="N1282" t="s">
        <v>3004</v>
      </c>
      <c r="O1282" t="s">
        <v>3055</v>
      </c>
      <c r="P1282" t="s">
        <v>3067</v>
      </c>
      <c r="Q1282" t="s">
        <v>3838</v>
      </c>
      <c r="R1282">
        <v>302.52999999999997</v>
      </c>
      <c r="S1282">
        <v>7</v>
      </c>
      <c r="T1282">
        <v>0.15</v>
      </c>
      <c r="U1282">
        <v>10.94</v>
      </c>
    </row>
    <row r="1283" spans="1:21" x14ac:dyDescent="0.3">
      <c r="A1283">
        <v>1282</v>
      </c>
      <c r="B1283" t="s">
        <v>1302</v>
      </c>
      <c r="C1283" s="2">
        <v>46005</v>
      </c>
      <c r="D1283" s="2">
        <v>46008</v>
      </c>
      <c r="E1283" t="s">
        <v>1521</v>
      </c>
      <c r="F1283" t="s">
        <v>1608</v>
      </c>
      <c r="G1283" t="s">
        <v>2057</v>
      </c>
      <c r="H1283" t="s">
        <v>2316</v>
      </c>
      <c r="I1283" t="s">
        <v>2317</v>
      </c>
      <c r="J1283" t="s">
        <v>2324</v>
      </c>
      <c r="K1283" t="s">
        <v>2324</v>
      </c>
      <c r="L1283">
        <v>186923</v>
      </c>
      <c r="M1283" t="s">
        <v>2330</v>
      </c>
      <c r="N1283" t="s">
        <v>2616</v>
      </c>
      <c r="O1283" t="s">
        <v>3055</v>
      </c>
      <c r="P1283" t="s">
        <v>3067</v>
      </c>
      <c r="Q1283" t="s">
        <v>3839</v>
      </c>
      <c r="R1283">
        <v>399.2</v>
      </c>
      <c r="S1283">
        <v>1</v>
      </c>
      <c r="T1283">
        <v>0.4</v>
      </c>
      <c r="U1283">
        <v>-55.78</v>
      </c>
    </row>
    <row r="1284" spans="1:21" x14ac:dyDescent="0.3">
      <c r="A1284">
        <v>1283</v>
      </c>
      <c r="B1284" t="s">
        <v>1303</v>
      </c>
      <c r="C1284" s="2">
        <v>45449</v>
      </c>
      <c r="D1284" s="2">
        <v>45452</v>
      </c>
      <c r="E1284" t="s">
        <v>1523</v>
      </c>
      <c r="F1284" t="s">
        <v>1768</v>
      </c>
      <c r="G1284" t="s">
        <v>2023</v>
      </c>
      <c r="H1284" t="s">
        <v>2315</v>
      </c>
      <c r="I1284" t="s">
        <v>2317</v>
      </c>
      <c r="J1284" t="s">
        <v>2325</v>
      </c>
      <c r="K1284" t="s">
        <v>2325</v>
      </c>
      <c r="L1284">
        <v>839937</v>
      </c>
      <c r="M1284" t="s">
        <v>2332</v>
      </c>
      <c r="N1284" t="s">
        <v>2594</v>
      </c>
      <c r="O1284" t="s">
        <v>3054</v>
      </c>
      <c r="P1284" t="s">
        <v>3058</v>
      </c>
      <c r="Q1284" t="s">
        <v>3370</v>
      </c>
      <c r="R1284">
        <v>131.93</v>
      </c>
      <c r="S1284">
        <v>1</v>
      </c>
      <c r="T1284">
        <v>0.2</v>
      </c>
      <c r="U1284">
        <v>90.12</v>
      </c>
    </row>
    <row r="1285" spans="1:21" x14ac:dyDescent="0.3">
      <c r="A1285">
        <v>1284</v>
      </c>
      <c r="B1285" t="s">
        <v>1304</v>
      </c>
      <c r="C1285" s="2">
        <v>45923</v>
      </c>
      <c r="D1285" s="2">
        <v>45928</v>
      </c>
      <c r="E1285" t="s">
        <v>1522</v>
      </c>
      <c r="F1285" t="s">
        <v>1606</v>
      </c>
      <c r="G1285" t="s">
        <v>2191</v>
      </c>
      <c r="H1285" t="s">
        <v>2314</v>
      </c>
      <c r="I1285" t="s">
        <v>2317</v>
      </c>
      <c r="J1285" t="s">
        <v>2322</v>
      </c>
      <c r="K1285" t="s">
        <v>2322</v>
      </c>
      <c r="L1285">
        <v>457659</v>
      </c>
      <c r="M1285" t="s">
        <v>2331</v>
      </c>
      <c r="N1285" t="s">
        <v>2994</v>
      </c>
      <c r="O1285" t="s">
        <v>3054</v>
      </c>
      <c r="P1285" t="s">
        <v>3063</v>
      </c>
      <c r="Q1285" t="s">
        <v>3360</v>
      </c>
      <c r="R1285">
        <v>113.67</v>
      </c>
      <c r="S1285">
        <v>4</v>
      </c>
      <c r="T1285">
        <v>0.2</v>
      </c>
      <c r="U1285">
        <v>0.56000000000000005</v>
      </c>
    </row>
    <row r="1286" spans="1:21" x14ac:dyDescent="0.3">
      <c r="A1286">
        <v>1285</v>
      </c>
      <c r="B1286" t="s">
        <v>1305</v>
      </c>
      <c r="C1286" s="2">
        <v>45350</v>
      </c>
      <c r="D1286" s="2">
        <v>45353</v>
      </c>
      <c r="E1286" t="s">
        <v>1524</v>
      </c>
      <c r="F1286" t="s">
        <v>1628</v>
      </c>
      <c r="G1286" t="s">
        <v>2009</v>
      </c>
      <c r="H1286" t="s">
        <v>2315</v>
      </c>
      <c r="I1286" t="s">
        <v>2317</v>
      </c>
      <c r="J1286" t="s">
        <v>2325</v>
      </c>
      <c r="K1286" t="s">
        <v>2325</v>
      </c>
      <c r="L1286">
        <v>722503</v>
      </c>
      <c r="M1286" t="s">
        <v>2332</v>
      </c>
      <c r="N1286" t="s">
        <v>2660</v>
      </c>
      <c r="O1286" t="s">
        <v>3054</v>
      </c>
      <c r="P1286" t="s">
        <v>3063</v>
      </c>
      <c r="Q1286" t="s">
        <v>3585</v>
      </c>
      <c r="R1286">
        <v>96.61</v>
      </c>
      <c r="S1286">
        <v>9</v>
      </c>
      <c r="T1286">
        <v>0.2</v>
      </c>
      <c r="U1286">
        <v>14.6</v>
      </c>
    </row>
    <row r="1287" spans="1:21" x14ac:dyDescent="0.3">
      <c r="A1287">
        <v>1286</v>
      </c>
      <c r="B1287" t="s">
        <v>1306</v>
      </c>
      <c r="C1287" s="2">
        <v>46018</v>
      </c>
      <c r="D1287" s="2">
        <v>46024</v>
      </c>
      <c r="E1287" t="s">
        <v>1522</v>
      </c>
      <c r="F1287" t="s">
        <v>1863</v>
      </c>
      <c r="G1287" t="s">
        <v>2264</v>
      </c>
      <c r="H1287" t="s">
        <v>2314</v>
      </c>
      <c r="I1287" t="s">
        <v>2317</v>
      </c>
      <c r="J1287" t="s">
        <v>2318</v>
      </c>
      <c r="K1287" t="s">
        <v>2318</v>
      </c>
      <c r="L1287">
        <v>333886</v>
      </c>
      <c r="M1287" t="s">
        <v>2328</v>
      </c>
      <c r="N1287" t="s">
        <v>2523</v>
      </c>
      <c r="O1287" t="s">
        <v>3055</v>
      </c>
      <c r="P1287" t="s">
        <v>3059</v>
      </c>
      <c r="Q1287" t="s">
        <v>3837</v>
      </c>
      <c r="R1287">
        <v>387.63</v>
      </c>
      <c r="S1287">
        <v>1</v>
      </c>
      <c r="T1287">
        <v>0.2</v>
      </c>
      <c r="U1287">
        <v>21.1</v>
      </c>
    </row>
    <row r="1288" spans="1:21" x14ac:dyDescent="0.3">
      <c r="A1288">
        <v>1287</v>
      </c>
      <c r="B1288" t="s">
        <v>1307</v>
      </c>
      <c r="C1288" s="2">
        <v>45419</v>
      </c>
      <c r="D1288" s="2">
        <v>45422</v>
      </c>
      <c r="E1288" t="s">
        <v>1522</v>
      </c>
      <c r="F1288" t="s">
        <v>1617</v>
      </c>
      <c r="G1288" t="s">
        <v>2139</v>
      </c>
      <c r="H1288" t="s">
        <v>2315</v>
      </c>
      <c r="I1288" t="s">
        <v>2317</v>
      </c>
      <c r="J1288" t="s">
        <v>2326</v>
      </c>
      <c r="K1288" t="s">
        <v>2326</v>
      </c>
      <c r="L1288">
        <v>982230</v>
      </c>
      <c r="M1288" t="s">
        <v>2331</v>
      </c>
      <c r="N1288" t="s">
        <v>2845</v>
      </c>
      <c r="O1288" t="s">
        <v>3053</v>
      </c>
      <c r="P1288" t="s">
        <v>3062</v>
      </c>
      <c r="Q1288" t="s">
        <v>3840</v>
      </c>
      <c r="R1288">
        <v>106.47</v>
      </c>
      <c r="S1288">
        <v>9</v>
      </c>
      <c r="T1288">
        <v>0.15</v>
      </c>
      <c r="U1288">
        <v>-19.73</v>
      </c>
    </row>
    <row r="1289" spans="1:21" x14ac:dyDescent="0.3">
      <c r="A1289">
        <v>1288</v>
      </c>
      <c r="B1289" t="s">
        <v>1308</v>
      </c>
      <c r="C1289" s="2">
        <v>46012</v>
      </c>
      <c r="D1289" s="2">
        <v>46016</v>
      </c>
      <c r="E1289" t="s">
        <v>1524</v>
      </c>
      <c r="F1289" t="s">
        <v>1604</v>
      </c>
      <c r="G1289" t="s">
        <v>2045</v>
      </c>
      <c r="H1289" t="s">
        <v>2316</v>
      </c>
      <c r="I1289" t="s">
        <v>2317</v>
      </c>
      <c r="J1289" t="s">
        <v>2327</v>
      </c>
      <c r="K1289" t="s">
        <v>2327</v>
      </c>
      <c r="L1289">
        <v>282414</v>
      </c>
      <c r="M1289" t="s">
        <v>2330</v>
      </c>
      <c r="N1289" t="s">
        <v>2917</v>
      </c>
      <c r="O1289" t="s">
        <v>3054</v>
      </c>
      <c r="P1289" t="s">
        <v>3058</v>
      </c>
      <c r="Q1289" t="s">
        <v>3157</v>
      </c>
      <c r="R1289">
        <v>124.67</v>
      </c>
      <c r="S1289">
        <v>7</v>
      </c>
      <c r="T1289">
        <v>0</v>
      </c>
      <c r="U1289">
        <v>29.69</v>
      </c>
    </row>
    <row r="1290" spans="1:21" x14ac:dyDescent="0.3">
      <c r="A1290">
        <v>1289</v>
      </c>
      <c r="B1290" t="s">
        <v>1309</v>
      </c>
      <c r="C1290" s="2">
        <v>45406</v>
      </c>
      <c r="D1290" s="2">
        <v>45409</v>
      </c>
      <c r="E1290" t="s">
        <v>1522</v>
      </c>
      <c r="F1290" t="s">
        <v>1846</v>
      </c>
      <c r="G1290" t="s">
        <v>1952</v>
      </c>
      <c r="H1290" t="s">
        <v>2314</v>
      </c>
      <c r="I1290" t="s">
        <v>2317</v>
      </c>
      <c r="J1290" t="s">
        <v>2320</v>
      </c>
      <c r="K1290" t="s">
        <v>2320</v>
      </c>
      <c r="L1290">
        <v>675357</v>
      </c>
      <c r="M1290" t="s">
        <v>2330</v>
      </c>
      <c r="N1290" t="s">
        <v>3005</v>
      </c>
      <c r="O1290" t="s">
        <v>3053</v>
      </c>
      <c r="P1290" t="s">
        <v>3062</v>
      </c>
      <c r="Q1290" t="s">
        <v>3277</v>
      </c>
      <c r="R1290">
        <v>323.49</v>
      </c>
      <c r="S1290">
        <v>7</v>
      </c>
      <c r="T1290">
        <v>0.15</v>
      </c>
      <c r="U1290">
        <v>27.9</v>
      </c>
    </row>
    <row r="1291" spans="1:21" x14ac:dyDescent="0.3">
      <c r="A1291">
        <v>1290</v>
      </c>
      <c r="B1291" t="s">
        <v>1310</v>
      </c>
      <c r="C1291" s="2">
        <v>45500</v>
      </c>
      <c r="D1291" s="2">
        <v>45503</v>
      </c>
      <c r="E1291" t="s">
        <v>1523</v>
      </c>
      <c r="F1291" t="s">
        <v>1780</v>
      </c>
      <c r="G1291" t="s">
        <v>2285</v>
      </c>
      <c r="H1291" t="s">
        <v>2314</v>
      </c>
      <c r="I1291" t="s">
        <v>2317</v>
      </c>
      <c r="J1291" t="s">
        <v>2327</v>
      </c>
      <c r="K1291" t="s">
        <v>2327</v>
      </c>
      <c r="L1291">
        <v>444417</v>
      </c>
      <c r="M1291" t="s">
        <v>2330</v>
      </c>
      <c r="N1291" t="s">
        <v>3006</v>
      </c>
      <c r="O1291" t="s">
        <v>3053</v>
      </c>
      <c r="P1291" t="s">
        <v>3062</v>
      </c>
      <c r="Q1291" t="s">
        <v>3208</v>
      </c>
      <c r="R1291">
        <v>293.20999999999998</v>
      </c>
      <c r="S1291">
        <v>5</v>
      </c>
      <c r="T1291">
        <v>0.15</v>
      </c>
      <c r="U1291">
        <v>17.38</v>
      </c>
    </row>
    <row r="1292" spans="1:21" x14ac:dyDescent="0.3">
      <c r="A1292">
        <v>1291</v>
      </c>
      <c r="B1292" t="s">
        <v>1311</v>
      </c>
      <c r="C1292" s="2">
        <v>45817</v>
      </c>
      <c r="D1292" s="2">
        <v>45820</v>
      </c>
      <c r="E1292" t="s">
        <v>1521</v>
      </c>
      <c r="F1292" t="s">
        <v>1873</v>
      </c>
      <c r="G1292" t="s">
        <v>2288</v>
      </c>
      <c r="H1292" t="s">
        <v>2316</v>
      </c>
      <c r="I1292" t="s">
        <v>2317</v>
      </c>
      <c r="J1292" t="s">
        <v>2321</v>
      </c>
      <c r="K1292" t="s">
        <v>2321</v>
      </c>
      <c r="L1292">
        <v>642101</v>
      </c>
      <c r="M1292" t="s">
        <v>2329</v>
      </c>
      <c r="N1292" t="s">
        <v>2732</v>
      </c>
      <c r="O1292" t="s">
        <v>3055</v>
      </c>
      <c r="P1292" t="s">
        <v>3059</v>
      </c>
      <c r="Q1292" t="s">
        <v>3841</v>
      </c>
      <c r="R1292">
        <v>266.13</v>
      </c>
      <c r="S1292">
        <v>5</v>
      </c>
      <c r="T1292">
        <v>0.05</v>
      </c>
      <c r="U1292">
        <v>53.08</v>
      </c>
    </row>
    <row r="1293" spans="1:21" x14ac:dyDescent="0.3">
      <c r="A1293">
        <v>1292</v>
      </c>
      <c r="B1293" t="s">
        <v>1312</v>
      </c>
      <c r="C1293" s="2">
        <v>45812</v>
      </c>
      <c r="D1293" s="2">
        <v>45817</v>
      </c>
      <c r="E1293" t="s">
        <v>1523</v>
      </c>
      <c r="F1293" t="s">
        <v>1864</v>
      </c>
      <c r="G1293" t="s">
        <v>1981</v>
      </c>
      <c r="H1293" t="s">
        <v>2315</v>
      </c>
      <c r="I1293" t="s">
        <v>2317</v>
      </c>
      <c r="J1293" t="s">
        <v>2323</v>
      </c>
      <c r="K1293" t="s">
        <v>2323</v>
      </c>
      <c r="L1293">
        <v>842474</v>
      </c>
      <c r="M1293" t="s">
        <v>2328</v>
      </c>
      <c r="N1293" t="s">
        <v>2942</v>
      </c>
      <c r="O1293" t="s">
        <v>3055</v>
      </c>
      <c r="P1293" t="s">
        <v>3061</v>
      </c>
      <c r="Q1293" t="s">
        <v>3842</v>
      </c>
      <c r="R1293">
        <v>419.94</v>
      </c>
      <c r="S1293">
        <v>5</v>
      </c>
      <c r="T1293">
        <v>0</v>
      </c>
      <c r="U1293">
        <v>98.84</v>
      </c>
    </row>
    <row r="1294" spans="1:21" x14ac:dyDescent="0.3">
      <c r="A1294">
        <v>1293</v>
      </c>
      <c r="B1294" t="s">
        <v>1313</v>
      </c>
      <c r="C1294" s="2">
        <v>45843</v>
      </c>
      <c r="D1294" s="2">
        <v>45847</v>
      </c>
      <c r="E1294" t="s">
        <v>1524</v>
      </c>
      <c r="F1294" t="s">
        <v>1913</v>
      </c>
      <c r="G1294" t="s">
        <v>1979</v>
      </c>
      <c r="H1294" t="s">
        <v>2316</v>
      </c>
      <c r="I1294" t="s">
        <v>2317</v>
      </c>
      <c r="J1294" t="s">
        <v>2321</v>
      </c>
      <c r="K1294" t="s">
        <v>2321</v>
      </c>
      <c r="L1294">
        <v>183081</v>
      </c>
      <c r="M1294" t="s">
        <v>2329</v>
      </c>
      <c r="N1294" t="s">
        <v>2987</v>
      </c>
      <c r="O1294" t="s">
        <v>3054</v>
      </c>
      <c r="P1294" t="s">
        <v>3063</v>
      </c>
      <c r="Q1294" t="s">
        <v>3323</v>
      </c>
      <c r="R1294">
        <v>50.83</v>
      </c>
      <c r="S1294">
        <v>7</v>
      </c>
      <c r="T1294">
        <v>0.15</v>
      </c>
      <c r="U1294">
        <v>20.260000000000002</v>
      </c>
    </row>
    <row r="1295" spans="1:21" x14ac:dyDescent="0.3">
      <c r="A1295">
        <v>1294</v>
      </c>
      <c r="B1295" t="s">
        <v>1314</v>
      </c>
      <c r="C1295" s="2">
        <v>45528</v>
      </c>
      <c r="D1295" s="2">
        <v>45530</v>
      </c>
      <c r="E1295" t="s">
        <v>1522</v>
      </c>
      <c r="F1295" t="s">
        <v>1602</v>
      </c>
      <c r="G1295" t="s">
        <v>2172</v>
      </c>
      <c r="H1295" t="s">
        <v>2314</v>
      </c>
      <c r="I1295" t="s">
        <v>2317</v>
      </c>
      <c r="J1295" t="s">
        <v>2321</v>
      </c>
      <c r="K1295" t="s">
        <v>2321</v>
      </c>
      <c r="L1295">
        <v>277367</v>
      </c>
      <c r="M1295" t="s">
        <v>2329</v>
      </c>
      <c r="N1295" t="s">
        <v>2468</v>
      </c>
      <c r="O1295" t="s">
        <v>3053</v>
      </c>
      <c r="P1295" t="s">
        <v>3062</v>
      </c>
      <c r="Q1295" t="s">
        <v>3542</v>
      </c>
      <c r="R1295">
        <v>145.49</v>
      </c>
      <c r="S1295">
        <v>3</v>
      </c>
      <c r="T1295">
        <v>0.1</v>
      </c>
      <c r="U1295">
        <v>-4.67</v>
      </c>
    </row>
    <row r="1296" spans="1:21" x14ac:dyDescent="0.3">
      <c r="A1296">
        <v>1295</v>
      </c>
      <c r="B1296" t="s">
        <v>1315</v>
      </c>
      <c r="C1296" s="2">
        <v>45572</v>
      </c>
      <c r="D1296" s="2">
        <v>45573</v>
      </c>
      <c r="E1296" t="s">
        <v>1521</v>
      </c>
      <c r="F1296" t="s">
        <v>1634</v>
      </c>
      <c r="G1296" t="s">
        <v>2105</v>
      </c>
      <c r="H1296" t="s">
        <v>2314</v>
      </c>
      <c r="I1296" t="s">
        <v>2317</v>
      </c>
      <c r="J1296" t="s">
        <v>2318</v>
      </c>
      <c r="K1296" t="s">
        <v>2318</v>
      </c>
      <c r="L1296">
        <v>901391</v>
      </c>
      <c r="M1296" t="s">
        <v>2328</v>
      </c>
      <c r="N1296" t="s">
        <v>2596</v>
      </c>
      <c r="O1296" t="s">
        <v>3054</v>
      </c>
      <c r="P1296" t="s">
        <v>3064</v>
      </c>
      <c r="Q1296" t="s">
        <v>3295</v>
      </c>
      <c r="R1296">
        <v>82.27</v>
      </c>
      <c r="S1296">
        <v>2</v>
      </c>
      <c r="T1296">
        <v>0.2</v>
      </c>
      <c r="U1296">
        <v>32.450000000000003</v>
      </c>
    </row>
    <row r="1297" spans="1:21" x14ac:dyDescent="0.3">
      <c r="A1297">
        <v>1296</v>
      </c>
      <c r="B1297" t="s">
        <v>1316</v>
      </c>
      <c r="C1297" s="2">
        <v>45650</v>
      </c>
      <c r="D1297" s="2">
        <v>45655</v>
      </c>
      <c r="E1297" t="s">
        <v>1521</v>
      </c>
      <c r="F1297" t="s">
        <v>1763</v>
      </c>
      <c r="G1297" t="s">
        <v>2131</v>
      </c>
      <c r="H1297" t="s">
        <v>2316</v>
      </c>
      <c r="I1297" t="s">
        <v>2317</v>
      </c>
      <c r="J1297" t="s">
        <v>2322</v>
      </c>
      <c r="K1297" t="s">
        <v>2322</v>
      </c>
      <c r="L1297">
        <v>101825</v>
      </c>
      <c r="M1297" t="s">
        <v>2331</v>
      </c>
      <c r="N1297" t="s">
        <v>3007</v>
      </c>
      <c r="O1297" t="s">
        <v>3053</v>
      </c>
      <c r="P1297" t="s">
        <v>3056</v>
      </c>
      <c r="Q1297" t="s">
        <v>3094</v>
      </c>
      <c r="R1297">
        <v>235.86</v>
      </c>
      <c r="S1297">
        <v>9</v>
      </c>
      <c r="T1297">
        <v>0.2</v>
      </c>
      <c r="U1297">
        <v>9.76</v>
      </c>
    </row>
    <row r="1298" spans="1:21" x14ac:dyDescent="0.3">
      <c r="A1298">
        <v>1297</v>
      </c>
      <c r="B1298" t="s">
        <v>1317</v>
      </c>
      <c r="C1298" s="2">
        <v>45492</v>
      </c>
      <c r="D1298" s="2">
        <v>45495</v>
      </c>
      <c r="E1298" t="s">
        <v>1524</v>
      </c>
      <c r="F1298" t="s">
        <v>1670</v>
      </c>
      <c r="G1298" t="s">
        <v>2295</v>
      </c>
      <c r="H1298" t="s">
        <v>2315</v>
      </c>
      <c r="I1298" t="s">
        <v>2317</v>
      </c>
      <c r="J1298" t="s">
        <v>2320</v>
      </c>
      <c r="K1298" t="s">
        <v>2320</v>
      </c>
      <c r="L1298">
        <v>720971</v>
      </c>
      <c r="M1298" t="s">
        <v>2330</v>
      </c>
      <c r="N1298" t="s">
        <v>2980</v>
      </c>
      <c r="O1298" t="s">
        <v>3054</v>
      </c>
      <c r="P1298" t="s">
        <v>3058</v>
      </c>
      <c r="Q1298" t="s">
        <v>3071</v>
      </c>
      <c r="R1298">
        <v>196.19</v>
      </c>
      <c r="S1298">
        <v>6</v>
      </c>
      <c r="T1298">
        <v>0.2</v>
      </c>
      <c r="U1298">
        <v>27.72</v>
      </c>
    </row>
    <row r="1299" spans="1:21" x14ac:dyDescent="0.3">
      <c r="A1299">
        <v>1298</v>
      </c>
      <c r="B1299" t="s">
        <v>1318</v>
      </c>
      <c r="C1299" s="2">
        <v>45569</v>
      </c>
      <c r="D1299" s="2">
        <v>45574</v>
      </c>
      <c r="E1299" t="s">
        <v>1524</v>
      </c>
      <c r="F1299" t="s">
        <v>1898</v>
      </c>
      <c r="G1299" t="s">
        <v>2265</v>
      </c>
      <c r="H1299" t="s">
        <v>2316</v>
      </c>
      <c r="I1299" t="s">
        <v>2317</v>
      </c>
      <c r="J1299" t="s">
        <v>2320</v>
      </c>
      <c r="K1299" t="s">
        <v>2320</v>
      </c>
      <c r="L1299">
        <v>524524</v>
      </c>
      <c r="M1299" t="s">
        <v>2330</v>
      </c>
      <c r="N1299" t="s">
        <v>3008</v>
      </c>
      <c r="O1299" t="s">
        <v>3055</v>
      </c>
      <c r="P1299" t="s">
        <v>3061</v>
      </c>
      <c r="Q1299" t="s">
        <v>3843</v>
      </c>
      <c r="R1299">
        <v>639.64</v>
      </c>
      <c r="S1299">
        <v>3</v>
      </c>
      <c r="T1299">
        <v>0.2</v>
      </c>
      <c r="U1299">
        <v>16.22</v>
      </c>
    </row>
    <row r="1300" spans="1:21" x14ac:dyDescent="0.3">
      <c r="A1300">
        <v>1299</v>
      </c>
      <c r="B1300" t="s">
        <v>1319</v>
      </c>
      <c r="C1300" s="2">
        <v>45526</v>
      </c>
      <c r="D1300" s="2">
        <v>45528</v>
      </c>
      <c r="E1300" t="s">
        <v>1523</v>
      </c>
      <c r="F1300" t="s">
        <v>1914</v>
      </c>
      <c r="G1300" t="s">
        <v>2247</v>
      </c>
      <c r="H1300" t="s">
        <v>2314</v>
      </c>
      <c r="I1300" t="s">
        <v>2317</v>
      </c>
      <c r="J1300" t="s">
        <v>2321</v>
      </c>
      <c r="K1300" t="s">
        <v>2321</v>
      </c>
      <c r="L1300">
        <v>409345</v>
      </c>
      <c r="M1300" t="s">
        <v>2329</v>
      </c>
      <c r="N1300" t="s">
        <v>3009</v>
      </c>
      <c r="O1300" t="s">
        <v>3053</v>
      </c>
      <c r="P1300" t="s">
        <v>3062</v>
      </c>
      <c r="Q1300" t="s">
        <v>3673</v>
      </c>
      <c r="R1300">
        <v>288.26</v>
      </c>
      <c r="S1300">
        <v>4</v>
      </c>
      <c r="T1300">
        <v>0.3</v>
      </c>
      <c r="U1300">
        <v>-19.170000000000002</v>
      </c>
    </row>
    <row r="1301" spans="1:21" x14ac:dyDescent="0.3">
      <c r="A1301">
        <v>1300</v>
      </c>
      <c r="B1301" t="s">
        <v>1320</v>
      </c>
      <c r="C1301" s="2">
        <v>45785</v>
      </c>
      <c r="D1301" s="2">
        <v>45788</v>
      </c>
      <c r="E1301" t="s">
        <v>1523</v>
      </c>
      <c r="F1301" t="s">
        <v>1736</v>
      </c>
      <c r="G1301" t="s">
        <v>2309</v>
      </c>
      <c r="H1301" t="s">
        <v>2315</v>
      </c>
      <c r="I1301" t="s">
        <v>2317</v>
      </c>
      <c r="J1301" t="s">
        <v>2325</v>
      </c>
      <c r="K1301" t="s">
        <v>2325</v>
      </c>
      <c r="L1301">
        <v>349494</v>
      </c>
      <c r="M1301" t="s">
        <v>2332</v>
      </c>
      <c r="N1301" t="s">
        <v>2650</v>
      </c>
      <c r="O1301" t="s">
        <v>3055</v>
      </c>
      <c r="P1301" t="s">
        <v>3061</v>
      </c>
      <c r="Q1301" t="s">
        <v>3502</v>
      </c>
      <c r="R1301">
        <v>1826.77</v>
      </c>
      <c r="S1301">
        <v>1</v>
      </c>
      <c r="T1301">
        <v>0</v>
      </c>
      <c r="U1301">
        <v>254.54</v>
      </c>
    </row>
    <row r="1302" spans="1:21" x14ac:dyDescent="0.3">
      <c r="A1302">
        <v>1301</v>
      </c>
      <c r="B1302" t="s">
        <v>1321</v>
      </c>
      <c r="C1302" s="2">
        <v>45295</v>
      </c>
      <c r="D1302" s="2">
        <v>45296</v>
      </c>
      <c r="E1302" t="s">
        <v>1523</v>
      </c>
      <c r="F1302" t="s">
        <v>1699</v>
      </c>
      <c r="G1302" t="s">
        <v>2093</v>
      </c>
      <c r="H1302" t="s">
        <v>2315</v>
      </c>
      <c r="I1302" t="s">
        <v>2317</v>
      </c>
      <c r="J1302" t="s">
        <v>2318</v>
      </c>
      <c r="K1302" t="s">
        <v>2318</v>
      </c>
      <c r="L1302">
        <v>270932</v>
      </c>
      <c r="M1302" t="s">
        <v>2328</v>
      </c>
      <c r="N1302" t="s">
        <v>3010</v>
      </c>
      <c r="O1302" t="s">
        <v>3053</v>
      </c>
      <c r="P1302" t="s">
        <v>3066</v>
      </c>
      <c r="Q1302" t="s">
        <v>3844</v>
      </c>
      <c r="R1302">
        <v>1015.73</v>
      </c>
      <c r="S1302">
        <v>7</v>
      </c>
      <c r="T1302">
        <v>0.1</v>
      </c>
      <c r="U1302">
        <v>80.319999999999993</v>
      </c>
    </row>
    <row r="1303" spans="1:21" x14ac:dyDescent="0.3">
      <c r="A1303">
        <v>1302</v>
      </c>
      <c r="B1303" t="s">
        <v>1322</v>
      </c>
      <c r="C1303" s="2">
        <v>45957</v>
      </c>
      <c r="D1303" s="2">
        <v>45963</v>
      </c>
      <c r="E1303" t="s">
        <v>1524</v>
      </c>
      <c r="F1303" t="s">
        <v>1822</v>
      </c>
      <c r="G1303" t="s">
        <v>2162</v>
      </c>
      <c r="H1303" t="s">
        <v>2315</v>
      </c>
      <c r="I1303" t="s">
        <v>2317</v>
      </c>
      <c r="J1303" t="s">
        <v>2321</v>
      </c>
      <c r="K1303" t="s">
        <v>2321</v>
      </c>
      <c r="L1303">
        <v>713710</v>
      </c>
      <c r="M1303" t="s">
        <v>2329</v>
      </c>
      <c r="N1303" t="s">
        <v>2917</v>
      </c>
      <c r="O1303" t="s">
        <v>3053</v>
      </c>
      <c r="P1303" t="s">
        <v>3056</v>
      </c>
      <c r="Q1303" t="s">
        <v>3194</v>
      </c>
      <c r="R1303">
        <v>180.71</v>
      </c>
      <c r="S1303">
        <v>4</v>
      </c>
      <c r="T1303">
        <v>0</v>
      </c>
      <c r="U1303">
        <v>51.91</v>
      </c>
    </row>
    <row r="1304" spans="1:21" x14ac:dyDescent="0.3">
      <c r="A1304">
        <v>1303</v>
      </c>
      <c r="B1304" t="s">
        <v>1323</v>
      </c>
      <c r="C1304" s="2">
        <v>45733</v>
      </c>
      <c r="D1304" s="2">
        <v>45735</v>
      </c>
      <c r="E1304" t="s">
        <v>1521</v>
      </c>
      <c r="F1304" t="s">
        <v>1883</v>
      </c>
      <c r="G1304" t="s">
        <v>2086</v>
      </c>
      <c r="H1304" t="s">
        <v>2315</v>
      </c>
      <c r="I1304" t="s">
        <v>2317</v>
      </c>
      <c r="J1304" t="s">
        <v>2326</v>
      </c>
      <c r="K1304" t="s">
        <v>2326</v>
      </c>
      <c r="L1304">
        <v>758272</v>
      </c>
      <c r="M1304" t="s">
        <v>2331</v>
      </c>
      <c r="N1304" t="s">
        <v>2774</v>
      </c>
      <c r="O1304" t="s">
        <v>3054</v>
      </c>
      <c r="P1304" t="s">
        <v>3063</v>
      </c>
      <c r="Q1304" t="s">
        <v>3810</v>
      </c>
      <c r="R1304">
        <v>155.72999999999999</v>
      </c>
      <c r="S1304">
        <v>4</v>
      </c>
      <c r="T1304">
        <v>0.1</v>
      </c>
      <c r="U1304">
        <v>42.19</v>
      </c>
    </row>
    <row r="1305" spans="1:21" x14ac:dyDescent="0.3">
      <c r="A1305">
        <v>1304</v>
      </c>
      <c r="B1305" t="s">
        <v>1324</v>
      </c>
      <c r="C1305" s="2">
        <v>45320</v>
      </c>
      <c r="D1305" s="2">
        <v>45323</v>
      </c>
      <c r="E1305" t="s">
        <v>1522</v>
      </c>
      <c r="F1305" t="s">
        <v>1892</v>
      </c>
      <c r="G1305" t="s">
        <v>2136</v>
      </c>
      <c r="H1305" t="s">
        <v>2314</v>
      </c>
      <c r="I1305" t="s">
        <v>2317</v>
      </c>
      <c r="J1305" t="s">
        <v>2323</v>
      </c>
      <c r="K1305" t="s">
        <v>2323</v>
      </c>
      <c r="L1305">
        <v>152784</v>
      </c>
      <c r="M1305" t="s">
        <v>2328</v>
      </c>
      <c r="N1305" t="s">
        <v>2451</v>
      </c>
      <c r="O1305" t="s">
        <v>3054</v>
      </c>
      <c r="P1305" t="s">
        <v>3063</v>
      </c>
      <c r="Q1305" t="s">
        <v>3800</v>
      </c>
      <c r="R1305">
        <v>35.119999999999997</v>
      </c>
      <c r="S1305">
        <v>5</v>
      </c>
      <c r="T1305">
        <v>0.15</v>
      </c>
      <c r="U1305">
        <v>32.61</v>
      </c>
    </row>
    <row r="1306" spans="1:21" x14ac:dyDescent="0.3">
      <c r="A1306">
        <v>1305</v>
      </c>
      <c r="B1306" t="s">
        <v>1325</v>
      </c>
      <c r="C1306" s="2">
        <v>45400</v>
      </c>
      <c r="D1306" s="2">
        <v>45403</v>
      </c>
      <c r="E1306" t="s">
        <v>1521</v>
      </c>
      <c r="F1306" t="s">
        <v>1544</v>
      </c>
      <c r="G1306" t="s">
        <v>2235</v>
      </c>
      <c r="H1306" t="s">
        <v>2315</v>
      </c>
      <c r="I1306" t="s">
        <v>2317</v>
      </c>
      <c r="J1306" t="s">
        <v>2322</v>
      </c>
      <c r="K1306" t="s">
        <v>2322</v>
      </c>
      <c r="L1306">
        <v>374115</v>
      </c>
      <c r="M1306" t="s">
        <v>2331</v>
      </c>
      <c r="N1306" t="s">
        <v>2980</v>
      </c>
      <c r="O1306" t="s">
        <v>3055</v>
      </c>
      <c r="P1306" t="s">
        <v>3059</v>
      </c>
      <c r="Q1306" t="s">
        <v>3735</v>
      </c>
      <c r="R1306">
        <v>527.03</v>
      </c>
      <c r="S1306">
        <v>8</v>
      </c>
      <c r="T1306">
        <v>0.2</v>
      </c>
      <c r="U1306">
        <v>35.35</v>
      </c>
    </row>
    <row r="1307" spans="1:21" x14ac:dyDescent="0.3">
      <c r="A1307">
        <v>1306</v>
      </c>
      <c r="B1307" t="s">
        <v>1326</v>
      </c>
      <c r="C1307" s="2">
        <v>45901</v>
      </c>
      <c r="D1307" s="2">
        <v>45904</v>
      </c>
      <c r="E1307" t="s">
        <v>1523</v>
      </c>
      <c r="F1307" t="s">
        <v>1855</v>
      </c>
      <c r="G1307" t="s">
        <v>1975</v>
      </c>
      <c r="H1307" t="s">
        <v>2316</v>
      </c>
      <c r="I1307" t="s">
        <v>2317</v>
      </c>
      <c r="J1307" t="s">
        <v>2324</v>
      </c>
      <c r="K1307" t="s">
        <v>2324</v>
      </c>
      <c r="L1307">
        <v>997971</v>
      </c>
      <c r="M1307" t="s">
        <v>2330</v>
      </c>
      <c r="N1307" t="s">
        <v>2914</v>
      </c>
      <c r="O1307" t="s">
        <v>3055</v>
      </c>
      <c r="P1307" t="s">
        <v>3060</v>
      </c>
      <c r="Q1307" t="s">
        <v>3845</v>
      </c>
      <c r="R1307">
        <v>304</v>
      </c>
      <c r="S1307">
        <v>1</v>
      </c>
      <c r="T1307">
        <v>0.1</v>
      </c>
      <c r="U1307">
        <v>23.02</v>
      </c>
    </row>
    <row r="1308" spans="1:21" x14ac:dyDescent="0.3">
      <c r="A1308">
        <v>1307</v>
      </c>
      <c r="B1308" t="s">
        <v>1327</v>
      </c>
      <c r="C1308" s="2">
        <v>46018</v>
      </c>
      <c r="D1308" s="2">
        <v>46021</v>
      </c>
      <c r="E1308" t="s">
        <v>1523</v>
      </c>
      <c r="F1308" t="s">
        <v>1822</v>
      </c>
      <c r="G1308" t="s">
        <v>2301</v>
      </c>
      <c r="H1308" t="s">
        <v>2314</v>
      </c>
      <c r="I1308" t="s">
        <v>2317</v>
      </c>
      <c r="J1308" t="s">
        <v>2326</v>
      </c>
      <c r="K1308" t="s">
        <v>2326</v>
      </c>
      <c r="L1308">
        <v>395608</v>
      </c>
      <c r="M1308" t="s">
        <v>2331</v>
      </c>
      <c r="N1308" t="s">
        <v>2791</v>
      </c>
      <c r="O1308" t="s">
        <v>3055</v>
      </c>
      <c r="P1308" t="s">
        <v>3059</v>
      </c>
      <c r="Q1308" t="s">
        <v>3183</v>
      </c>
      <c r="R1308">
        <v>251.65</v>
      </c>
      <c r="S1308">
        <v>1</v>
      </c>
      <c r="T1308">
        <v>0.15</v>
      </c>
      <c r="U1308">
        <v>21.07</v>
      </c>
    </row>
    <row r="1309" spans="1:21" x14ac:dyDescent="0.3">
      <c r="A1309">
        <v>1308</v>
      </c>
      <c r="B1309" t="s">
        <v>1328</v>
      </c>
      <c r="C1309" s="2">
        <v>45366</v>
      </c>
      <c r="D1309" s="2">
        <v>45369</v>
      </c>
      <c r="E1309" t="s">
        <v>1522</v>
      </c>
      <c r="F1309" t="s">
        <v>1899</v>
      </c>
      <c r="G1309" t="s">
        <v>2057</v>
      </c>
      <c r="H1309" t="s">
        <v>2316</v>
      </c>
      <c r="I1309" t="s">
        <v>2317</v>
      </c>
      <c r="J1309" t="s">
        <v>2325</v>
      </c>
      <c r="K1309" t="s">
        <v>2325</v>
      </c>
      <c r="L1309">
        <v>999915</v>
      </c>
      <c r="M1309" t="s">
        <v>2332</v>
      </c>
      <c r="N1309" t="s">
        <v>2817</v>
      </c>
      <c r="O1309" t="s">
        <v>3053</v>
      </c>
      <c r="P1309" t="s">
        <v>3065</v>
      </c>
      <c r="Q1309" t="s">
        <v>3846</v>
      </c>
      <c r="R1309">
        <v>169.13</v>
      </c>
      <c r="S1309">
        <v>6</v>
      </c>
      <c r="T1309">
        <v>0.15</v>
      </c>
      <c r="U1309">
        <v>28.9</v>
      </c>
    </row>
    <row r="1310" spans="1:21" x14ac:dyDescent="0.3">
      <c r="A1310">
        <v>1309</v>
      </c>
      <c r="B1310" t="s">
        <v>1329</v>
      </c>
      <c r="C1310" s="2">
        <v>45437</v>
      </c>
      <c r="D1310" s="2">
        <v>45442</v>
      </c>
      <c r="E1310" t="s">
        <v>1521</v>
      </c>
      <c r="F1310" t="s">
        <v>1604</v>
      </c>
      <c r="G1310" t="s">
        <v>2000</v>
      </c>
      <c r="H1310" t="s">
        <v>2316</v>
      </c>
      <c r="I1310" t="s">
        <v>2317</v>
      </c>
      <c r="J1310" t="s">
        <v>2327</v>
      </c>
      <c r="K1310" t="s">
        <v>2327</v>
      </c>
      <c r="L1310">
        <v>835043</v>
      </c>
      <c r="M1310" t="s">
        <v>2330</v>
      </c>
      <c r="N1310" t="s">
        <v>2915</v>
      </c>
      <c r="O1310" t="s">
        <v>3054</v>
      </c>
      <c r="P1310" t="s">
        <v>3057</v>
      </c>
      <c r="Q1310" t="s">
        <v>3581</v>
      </c>
      <c r="R1310">
        <v>315.37</v>
      </c>
      <c r="S1310">
        <v>1</v>
      </c>
      <c r="T1310">
        <v>0.05</v>
      </c>
      <c r="U1310">
        <v>32.47</v>
      </c>
    </row>
    <row r="1311" spans="1:21" x14ac:dyDescent="0.3">
      <c r="A1311">
        <v>1310</v>
      </c>
      <c r="B1311" t="s">
        <v>1330</v>
      </c>
      <c r="C1311" s="2">
        <v>45419</v>
      </c>
      <c r="D1311" s="2">
        <v>45421</v>
      </c>
      <c r="E1311" t="s">
        <v>1521</v>
      </c>
      <c r="F1311" t="s">
        <v>1603</v>
      </c>
      <c r="G1311" t="s">
        <v>2013</v>
      </c>
      <c r="H1311" t="s">
        <v>2315</v>
      </c>
      <c r="I1311" t="s">
        <v>2317</v>
      </c>
      <c r="J1311" t="s">
        <v>2327</v>
      </c>
      <c r="K1311" t="s">
        <v>2327</v>
      </c>
      <c r="L1311">
        <v>469992</v>
      </c>
      <c r="M1311" t="s">
        <v>2330</v>
      </c>
      <c r="N1311" t="s">
        <v>2365</v>
      </c>
      <c r="O1311" t="s">
        <v>3054</v>
      </c>
      <c r="P1311" t="s">
        <v>3057</v>
      </c>
      <c r="Q1311" t="s">
        <v>3835</v>
      </c>
      <c r="R1311">
        <v>95.12</v>
      </c>
      <c r="S1311">
        <v>9</v>
      </c>
      <c r="T1311">
        <v>0.4</v>
      </c>
      <c r="U1311">
        <v>-18.73</v>
      </c>
    </row>
    <row r="1312" spans="1:21" x14ac:dyDescent="0.3">
      <c r="A1312">
        <v>1311</v>
      </c>
      <c r="B1312" t="s">
        <v>1331</v>
      </c>
      <c r="C1312" s="2">
        <v>45333</v>
      </c>
      <c r="D1312" s="2">
        <v>45336</v>
      </c>
      <c r="E1312" t="s">
        <v>1521</v>
      </c>
      <c r="F1312" t="s">
        <v>1899</v>
      </c>
      <c r="G1312" t="s">
        <v>1922</v>
      </c>
      <c r="H1312" t="s">
        <v>2314</v>
      </c>
      <c r="I1312" t="s">
        <v>2317</v>
      </c>
      <c r="J1312" t="s">
        <v>2326</v>
      </c>
      <c r="K1312" t="s">
        <v>2326</v>
      </c>
      <c r="L1312">
        <v>950131</v>
      </c>
      <c r="M1312" t="s">
        <v>2331</v>
      </c>
      <c r="N1312" t="s">
        <v>2917</v>
      </c>
      <c r="O1312" t="s">
        <v>3055</v>
      </c>
      <c r="P1312" t="s">
        <v>3059</v>
      </c>
      <c r="Q1312" t="s">
        <v>3454</v>
      </c>
      <c r="R1312">
        <v>266.43</v>
      </c>
      <c r="S1312">
        <v>2</v>
      </c>
      <c r="T1312">
        <v>0.1</v>
      </c>
      <c r="U1312">
        <v>10.18</v>
      </c>
    </row>
    <row r="1313" spans="1:21" x14ac:dyDescent="0.3">
      <c r="A1313">
        <v>1312</v>
      </c>
      <c r="B1313" t="s">
        <v>1332</v>
      </c>
      <c r="C1313" s="2">
        <v>45647</v>
      </c>
      <c r="D1313" s="2">
        <v>45650</v>
      </c>
      <c r="E1313" t="s">
        <v>1524</v>
      </c>
      <c r="F1313" t="s">
        <v>1604</v>
      </c>
      <c r="G1313" t="s">
        <v>2147</v>
      </c>
      <c r="H1313" t="s">
        <v>2315</v>
      </c>
      <c r="I1313" t="s">
        <v>2317</v>
      </c>
      <c r="J1313" t="s">
        <v>2321</v>
      </c>
      <c r="K1313" t="s">
        <v>2321</v>
      </c>
      <c r="L1313">
        <v>534781</v>
      </c>
      <c r="M1313" t="s">
        <v>2329</v>
      </c>
      <c r="N1313" t="s">
        <v>2353</v>
      </c>
      <c r="O1313" t="s">
        <v>3053</v>
      </c>
      <c r="P1313" t="s">
        <v>3056</v>
      </c>
      <c r="Q1313" t="s">
        <v>3313</v>
      </c>
      <c r="R1313">
        <v>219.61</v>
      </c>
      <c r="S1313">
        <v>4</v>
      </c>
      <c r="T1313">
        <v>0.1</v>
      </c>
      <c r="U1313">
        <v>6.52</v>
      </c>
    </row>
    <row r="1314" spans="1:21" x14ac:dyDescent="0.3">
      <c r="A1314">
        <v>1313</v>
      </c>
      <c r="B1314" t="s">
        <v>1333</v>
      </c>
      <c r="C1314" s="2">
        <v>45332</v>
      </c>
      <c r="D1314" s="2">
        <v>45338</v>
      </c>
      <c r="E1314" t="s">
        <v>1523</v>
      </c>
      <c r="F1314" t="s">
        <v>1753</v>
      </c>
      <c r="G1314" t="s">
        <v>2247</v>
      </c>
      <c r="H1314" t="s">
        <v>2315</v>
      </c>
      <c r="I1314" t="s">
        <v>2317</v>
      </c>
      <c r="J1314" t="s">
        <v>2324</v>
      </c>
      <c r="K1314" t="s">
        <v>2324</v>
      </c>
      <c r="L1314">
        <v>815003</v>
      </c>
      <c r="M1314" t="s">
        <v>2330</v>
      </c>
      <c r="N1314" t="s">
        <v>2401</v>
      </c>
      <c r="O1314" t="s">
        <v>3053</v>
      </c>
      <c r="P1314" t="s">
        <v>3062</v>
      </c>
      <c r="Q1314" t="s">
        <v>3448</v>
      </c>
      <c r="R1314">
        <v>273.89999999999998</v>
      </c>
      <c r="S1314">
        <v>3</v>
      </c>
      <c r="T1314">
        <v>0.1</v>
      </c>
      <c r="U1314">
        <v>2.2999999999999998</v>
      </c>
    </row>
    <row r="1315" spans="1:21" x14ac:dyDescent="0.3">
      <c r="A1315">
        <v>1314</v>
      </c>
      <c r="B1315" t="s">
        <v>1334</v>
      </c>
      <c r="C1315" s="2">
        <v>45325</v>
      </c>
      <c r="D1315" s="2">
        <v>45326</v>
      </c>
      <c r="E1315" t="s">
        <v>1524</v>
      </c>
      <c r="F1315" t="s">
        <v>1535</v>
      </c>
      <c r="G1315" t="s">
        <v>2171</v>
      </c>
      <c r="H1315" t="s">
        <v>2316</v>
      </c>
      <c r="I1315" t="s">
        <v>2317</v>
      </c>
      <c r="J1315" t="s">
        <v>2319</v>
      </c>
      <c r="K1315" t="s">
        <v>2319</v>
      </c>
      <c r="L1315">
        <v>137459</v>
      </c>
      <c r="M1315" t="s">
        <v>2329</v>
      </c>
      <c r="N1315" t="s">
        <v>2985</v>
      </c>
      <c r="O1315" t="s">
        <v>3054</v>
      </c>
      <c r="P1315" t="s">
        <v>3058</v>
      </c>
      <c r="Q1315" t="s">
        <v>3439</v>
      </c>
      <c r="R1315">
        <v>167.55</v>
      </c>
      <c r="S1315">
        <v>4</v>
      </c>
      <c r="T1315">
        <v>0.1</v>
      </c>
      <c r="U1315">
        <v>26.07</v>
      </c>
    </row>
    <row r="1316" spans="1:21" x14ac:dyDescent="0.3">
      <c r="A1316">
        <v>1315</v>
      </c>
      <c r="B1316" t="s">
        <v>1335</v>
      </c>
      <c r="C1316" s="2">
        <v>45308</v>
      </c>
      <c r="D1316" s="2">
        <v>45311</v>
      </c>
      <c r="E1316" t="s">
        <v>1521</v>
      </c>
      <c r="F1316" t="s">
        <v>1654</v>
      </c>
      <c r="G1316" t="s">
        <v>2292</v>
      </c>
      <c r="H1316" t="s">
        <v>2314</v>
      </c>
      <c r="I1316" t="s">
        <v>2317</v>
      </c>
      <c r="J1316" t="s">
        <v>2319</v>
      </c>
      <c r="K1316" t="s">
        <v>2319</v>
      </c>
      <c r="L1316">
        <v>196500</v>
      </c>
      <c r="M1316" t="s">
        <v>2329</v>
      </c>
      <c r="N1316" t="s">
        <v>3011</v>
      </c>
      <c r="O1316" t="s">
        <v>3053</v>
      </c>
      <c r="P1316" t="s">
        <v>3065</v>
      </c>
      <c r="Q1316" t="s">
        <v>3644</v>
      </c>
      <c r="R1316">
        <v>411.98</v>
      </c>
      <c r="S1316">
        <v>5</v>
      </c>
      <c r="T1316">
        <v>0.4</v>
      </c>
      <c r="U1316">
        <v>-18.63</v>
      </c>
    </row>
    <row r="1317" spans="1:21" x14ac:dyDescent="0.3">
      <c r="A1317">
        <v>1316</v>
      </c>
      <c r="B1317" t="s">
        <v>1336</v>
      </c>
      <c r="C1317" s="2">
        <v>45968</v>
      </c>
      <c r="D1317" s="2">
        <v>45972</v>
      </c>
      <c r="E1317" t="s">
        <v>1524</v>
      </c>
      <c r="F1317" t="s">
        <v>1545</v>
      </c>
      <c r="G1317" t="s">
        <v>2044</v>
      </c>
      <c r="H1317" t="s">
        <v>2315</v>
      </c>
      <c r="I1317" t="s">
        <v>2317</v>
      </c>
      <c r="J1317" t="s">
        <v>2325</v>
      </c>
      <c r="K1317" t="s">
        <v>2325</v>
      </c>
      <c r="L1317">
        <v>231866</v>
      </c>
      <c r="M1317" t="s">
        <v>2332</v>
      </c>
      <c r="N1317" t="s">
        <v>2599</v>
      </c>
      <c r="O1317" t="s">
        <v>3054</v>
      </c>
      <c r="P1317" t="s">
        <v>3057</v>
      </c>
      <c r="Q1317" t="s">
        <v>3290</v>
      </c>
      <c r="R1317">
        <v>25.36</v>
      </c>
      <c r="S1317">
        <v>6</v>
      </c>
      <c r="T1317">
        <v>0.1</v>
      </c>
      <c r="U1317">
        <v>19.420000000000002</v>
      </c>
    </row>
    <row r="1318" spans="1:21" x14ac:dyDescent="0.3">
      <c r="A1318">
        <v>1317</v>
      </c>
      <c r="B1318" t="s">
        <v>1337</v>
      </c>
      <c r="C1318" s="2">
        <v>45444</v>
      </c>
      <c r="D1318" s="2">
        <v>45450</v>
      </c>
      <c r="E1318" t="s">
        <v>1521</v>
      </c>
      <c r="F1318" t="s">
        <v>1881</v>
      </c>
      <c r="G1318" t="s">
        <v>2122</v>
      </c>
      <c r="H1318" t="s">
        <v>2315</v>
      </c>
      <c r="I1318" t="s">
        <v>2317</v>
      </c>
      <c r="J1318" t="s">
        <v>2321</v>
      </c>
      <c r="K1318" t="s">
        <v>2321</v>
      </c>
      <c r="L1318">
        <v>490014</v>
      </c>
      <c r="M1318" t="s">
        <v>2329</v>
      </c>
      <c r="N1318" t="s">
        <v>2739</v>
      </c>
      <c r="O1318" t="s">
        <v>3054</v>
      </c>
      <c r="P1318" t="s">
        <v>3058</v>
      </c>
      <c r="Q1318" t="s">
        <v>3124</v>
      </c>
      <c r="R1318">
        <v>73.84</v>
      </c>
      <c r="S1318">
        <v>7</v>
      </c>
      <c r="T1318">
        <v>0</v>
      </c>
      <c r="U1318">
        <v>-4.87</v>
      </c>
    </row>
    <row r="1319" spans="1:21" x14ac:dyDescent="0.3">
      <c r="A1319">
        <v>1318</v>
      </c>
      <c r="B1319" t="s">
        <v>1338</v>
      </c>
      <c r="C1319" s="2">
        <v>45669</v>
      </c>
      <c r="D1319" s="2">
        <v>45675</v>
      </c>
      <c r="E1319" t="s">
        <v>1524</v>
      </c>
      <c r="F1319" t="s">
        <v>1597</v>
      </c>
      <c r="G1319" t="s">
        <v>2231</v>
      </c>
      <c r="H1319" t="s">
        <v>2316</v>
      </c>
      <c r="I1319" t="s">
        <v>2317</v>
      </c>
      <c r="J1319" t="s">
        <v>2320</v>
      </c>
      <c r="K1319" t="s">
        <v>2320</v>
      </c>
      <c r="L1319">
        <v>104015</v>
      </c>
      <c r="M1319" t="s">
        <v>2330</v>
      </c>
      <c r="N1319" t="s">
        <v>2836</v>
      </c>
      <c r="O1319" t="s">
        <v>3055</v>
      </c>
      <c r="P1319" t="s">
        <v>3061</v>
      </c>
      <c r="Q1319" t="s">
        <v>3778</v>
      </c>
      <c r="R1319">
        <v>412.39</v>
      </c>
      <c r="S1319">
        <v>3</v>
      </c>
      <c r="T1319">
        <v>0.15</v>
      </c>
      <c r="U1319">
        <v>69.739999999999995</v>
      </c>
    </row>
    <row r="1320" spans="1:21" x14ac:dyDescent="0.3">
      <c r="A1320">
        <v>1319</v>
      </c>
      <c r="B1320" t="s">
        <v>1339</v>
      </c>
      <c r="C1320" s="2">
        <v>45879</v>
      </c>
      <c r="D1320" s="2">
        <v>45885</v>
      </c>
      <c r="E1320" t="s">
        <v>1521</v>
      </c>
      <c r="F1320" t="s">
        <v>1608</v>
      </c>
      <c r="G1320" t="s">
        <v>2284</v>
      </c>
      <c r="H1320" t="s">
        <v>2314</v>
      </c>
      <c r="I1320" t="s">
        <v>2317</v>
      </c>
      <c r="J1320" t="s">
        <v>2320</v>
      </c>
      <c r="K1320" t="s">
        <v>2320</v>
      </c>
      <c r="L1320">
        <v>480213</v>
      </c>
      <c r="M1320" t="s">
        <v>2330</v>
      </c>
      <c r="N1320" t="s">
        <v>3012</v>
      </c>
      <c r="O1320" t="s">
        <v>3054</v>
      </c>
      <c r="P1320" t="s">
        <v>3058</v>
      </c>
      <c r="Q1320" t="s">
        <v>3777</v>
      </c>
      <c r="R1320">
        <v>161.32</v>
      </c>
      <c r="S1320">
        <v>3</v>
      </c>
      <c r="T1320">
        <v>0.2</v>
      </c>
      <c r="U1320">
        <v>-8.0299999999999994</v>
      </c>
    </row>
    <row r="1321" spans="1:21" x14ac:dyDescent="0.3">
      <c r="A1321">
        <v>1320</v>
      </c>
      <c r="B1321" t="s">
        <v>1340</v>
      </c>
      <c r="C1321" s="2">
        <v>45890</v>
      </c>
      <c r="D1321" s="2">
        <v>45893</v>
      </c>
      <c r="E1321" t="s">
        <v>1523</v>
      </c>
      <c r="F1321" t="s">
        <v>1671</v>
      </c>
      <c r="G1321" t="s">
        <v>2101</v>
      </c>
      <c r="H1321" t="s">
        <v>2314</v>
      </c>
      <c r="I1321" t="s">
        <v>2317</v>
      </c>
      <c r="J1321" t="s">
        <v>2322</v>
      </c>
      <c r="K1321" t="s">
        <v>2322</v>
      </c>
      <c r="L1321">
        <v>899523</v>
      </c>
      <c r="M1321" t="s">
        <v>2331</v>
      </c>
      <c r="N1321" t="s">
        <v>2500</v>
      </c>
      <c r="O1321" t="s">
        <v>3055</v>
      </c>
      <c r="P1321" t="s">
        <v>3067</v>
      </c>
      <c r="Q1321" t="s">
        <v>3847</v>
      </c>
      <c r="R1321">
        <v>186.87</v>
      </c>
      <c r="S1321">
        <v>3</v>
      </c>
      <c r="T1321">
        <v>0.1</v>
      </c>
      <c r="U1321">
        <v>4.1900000000000004</v>
      </c>
    </row>
    <row r="1322" spans="1:21" x14ac:dyDescent="0.3">
      <c r="A1322">
        <v>1321</v>
      </c>
      <c r="B1322" t="s">
        <v>1341</v>
      </c>
      <c r="C1322" s="2">
        <v>45920</v>
      </c>
      <c r="D1322" s="2">
        <v>45923</v>
      </c>
      <c r="E1322" t="s">
        <v>1521</v>
      </c>
      <c r="F1322" t="s">
        <v>1857</v>
      </c>
      <c r="G1322" t="s">
        <v>1957</v>
      </c>
      <c r="H1322" t="s">
        <v>2315</v>
      </c>
      <c r="I1322" t="s">
        <v>2317</v>
      </c>
      <c r="J1322" t="s">
        <v>2324</v>
      </c>
      <c r="K1322" t="s">
        <v>2324</v>
      </c>
      <c r="L1322">
        <v>255812</v>
      </c>
      <c r="M1322" t="s">
        <v>2330</v>
      </c>
      <c r="N1322" t="s">
        <v>2816</v>
      </c>
      <c r="O1322" t="s">
        <v>3054</v>
      </c>
      <c r="P1322" t="s">
        <v>3064</v>
      </c>
      <c r="Q1322" t="s">
        <v>3848</v>
      </c>
      <c r="R1322">
        <v>57.21</v>
      </c>
      <c r="S1322">
        <v>6</v>
      </c>
      <c r="T1322">
        <v>0.15</v>
      </c>
      <c r="U1322">
        <v>-5.55</v>
      </c>
    </row>
    <row r="1323" spans="1:21" x14ac:dyDescent="0.3">
      <c r="A1323">
        <v>1322</v>
      </c>
      <c r="B1323" t="s">
        <v>1342</v>
      </c>
      <c r="C1323" s="2">
        <v>45633</v>
      </c>
      <c r="D1323" s="2">
        <v>45635</v>
      </c>
      <c r="E1323" t="s">
        <v>1524</v>
      </c>
      <c r="F1323" t="s">
        <v>1806</v>
      </c>
      <c r="G1323" t="s">
        <v>2189</v>
      </c>
      <c r="H1323" t="s">
        <v>2315</v>
      </c>
      <c r="I1323" t="s">
        <v>2317</v>
      </c>
      <c r="J1323" t="s">
        <v>2324</v>
      </c>
      <c r="K1323" t="s">
        <v>2324</v>
      </c>
      <c r="L1323">
        <v>606398</v>
      </c>
      <c r="M1323" t="s">
        <v>2330</v>
      </c>
      <c r="N1323" t="s">
        <v>2526</v>
      </c>
      <c r="O1323" t="s">
        <v>3053</v>
      </c>
      <c r="P1323" t="s">
        <v>3066</v>
      </c>
      <c r="Q1323" t="s">
        <v>3668</v>
      </c>
      <c r="R1323">
        <v>148.25</v>
      </c>
      <c r="S1323">
        <v>1</v>
      </c>
      <c r="T1323">
        <v>0.15</v>
      </c>
      <c r="U1323">
        <v>14.77</v>
      </c>
    </row>
    <row r="1324" spans="1:21" x14ac:dyDescent="0.3">
      <c r="A1324">
        <v>1323</v>
      </c>
      <c r="B1324" t="s">
        <v>1343</v>
      </c>
      <c r="C1324" s="2">
        <v>45318</v>
      </c>
      <c r="D1324" s="2">
        <v>45323</v>
      </c>
      <c r="E1324" t="s">
        <v>1521</v>
      </c>
      <c r="F1324" t="s">
        <v>1536</v>
      </c>
      <c r="G1324" t="s">
        <v>2029</v>
      </c>
      <c r="H1324" t="s">
        <v>2316</v>
      </c>
      <c r="I1324" t="s">
        <v>2317</v>
      </c>
      <c r="J1324" t="s">
        <v>2327</v>
      </c>
      <c r="K1324" t="s">
        <v>2327</v>
      </c>
      <c r="L1324">
        <v>837897</v>
      </c>
      <c r="M1324" t="s">
        <v>2330</v>
      </c>
      <c r="N1324" t="s">
        <v>2583</v>
      </c>
      <c r="O1324" t="s">
        <v>3053</v>
      </c>
      <c r="P1324" t="s">
        <v>3056</v>
      </c>
      <c r="Q1324" t="s">
        <v>3334</v>
      </c>
      <c r="R1324">
        <v>186.53</v>
      </c>
      <c r="S1324">
        <v>3</v>
      </c>
      <c r="T1324">
        <v>0.15</v>
      </c>
      <c r="U1324">
        <v>3.16</v>
      </c>
    </row>
    <row r="1325" spans="1:21" x14ac:dyDescent="0.3">
      <c r="A1325">
        <v>1324</v>
      </c>
      <c r="B1325" t="s">
        <v>1344</v>
      </c>
      <c r="C1325" s="2">
        <v>45578</v>
      </c>
      <c r="D1325" s="2">
        <v>45582</v>
      </c>
      <c r="E1325" t="s">
        <v>1524</v>
      </c>
      <c r="F1325" t="s">
        <v>1904</v>
      </c>
      <c r="G1325" t="s">
        <v>1928</v>
      </c>
      <c r="H1325" t="s">
        <v>2314</v>
      </c>
      <c r="I1325" t="s">
        <v>2317</v>
      </c>
      <c r="J1325" t="s">
        <v>2318</v>
      </c>
      <c r="K1325" t="s">
        <v>2318</v>
      </c>
      <c r="L1325">
        <v>859509</v>
      </c>
      <c r="M1325" t="s">
        <v>2328</v>
      </c>
      <c r="N1325" t="s">
        <v>2460</v>
      </c>
      <c r="O1325" t="s">
        <v>3054</v>
      </c>
      <c r="P1325" t="s">
        <v>3058</v>
      </c>
      <c r="Q1325" t="s">
        <v>3195</v>
      </c>
      <c r="R1325">
        <v>89.29</v>
      </c>
      <c r="S1325">
        <v>2</v>
      </c>
      <c r="T1325">
        <v>0.15</v>
      </c>
      <c r="U1325">
        <v>-12.14</v>
      </c>
    </row>
    <row r="1326" spans="1:21" x14ac:dyDescent="0.3">
      <c r="A1326">
        <v>1325</v>
      </c>
      <c r="B1326" t="s">
        <v>1345</v>
      </c>
      <c r="C1326" s="2">
        <v>45937</v>
      </c>
      <c r="D1326" s="2">
        <v>45940</v>
      </c>
      <c r="E1326" t="s">
        <v>1521</v>
      </c>
      <c r="F1326" t="s">
        <v>1850</v>
      </c>
      <c r="G1326" t="s">
        <v>2084</v>
      </c>
      <c r="H1326" t="s">
        <v>2314</v>
      </c>
      <c r="I1326" t="s">
        <v>2317</v>
      </c>
      <c r="J1326" t="s">
        <v>2325</v>
      </c>
      <c r="K1326" t="s">
        <v>2325</v>
      </c>
      <c r="L1326">
        <v>861380</v>
      </c>
      <c r="M1326" t="s">
        <v>2332</v>
      </c>
      <c r="N1326" t="s">
        <v>2880</v>
      </c>
      <c r="O1326" t="s">
        <v>3054</v>
      </c>
      <c r="P1326" t="s">
        <v>3058</v>
      </c>
      <c r="Q1326" t="s">
        <v>3736</v>
      </c>
      <c r="R1326">
        <v>22.84</v>
      </c>
      <c r="S1326">
        <v>2</v>
      </c>
      <c r="T1326">
        <v>0.1</v>
      </c>
      <c r="U1326">
        <v>11.99</v>
      </c>
    </row>
    <row r="1327" spans="1:21" x14ac:dyDescent="0.3">
      <c r="A1327">
        <v>1326</v>
      </c>
      <c r="B1327" t="s">
        <v>1346</v>
      </c>
      <c r="C1327" s="2">
        <v>46022</v>
      </c>
      <c r="D1327" s="2">
        <v>46025</v>
      </c>
      <c r="E1327" t="s">
        <v>1521</v>
      </c>
      <c r="F1327" t="s">
        <v>1847</v>
      </c>
      <c r="G1327" t="s">
        <v>2293</v>
      </c>
      <c r="H1327" t="s">
        <v>2316</v>
      </c>
      <c r="I1327" t="s">
        <v>2317</v>
      </c>
      <c r="J1327" t="s">
        <v>2319</v>
      </c>
      <c r="K1327" t="s">
        <v>2319</v>
      </c>
      <c r="L1327">
        <v>544802</v>
      </c>
      <c r="M1327" t="s">
        <v>2329</v>
      </c>
      <c r="N1327" t="s">
        <v>2909</v>
      </c>
      <c r="O1327" t="s">
        <v>3054</v>
      </c>
      <c r="P1327" t="s">
        <v>3064</v>
      </c>
      <c r="Q1327" t="s">
        <v>3828</v>
      </c>
      <c r="R1327">
        <v>101.22</v>
      </c>
      <c r="S1327">
        <v>7</v>
      </c>
      <c r="T1327">
        <v>0.15</v>
      </c>
      <c r="U1327">
        <v>-20.69</v>
      </c>
    </row>
    <row r="1328" spans="1:21" x14ac:dyDescent="0.3">
      <c r="A1328">
        <v>1327</v>
      </c>
      <c r="B1328" t="s">
        <v>1347</v>
      </c>
      <c r="C1328" s="2">
        <v>45459</v>
      </c>
      <c r="D1328" s="2">
        <v>45462</v>
      </c>
      <c r="E1328" t="s">
        <v>1521</v>
      </c>
      <c r="F1328" t="s">
        <v>1583</v>
      </c>
      <c r="G1328" t="s">
        <v>2147</v>
      </c>
      <c r="H1328" t="s">
        <v>2314</v>
      </c>
      <c r="I1328" t="s">
        <v>2317</v>
      </c>
      <c r="J1328" t="s">
        <v>2325</v>
      </c>
      <c r="K1328" t="s">
        <v>2325</v>
      </c>
      <c r="L1328">
        <v>959138</v>
      </c>
      <c r="M1328" t="s">
        <v>2332</v>
      </c>
      <c r="N1328" t="s">
        <v>2479</v>
      </c>
      <c r="O1328" t="s">
        <v>3053</v>
      </c>
      <c r="P1328" t="s">
        <v>3056</v>
      </c>
      <c r="Q1328" t="s">
        <v>3326</v>
      </c>
      <c r="R1328">
        <v>497.81</v>
      </c>
      <c r="S1328">
        <v>2</v>
      </c>
      <c r="T1328">
        <v>0.15</v>
      </c>
      <c r="U1328">
        <v>12.02</v>
      </c>
    </row>
    <row r="1329" spans="1:21" x14ac:dyDescent="0.3">
      <c r="A1329">
        <v>1328</v>
      </c>
      <c r="B1329" t="s">
        <v>1348</v>
      </c>
      <c r="C1329" s="2">
        <v>45901</v>
      </c>
      <c r="D1329" s="2">
        <v>45904</v>
      </c>
      <c r="E1329" t="s">
        <v>1524</v>
      </c>
      <c r="F1329" t="s">
        <v>1757</v>
      </c>
      <c r="G1329" t="s">
        <v>2178</v>
      </c>
      <c r="H1329" t="s">
        <v>2314</v>
      </c>
      <c r="I1329" t="s">
        <v>2317</v>
      </c>
      <c r="J1329" t="s">
        <v>2320</v>
      </c>
      <c r="K1329" t="s">
        <v>2320</v>
      </c>
      <c r="L1329">
        <v>884891</v>
      </c>
      <c r="M1329" t="s">
        <v>2330</v>
      </c>
      <c r="N1329" t="s">
        <v>2435</v>
      </c>
      <c r="O1329" t="s">
        <v>3054</v>
      </c>
      <c r="P1329" t="s">
        <v>3064</v>
      </c>
      <c r="Q1329" t="s">
        <v>3582</v>
      </c>
      <c r="R1329">
        <v>167.91</v>
      </c>
      <c r="S1329">
        <v>4</v>
      </c>
      <c r="T1329">
        <v>0.15</v>
      </c>
      <c r="U1329">
        <v>23.58</v>
      </c>
    </row>
    <row r="1330" spans="1:21" x14ac:dyDescent="0.3">
      <c r="A1330">
        <v>1329</v>
      </c>
      <c r="B1330" t="s">
        <v>1349</v>
      </c>
      <c r="C1330" s="2">
        <v>45559</v>
      </c>
      <c r="D1330" s="2">
        <v>45562</v>
      </c>
      <c r="E1330" t="s">
        <v>1524</v>
      </c>
      <c r="F1330" t="s">
        <v>1604</v>
      </c>
      <c r="G1330" t="s">
        <v>2310</v>
      </c>
      <c r="H1330" t="s">
        <v>2315</v>
      </c>
      <c r="I1330" t="s">
        <v>2317</v>
      </c>
      <c r="J1330" t="s">
        <v>2320</v>
      </c>
      <c r="K1330" t="s">
        <v>2320</v>
      </c>
      <c r="L1330">
        <v>281613</v>
      </c>
      <c r="M1330" t="s">
        <v>2330</v>
      </c>
      <c r="N1330" t="s">
        <v>2607</v>
      </c>
      <c r="O1330" t="s">
        <v>3053</v>
      </c>
      <c r="P1330" t="s">
        <v>3065</v>
      </c>
      <c r="Q1330" t="s">
        <v>3846</v>
      </c>
      <c r="R1330">
        <v>152.77000000000001</v>
      </c>
      <c r="S1330">
        <v>9</v>
      </c>
      <c r="T1330">
        <v>0.1</v>
      </c>
      <c r="U1330">
        <v>-24.05</v>
      </c>
    </row>
    <row r="1331" spans="1:21" x14ac:dyDescent="0.3">
      <c r="A1331">
        <v>1330</v>
      </c>
      <c r="B1331" t="s">
        <v>1350</v>
      </c>
      <c r="C1331" s="2">
        <v>45746</v>
      </c>
      <c r="D1331" s="2">
        <v>45750</v>
      </c>
      <c r="E1331" t="s">
        <v>1521</v>
      </c>
      <c r="F1331" t="s">
        <v>1625</v>
      </c>
      <c r="G1331" t="s">
        <v>2009</v>
      </c>
      <c r="H1331" t="s">
        <v>2316</v>
      </c>
      <c r="I1331" t="s">
        <v>2317</v>
      </c>
      <c r="J1331" t="s">
        <v>2326</v>
      </c>
      <c r="K1331" t="s">
        <v>2326</v>
      </c>
      <c r="L1331">
        <v>472659</v>
      </c>
      <c r="M1331" t="s">
        <v>2331</v>
      </c>
      <c r="N1331" t="s">
        <v>2993</v>
      </c>
      <c r="O1331" t="s">
        <v>3054</v>
      </c>
      <c r="P1331" t="s">
        <v>3058</v>
      </c>
      <c r="Q1331" t="s">
        <v>3532</v>
      </c>
      <c r="R1331">
        <v>102.26</v>
      </c>
      <c r="S1331">
        <v>7</v>
      </c>
      <c r="T1331">
        <v>0.15</v>
      </c>
      <c r="U1331">
        <v>53.8</v>
      </c>
    </row>
    <row r="1332" spans="1:21" x14ac:dyDescent="0.3">
      <c r="A1332">
        <v>1331</v>
      </c>
      <c r="B1332" t="s">
        <v>1351</v>
      </c>
      <c r="C1332" s="2">
        <v>45976</v>
      </c>
      <c r="D1332" s="2">
        <v>45979</v>
      </c>
      <c r="E1332" t="s">
        <v>1521</v>
      </c>
      <c r="F1332" t="s">
        <v>1915</v>
      </c>
      <c r="G1332" t="s">
        <v>1987</v>
      </c>
      <c r="H1332" t="s">
        <v>2315</v>
      </c>
      <c r="I1332" t="s">
        <v>2317</v>
      </c>
      <c r="J1332" t="s">
        <v>2322</v>
      </c>
      <c r="K1332" t="s">
        <v>2322</v>
      </c>
      <c r="L1332">
        <v>913162</v>
      </c>
      <c r="M1332" t="s">
        <v>2331</v>
      </c>
      <c r="N1332" t="s">
        <v>2817</v>
      </c>
      <c r="O1332" t="s">
        <v>3053</v>
      </c>
      <c r="P1332" t="s">
        <v>3062</v>
      </c>
      <c r="Q1332" t="s">
        <v>3849</v>
      </c>
      <c r="R1332">
        <v>178.02</v>
      </c>
      <c r="S1332">
        <v>1</v>
      </c>
      <c r="T1332">
        <v>0.15</v>
      </c>
      <c r="U1332">
        <v>-18.05</v>
      </c>
    </row>
    <row r="1333" spans="1:21" x14ac:dyDescent="0.3">
      <c r="A1333">
        <v>1332</v>
      </c>
      <c r="B1333" t="s">
        <v>1352</v>
      </c>
      <c r="C1333" s="2">
        <v>45692</v>
      </c>
      <c r="D1333" s="2">
        <v>45696</v>
      </c>
      <c r="E1333" t="s">
        <v>1524</v>
      </c>
      <c r="F1333" t="s">
        <v>1562</v>
      </c>
      <c r="G1333" t="s">
        <v>1950</v>
      </c>
      <c r="H1333" t="s">
        <v>2316</v>
      </c>
      <c r="I1333" t="s">
        <v>2317</v>
      </c>
      <c r="J1333" t="s">
        <v>2324</v>
      </c>
      <c r="K1333" t="s">
        <v>2324</v>
      </c>
      <c r="L1333">
        <v>483576</v>
      </c>
      <c r="M1333" t="s">
        <v>2330</v>
      </c>
      <c r="N1333" t="s">
        <v>2973</v>
      </c>
      <c r="O1333" t="s">
        <v>3054</v>
      </c>
      <c r="P1333" t="s">
        <v>3063</v>
      </c>
      <c r="Q1333" t="s">
        <v>3111</v>
      </c>
      <c r="R1333">
        <v>120.42</v>
      </c>
      <c r="S1333">
        <v>6</v>
      </c>
      <c r="T1333">
        <v>0.15</v>
      </c>
      <c r="U1333">
        <v>-28.99</v>
      </c>
    </row>
    <row r="1334" spans="1:21" x14ac:dyDescent="0.3">
      <c r="A1334">
        <v>1333</v>
      </c>
      <c r="B1334" t="s">
        <v>1353</v>
      </c>
      <c r="C1334" s="2">
        <v>45767</v>
      </c>
      <c r="D1334" s="2">
        <v>45770</v>
      </c>
      <c r="E1334" t="s">
        <v>1524</v>
      </c>
      <c r="F1334" t="s">
        <v>1559</v>
      </c>
      <c r="G1334" t="s">
        <v>2197</v>
      </c>
      <c r="H1334" t="s">
        <v>2315</v>
      </c>
      <c r="I1334" t="s">
        <v>2317</v>
      </c>
      <c r="J1334" t="s">
        <v>2323</v>
      </c>
      <c r="K1334" t="s">
        <v>2323</v>
      </c>
      <c r="L1334">
        <v>248455</v>
      </c>
      <c r="M1334" t="s">
        <v>2328</v>
      </c>
      <c r="N1334" t="s">
        <v>2534</v>
      </c>
      <c r="O1334" t="s">
        <v>3054</v>
      </c>
      <c r="P1334" t="s">
        <v>3058</v>
      </c>
      <c r="Q1334" t="s">
        <v>3777</v>
      </c>
      <c r="R1334">
        <v>27.21</v>
      </c>
      <c r="S1334">
        <v>6</v>
      </c>
      <c r="T1334">
        <v>0</v>
      </c>
      <c r="U1334">
        <v>-30.69</v>
      </c>
    </row>
    <row r="1335" spans="1:21" x14ac:dyDescent="0.3">
      <c r="A1335">
        <v>1334</v>
      </c>
      <c r="B1335" t="s">
        <v>1354</v>
      </c>
      <c r="C1335" s="2">
        <v>45993</v>
      </c>
      <c r="D1335" s="2">
        <v>45995</v>
      </c>
      <c r="E1335" t="s">
        <v>1524</v>
      </c>
      <c r="F1335" t="s">
        <v>1853</v>
      </c>
      <c r="G1335" t="s">
        <v>2144</v>
      </c>
      <c r="H1335" t="s">
        <v>2314</v>
      </c>
      <c r="I1335" t="s">
        <v>2317</v>
      </c>
      <c r="J1335" t="s">
        <v>2325</v>
      </c>
      <c r="K1335" t="s">
        <v>2325</v>
      </c>
      <c r="L1335">
        <v>465573</v>
      </c>
      <c r="M1335" t="s">
        <v>2332</v>
      </c>
      <c r="N1335" t="s">
        <v>2384</v>
      </c>
      <c r="O1335" t="s">
        <v>3054</v>
      </c>
      <c r="P1335" t="s">
        <v>3057</v>
      </c>
      <c r="Q1335" t="s">
        <v>3419</v>
      </c>
      <c r="R1335">
        <v>19.32</v>
      </c>
      <c r="S1335">
        <v>8</v>
      </c>
      <c r="T1335">
        <v>0.15</v>
      </c>
      <c r="U1335">
        <v>-4.7699999999999996</v>
      </c>
    </row>
    <row r="1336" spans="1:21" x14ac:dyDescent="0.3">
      <c r="A1336">
        <v>1335</v>
      </c>
      <c r="B1336" t="s">
        <v>1355</v>
      </c>
      <c r="C1336" s="2">
        <v>45925</v>
      </c>
      <c r="D1336" s="2">
        <v>45927</v>
      </c>
      <c r="E1336" t="s">
        <v>1521</v>
      </c>
      <c r="F1336" t="s">
        <v>1761</v>
      </c>
      <c r="G1336" t="s">
        <v>2066</v>
      </c>
      <c r="H1336" t="s">
        <v>2315</v>
      </c>
      <c r="I1336" t="s">
        <v>2317</v>
      </c>
      <c r="J1336" t="s">
        <v>2320</v>
      </c>
      <c r="K1336" t="s">
        <v>2320</v>
      </c>
      <c r="L1336">
        <v>770792</v>
      </c>
      <c r="M1336" t="s">
        <v>2330</v>
      </c>
      <c r="N1336" t="s">
        <v>2646</v>
      </c>
      <c r="O1336" t="s">
        <v>3055</v>
      </c>
      <c r="P1336" t="s">
        <v>3060</v>
      </c>
      <c r="Q1336" t="s">
        <v>3850</v>
      </c>
      <c r="R1336">
        <v>583.83000000000004</v>
      </c>
      <c r="S1336">
        <v>1</v>
      </c>
      <c r="T1336">
        <v>0.2</v>
      </c>
      <c r="U1336">
        <v>65.92</v>
      </c>
    </row>
    <row r="1337" spans="1:21" x14ac:dyDescent="0.3">
      <c r="A1337">
        <v>1336</v>
      </c>
      <c r="B1337" t="s">
        <v>1356</v>
      </c>
      <c r="C1337" s="2">
        <v>45849</v>
      </c>
      <c r="D1337" s="2">
        <v>45853</v>
      </c>
      <c r="E1337" t="s">
        <v>1522</v>
      </c>
      <c r="F1337" t="s">
        <v>1916</v>
      </c>
      <c r="G1337" t="s">
        <v>1922</v>
      </c>
      <c r="H1337" t="s">
        <v>2314</v>
      </c>
      <c r="I1337" t="s">
        <v>2317</v>
      </c>
      <c r="J1337" t="s">
        <v>2318</v>
      </c>
      <c r="K1337" t="s">
        <v>2318</v>
      </c>
      <c r="L1337">
        <v>848112</v>
      </c>
      <c r="M1337" t="s">
        <v>2328</v>
      </c>
      <c r="N1337" t="s">
        <v>2488</v>
      </c>
      <c r="O1337" t="s">
        <v>3055</v>
      </c>
      <c r="P1337" t="s">
        <v>3060</v>
      </c>
      <c r="Q1337" t="s">
        <v>3851</v>
      </c>
      <c r="R1337">
        <v>201.17</v>
      </c>
      <c r="S1337">
        <v>3</v>
      </c>
      <c r="T1337">
        <v>0.2</v>
      </c>
      <c r="U1337">
        <v>17.46</v>
      </c>
    </row>
    <row r="1338" spans="1:21" x14ac:dyDescent="0.3">
      <c r="A1338">
        <v>1337</v>
      </c>
      <c r="B1338" t="s">
        <v>1357</v>
      </c>
      <c r="C1338" s="2">
        <v>45867</v>
      </c>
      <c r="D1338" s="2">
        <v>45870</v>
      </c>
      <c r="E1338" t="s">
        <v>1522</v>
      </c>
      <c r="F1338" t="s">
        <v>1574</v>
      </c>
      <c r="G1338" t="s">
        <v>1960</v>
      </c>
      <c r="H1338" t="s">
        <v>2316</v>
      </c>
      <c r="I1338" t="s">
        <v>2317</v>
      </c>
      <c r="J1338" t="s">
        <v>2327</v>
      </c>
      <c r="K1338" t="s">
        <v>2327</v>
      </c>
      <c r="L1338">
        <v>224826</v>
      </c>
      <c r="M1338" t="s">
        <v>2330</v>
      </c>
      <c r="N1338" t="s">
        <v>3013</v>
      </c>
      <c r="O1338" t="s">
        <v>3054</v>
      </c>
      <c r="P1338" t="s">
        <v>3064</v>
      </c>
      <c r="Q1338" t="s">
        <v>3700</v>
      </c>
      <c r="R1338">
        <v>123.57</v>
      </c>
      <c r="S1338">
        <v>5</v>
      </c>
      <c r="T1338">
        <v>0.15</v>
      </c>
      <c r="U1338">
        <v>-2.86</v>
      </c>
    </row>
    <row r="1339" spans="1:21" x14ac:dyDescent="0.3">
      <c r="A1339">
        <v>1338</v>
      </c>
      <c r="B1339" t="s">
        <v>1358</v>
      </c>
      <c r="C1339" s="2">
        <v>45421</v>
      </c>
      <c r="D1339" s="2">
        <v>45425</v>
      </c>
      <c r="E1339" t="s">
        <v>1523</v>
      </c>
      <c r="F1339" t="s">
        <v>1669</v>
      </c>
      <c r="G1339" t="s">
        <v>2020</v>
      </c>
      <c r="H1339" t="s">
        <v>2315</v>
      </c>
      <c r="I1339" t="s">
        <v>2317</v>
      </c>
      <c r="J1339" t="s">
        <v>2319</v>
      </c>
      <c r="K1339" t="s">
        <v>2319</v>
      </c>
      <c r="L1339">
        <v>684337</v>
      </c>
      <c r="M1339" t="s">
        <v>2329</v>
      </c>
      <c r="N1339" t="s">
        <v>2562</v>
      </c>
      <c r="O1339" t="s">
        <v>3055</v>
      </c>
      <c r="P1339" t="s">
        <v>3060</v>
      </c>
      <c r="Q1339" t="s">
        <v>3149</v>
      </c>
      <c r="R1339">
        <v>194.63</v>
      </c>
      <c r="S1339">
        <v>2</v>
      </c>
      <c r="T1339">
        <v>0.1</v>
      </c>
      <c r="U1339">
        <v>41.32</v>
      </c>
    </row>
    <row r="1340" spans="1:21" x14ac:dyDescent="0.3">
      <c r="A1340">
        <v>1339</v>
      </c>
      <c r="B1340" t="s">
        <v>1359</v>
      </c>
      <c r="C1340" s="2">
        <v>45654</v>
      </c>
      <c r="D1340" s="2">
        <v>45658</v>
      </c>
      <c r="E1340" t="s">
        <v>1521</v>
      </c>
      <c r="F1340" t="s">
        <v>1765</v>
      </c>
      <c r="G1340" t="s">
        <v>1927</v>
      </c>
      <c r="H1340" t="s">
        <v>2315</v>
      </c>
      <c r="I1340" t="s">
        <v>2317</v>
      </c>
      <c r="J1340" t="s">
        <v>2322</v>
      </c>
      <c r="K1340" t="s">
        <v>2322</v>
      </c>
      <c r="L1340">
        <v>153441</v>
      </c>
      <c r="M1340" t="s">
        <v>2331</v>
      </c>
      <c r="N1340" t="s">
        <v>2624</v>
      </c>
      <c r="O1340" t="s">
        <v>3054</v>
      </c>
      <c r="P1340" t="s">
        <v>3057</v>
      </c>
      <c r="Q1340" t="s">
        <v>3764</v>
      </c>
      <c r="R1340">
        <v>112.85</v>
      </c>
      <c r="S1340">
        <v>6</v>
      </c>
      <c r="T1340">
        <v>0.1</v>
      </c>
      <c r="U1340">
        <v>13.54</v>
      </c>
    </row>
    <row r="1341" spans="1:21" x14ac:dyDescent="0.3">
      <c r="A1341">
        <v>1340</v>
      </c>
      <c r="B1341" t="s">
        <v>1360</v>
      </c>
      <c r="C1341" s="2">
        <v>45996</v>
      </c>
      <c r="D1341" s="2">
        <v>45999</v>
      </c>
      <c r="E1341" t="s">
        <v>1524</v>
      </c>
      <c r="F1341" t="s">
        <v>1554</v>
      </c>
      <c r="G1341" t="s">
        <v>2001</v>
      </c>
      <c r="H1341" t="s">
        <v>2314</v>
      </c>
      <c r="I1341" t="s">
        <v>2317</v>
      </c>
      <c r="J1341" t="s">
        <v>2318</v>
      </c>
      <c r="K1341" t="s">
        <v>2318</v>
      </c>
      <c r="L1341">
        <v>337012</v>
      </c>
      <c r="M1341" t="s">
        <v>2328</v>
      </c>
      <c r="N1341" t="s">
        <v>2555</v>
      </c>
      <c r="O1341" t="s">
        <v>3053</v>
      </c>
      <c r="P1341" t="s">
        <v>3062</v>
      </c>
      <c r="Q1341" t="s">
        <v>3428</v>
      </c>
      <c r="R1341">
        <v>152.9</v>
      </c>
      <c r="S1341">
        <v>4</v>
      </c>
      <c r="T1341">
        <v>0.2</v>
      </c>
      <c r="U1341">
        <v>13.45</v>
      </c>
    </row>
    <row r="1342" spans="1:21" x14ac:dyDescent="0.3">
      <c r="A1342">
        <v>1341</v>
      </c>
      <c r="B1342" t="s">
        <v>1361</v>
      </c>
      <c r="C1342" s="2">
        <v>45984</v>
      </c>
      <c r="D1342" s="2">
        <v>45987</v>
      </c>
      <c r="E1342" t="s">
        <v>1521</v>
      </c>
      <c r="F1342" t="s">
        <v>1917</v>
      </c>
      <c r="G1342" t="s">
        <v>2245</v>
      </c>
      <c r="H1342" t="s">
        <v>2315</v>
      </c>
      <c r="I1342" t="s">
        <v>2317</v>
      </c>
      <c r="J1342" t="s">
        <v>2322</v>
      </c>
      <c r="K1342" t="s">
        <v>2322</v>
      </c>
      <c r="L1342">
        <v>709342</v>
      </c>
      <c r="M1342" t="s">
        <v>2331</v>
      </c>
      <c r="N1342" t="s">
        <v>2605</v>
      </c>
      <c r="O1342" t="s">
        <v>3053</v>
      </c>
      <c r="P1342" t="s">
        <v>3065</v>
      </c>
      <c r="Q1342" t="s">
        <v>3852</v>
      </c>
      <c r="R1342">
        <v>117.76</v>
      </c>
      <c r="S1342">
        <v>2</v>
      </c>
      <c r="T1342">
        <v>0.05</v>
      </c>
      <c r="U1342">
        <v>5.83</v>
      </c>
    </row>
    <row r="1343" spans="1:21" x14ac:dyDescent="0.3">
      <c r="A1343">
        <v>1342</v>
      </c>
      <c r="B1343" t="s">
        <v>1362</v>
      </c>
      <c r="C1343" s="2">
        <v>45583</v>
      </c>
      <c r="D1343" s="2">
        <v>45586</v>
      </c>
      <c r="E1343" t="s">
        <v>1524</v>
      </c>
      <c r="F1343" t="s">
        <v>1565</v>
      </c>
      <c r="G1343" t="s">
        <v>2159</v>
      </c>
      <c r="H1343" t="s">
        <v>2316</v>
      </c>
      <c r="I1343" t="s">
        <v>2317</v>
      </c>
      <c r="J1343" t="s">
        <v>2326</v>
      </c>
      <c r="K1343" t="s">
        <v>2326</v>
      </c>
      <c r="L1343">
        <v>222475</v>
      </c>
      <c r="M1343" t="s">
        <v>2331</v>
      </c>
      <c r="N1343" t="s">
        <v>2637</v>
      </c>
      <c r="O1343" t="s">
        <v>3054</v>
      </c>
      <c r="P1343" t="s">
        <v>3064</v>
      </c>
      <c r="Q1343" t="s">
        <v>3853</v>
      </c>
      <c r="R1343">
        <v>69.180000000000007</v>
      </c>
      <c r="S1343">
        <v>3</v>
      </c>
      <c r="T1343">
        <v>0.15</v>
      </c>
      <c r="U1343">
        <v>30.58</v>
      </c>
    </row>
    <row r="1344" spans="1:21" x14ac:dyDescent="0.3">
      <c r="A1344">
        <v>1343</v>
      </c>
      <c r="B1344" t="s">
        <v>1363</v>
      </c>
      <c r="C1344" s="2">
        <v>45662</v>
      </c>
      <c r="D1344" s="2">
        <v>45667</v>
      </c>
      <c r="E1344" t="s">
        <v>1523</v>
      </c>
      <c r="F1344" t="s">
        <v>1674</v>
      </c>
      <c r="G1344" t="s">
        <v>2083</v>
      </c>
      <c r="H1344" t="s">
        <v>2314</v>
      </c>
      <c r="I1344" t="s">
        <v>2317</v>
      </c>
      <c r="J1344" t="s">
        <v>2323</v>
      </c>
      <c r="K1344" t="s">
        <v>2323</v>
      </c>
      <c r="L1344">
        <v>888005</v>
      </c>
      <c r="M1344" t="s">
        <v>2328</v>
      </c>
      <c r="N1344" t="s">
        <v>2546</v>
      </c>
      <c r="O1344" t="s">
        <v>3054</v>
      </c>
      <c r="P1344" t="s">
        <v>3057</v>
      </c>
      <c r="Q1344" t="s">
        <v>3854</v>
      </c>
      <c r="R1344">
        <v>43.87</v>
      </c>
      <c r="S1344">
        <v>7</v>
      </c>
      <c r="T1344">
        <v>0</v>
      </c>
      <c r="U1344">
        <v>17.11</v>
      </c>
    </row>
    <row r="1345" spans="1:21" x14ac:dyDescent="0.3">
      <c r="A1345">
        <v>1344</v>
      </c>
      <c r="B1345" t="s">
        <v>1364</v>
      </c>
      <c r="C1345" s="2">
        <v>45320</v>
      </c>
      <c r="D1345" s="2">
        <v>45323</v>
      </c>
      <c r="E1345" t="s">
        <v>1521</v>
      </c>
      <c r="F1345" t="s">
        <v>1660</v>
      </c>
      <c r="G1345" t="s">
        <v>2221</v>
      </c>
      <c r="H1345" t="s">
        <v>2315</v>
      </c>
      <c r="I1345" t="s">
        <v>2317</v>
      </c>
      <c r="J1345" t="s">
        <v>2320</v>
      </c>
      <c r="K1345" t="s">
        <v>2320</v>
      </c>
      <c r="L1345">
        <v>813607</v>
      </c>
      <c r="M1345" t="s">
        <v>2330</v>
      </c>
      <c r="N1345" t="s">
        <v>2979</v>
      </c>
      <c r="O1345" t="s">
        <v>3053</v>
      </c>
      <c r="P1345" t="s">
        <v>3065</v>
      </c>
      <c r="Q1345" t="s">
        <v>3676</v>
      </c>
      <c r="R1345">
        <v>281.25</v>
      </c>
      <c r="S1345">
        <v>5</v>
      </c>
      <c r="T1345">
        <v>0.4</v>
      </c>
      <c r="U1345">
        <v>-35.869999999999997</v>
      </c>
    </row>
    <row r="1346" spans="1:21" x14ac:dyDescent="0.3">
      <c r="A1346">
        <v>1345</v>
      </c>
      <c r="B1346" t="s">
        <v>1365</v>
      </c>
      <c r="C1346" s="2">
        <v>45440</v>
      </c>
      <c r="D1346" s="2">
        <v>45445</v>
      </c>
      <c r="E1346" t="s">
        <v>1522</v>
      </c>
      <c r="F1346" t="s">
        <v>1735</v>
      </c>
      <c r="G1346" t="s">
        <v>2166</v>
      </c>
      <c r="H1346" t="s">
        <v>2314</v>
      </c>
      <c r="I1346" t="s">
        <v>2317</v>
      </c>
      <c r="J1346" t="s">
        <v>2327</v>
      </c>
      <c r="K1346" t="s">
        <v>2327</v>
      </c>
      <c r="L1346">
        <v>676981</v>
      </c>
      <c r="M1346" t="s">
        <v>2330</v>
      </c>
      <c r="N1346" t="s">
        <v>2622</v>
      </c>
      <c r="O1346" t="s">
        <v>3053</v>
      </c>
      <c r="P1346" t="s">
        <v>3066</v>
      </c>
      <c r="Q1346" t="s">
        <v>3855</v>
      </c>
      <c r="R1346">
        <v>228.65</v>
      </c>
      <c r="S1346">
        <v>3</v>
      </c>
      <c r="T1346">
        <v>0.2</v>
      </c>
      <c r="U1346">
        <v>18.53</v>
      </c>
    </row>
    <row r="1347" spans="1:21" x14ac:dyDescent="0.3">
      <c r="A1347">
        <v>1346</v>
      </c>
      <c r="B1347" t="s">
        <v>1366</v>
      </c>
      <c r="C1347" s="2">
        <v>45587</v>
      </c>
      <c r="D1347" s="2">
        <v>45589</v>
      </c>
      <c r="E1347" t="s">
        <v>1521</v>
      </c>
      <c r="F1347" t="s">
        <v>1885</v>
      </c>
      <c r="G1347" t="s">
        <v>2031</v>
      </c>
      <c r="H1347" t="s">
        <v>2316</v>
      </c>
      <c r="I1347" t="s">
        <v>2317</v>
      </c>
      <c r="J1347" t="s">
        <v>2318</v>
      </c>
      <c r="K1347" t="s">
        <v>2318</v>
      </c>
      <c r="L1347">
        <v>593663</v>
      </c>
      <c r="M1347" t="s">
        <v>2328</v>
      </c>
      <c r="N1347" t="s">
        <v>3014</v>
      </c>
      <c r="O1347" t="s">
        <v>3053</v>
      </c>
      <c r="P1347" t="s">
        <v>3066</v>
      </c>
      <c r="Q1347" t="s">
        <v>3856</v>
      </c>
      <c r="R1347">
        <v>241.5</v>
      </c>
      <c r="S1347">
        <v>7</v>
      </c>
      <c r="T1347">
        <v>0</v>
      </c>
      <c r="U1347">
        <v>-3.6</v>
      </c>
    </row>
    <row r="1348" spans="1:21" x14ac:dyDescent="0.3">
      <c r="A1348">
        <v>1347</v>
      </c>
      <c r="B1348" t="s">
        <v>1367</v>
      </c>
      <c r="C1348" s="2">
        <v>45302</v>
      </c>
      <c r="D1348" s="2">
        <v>45305</v>
      </c>
      <c r="E1348" t="s">
        <v>1523</v>
      </c>
      <c r="F1348" t="s">
        <v>1766</v>
      </c>
      <c r="G1348" t="s">
        <v>2137</v>
      </c>
      <c r="H1348" t="s">
        <v>2316</v>
      </c>
      <c r="I1348" t="s">
        <v>2317</v>
      </c>
      <c r="J1348" t="s">
        <v>2322</v>
      </c>
      <c r="K1348" t="s">
        <v>2322</v>
      </c>
      <c r="L1348">
        <v>458117</v>
      </c>
      <c r="M1348" t="s">
        <v>2331</v>
      </c>
      <c r="N1348" t="s">
        <v>3015</v>
      </c>
      <c r="O1348" t="s">
        <v>3054</v>
      </c>
      <c r="P1348" t="s">
        <v>3064</v>
      </c>
      <c r="Q1348" t="s">
        <v>3594</v>
      </c>
      <c r="R1348">
        <v>116.84</v>
      </c>
      <c r="S1348">
        <v>3</v>
      </c>
      <c r="T1348">
        <v>0</v>
      </c>
      <c r="U1348">
        <v>-12.28</v>
      </c>
    </row>
    <row r="1349" spans="1:21" x14ac:dyDescent="0.3">
      <c r="A1349">
        <v>1348</v>
      </c>
      <c r="B1349" t="s">
        <v>1368</v>
      </c>
      <c r="C1349" s="2">
        <v>45803</v>
      </c>
      <c r="D1349" s="2">
        <v>45806</v>
      </c>
      <c r="E1349" t="s">
        <v>1522</v>
      </c>
      <c r="F1349" t="s">
        <v>1690</v>
      </c>
      <c r="G1349" t="s">
        <v>1980</v>
      </c>
      <c r="H1349" t="s">
        <v>2314</v>
      </c>
      <c r="I1349" t="s">
        <v>2317</v>
      </c>
      <c r="J1349" t="s">
        <v>2324</v>
      </c>
      <c r="K1349" t="s">
        <v>2324</v>
      </c>
      <c r="L1349">
        <v>468052</v>
      </c>
      <c r="M1349" t="s">
        <v>2330</v>
      </c>
      <c r="N1349" t="s">
        <v>2546</v>
      </c>
      <c r="O1349" t="s">
        <v>3055</v>
      </c>
      <c r="P1349" t="s">
        <v>3059</v>
      </c>
      <c r="Q1349" t="s">
        <v>3857</v>
      </c>
      <c r="R1349">
        <v>223.89</v>
      </c>
      <c r="S1349">
        <v>6</v>
      </c>
      <c r="T1349">
        <v>0.15</v>
      </c>
      <c r="U1349">
        <v>44.81</v>
      </c>
    </row>
    <row r="1350" spans="1:21" x14ac:dyDescent="0.3">
      <c r="A1350">
        <v>1349</v>
      </c>
      <c r="B1350" t="s">
        <v>1369</v>
      </c>
      <c r="C1350" s="2">
        <v>45967</v>
      </c>
      <c r="D1350" s="2">
        <v>45970</v>
      </c>
      <c r="E1350" t="s">
        <v>1521</v>
      </c>
      <c r="F1350" t="s">
        <v>1717</v>
      </c>
      <c r="G1350" t="s">
        <v>1988</v>
      </c>
      <c r="H1350" t="s">
        <v>2314</v>
      </c>
      <c r="I1350" t="s">
        <v>2317</v>
      </c>
      <c r="J1350" t="s">
        <v>2326</v>
      </c>
      <c r="K1350" t="s">
        <v>2326</v>
      </c>
      <c r="L1350">
        <v>806817</v>
      </c>
      <c r="M1350" t="s">
        <v>2331</v>
      </c>
      <c r="N1350" t="s">
        <v>2676</v>
      </c>
      <c r="O1350" t="s">
        <v>3054</v>
      </c>
      <c r="P1350" t="s">
        <v>3057</v>
      </c>
      <c r="Q1350" t="s">
        <v>3231</v>
      </c>
      <c r="R1350">
        <v>123.06</v>
      </c>
      <c r="S1350">
        <v>5</v>
      </c>
      <c r="T1350">
        <v>0.3</v>
      </c>
      <c r="U1350">
        <v>37.03</v>
      </c>
    </row>
    <row r="1351" spans="1:21" x14ac:dyDescent="0.3">
      <c r="A1351">
        <v>1350</v>
      </c>
      <c r="B1351" t="s">
        <v>1370</v>
      </c>
      <c r="C1351" s="2">
        <v>45404</v>
      </c>
      <c r="D1351" s="2">
        <v>45407</v>
      </c>
      <c r="E1351" t="s">
        <v>1524</v>
      </c>
      <c r="F1351" t="s">
        <v>1683</v>
      </c>
      <c r="G1351" t="s">
        <v>2109</v>
      </c>
      <c r="H1351" t="s">
        <v>2316</v>
      </c>
      <c r="I1351" t="s">
        <v>2317</v>
      </c>
      <c r="J1351" t="s">
        <v>2324</v>
      </c>
      <c r="K1351" t="s">
        <v>2324</v>
      </c>
      <c r="L1351">
        <v>402079</v>
      </c>
      <c r="M1351" t="s">
        <v>2330</v>
      </c>
      <c r="N1351" t="s">
        <v>2796</v>
      </c>
      <c r="O1351" t="s">
        <v>3054</v>
      </c>
      <c r="P1351" t="s">
        <v>3064</v>
      </c>
      <c r="Q1351" t="s">
        <v>3193</v>
      </c>
      <c r="R1351">
        <v>85.99</v>
      </c>
      <c r="S1351">
        <v>1</v>
      </c>
      <c r="T1351">
        <v>0.15</v>
      </c>
      <c r="U1351">
        <v>-35.01</v>
      </c>
    </row>
    <row r="1352" spans="1:21" x14ac:dyDescent="0.3">
      <c r="A1352">
        <v>1351</v>
      </c>
      <c r="B1352" t="s">
        <v>1371</v>
      </c>
      <c r="C1352" s="2">
        <v>45478</v>
      </c>
      <c r="D1352" s="2">
        <v>45482</v>
      </c>
      <c r="E1352" t="s">
        <v>1523</v>
      </c>
      <c r="F1352" t="s">
        <v>1736</v>
      </c>
      <c r="G1352" t="s">
        <v>2188</v>
      </c>
      <c r="H1352" t="s">
        <v>2315</v>
      </c>
      <c r="I1352" t="s">
        <v>2317</v>
      </c>
      <c r="J1352" t="s">
        <v>2327</v>
      </c>
      <c r="K1352" t="s">
        <v>2327</v>
      </c>
      <c r="L1352">
        <v>671693</v>
      </c>
      <c r="M1352" t="s">
        <v>2330</v>
      </c>
      <c r="N1352" t="s">
        <v>2958</v>
      </c>
      <c r="O1352" t="s">
        <v>3053</v>
      </c>
      <c r="P1352" t="s">
        <v>3056</v>
      </c>
      <c r="Q1352" t="s">
        <v>3567</v>
      </c>
      <c r="R1352">
        <v>616.66</v>
      </c>
      <c r="S1352">
        <v>9</v>
      </c>
      <c r="T1352">
        <v>0.15</v>
      </c>
      <c r="U1352">
        <v>40.86</v>
      </c>
    </row>
    <row r="1353" spans="1:21" x14ac:dyDescent="0.3">
      <c r="A1353">
        <v>1352</v>
      </c>
      <c r="B1353" t="s">
        <v>1372</v>
      </c>
      <c r="C1353" s="2">
        <v>45518</v>
      </c>
      <c r="D1353" s="2">
        <v>45522</v>
      </c>
      <c r="E1353" t="s">
        <v>1522</v>
      </c>
      <c r="F1353" t="s">
        <v>1532</v>
      </c>
      <c r="G1353" t="s">
        <v>2288</v>
      </c>
      <c r="H1353" t="s">
        <v>2315</v>
      </c>
      <c r="I1353" t="s">
        <v>2317</v>
      </c>
      <c r="J1353" t="s">
        <v>2318</v>
      </c>
      <c r="K1353" t="s">
        <v>2318</v>
      </c>
      <c r="L1353">
        <v>271277</v>
      </c>
      <c r="M1353" t="s">
        <v>2328</v>
      </c>
      <c r="N1353" t="s">
        <v>2959</v>
      </c>
      <c r="O1353" t="s">
        <v>3054</v>
      </c>
      <c r="P1353" t="s">
        <v>3063</v>
      </c>
      <c r="Q1353" t="s">
        <v>3858</v>
      </c>
      <c r="R1353">
        <v>289.11</v>
      </c>
      <c r="S1353">
        <v>5</v>
      </c>
      <c r="T1353">
        <v>0.4</v>
      </c>
      <c r="U1353">
        <v>1.6</v>
      </c>
    </row>
    <row r="1354" spans="1:21" x14ac:dyDescent="0.3">
      <c r="A1354">
        <v>1353</v>
      </c>
      <c r="B1354" t="s">
        <v>1373</v>
      </c>
      <c r="C1354" s="2">
        <v>45601</v>
      </c>
      <c r="D1354" s="2">
        <v>45604</v>
      </c>
      <c r="E1354" t="s">
        <v>1522</v>
      </c>
      <c r="F1354" t="s">
        <v>1714</v>
      </c>
      <c r="G1354" t="s">
        <v>2027</v>
      </c>
      <c r="H1354" t="s">
        <v>2314</v>
      </c>
      <c r="I1354" t="s">
        <v>2317</v>
      </c>
      <c r="J1354" t="s">
        <v>2326</v>
      </c>
      <c r="K1354" t="s">
        <v>2326</v>
      </c>
      <c r="L1354">
        <v>655476</v>
      </c>
      <c r="M1354" t="s">
        <v>2331</v>
      </c>
      <c r="N1354" t="s">
        <v>2766</v>
      </c>
      <c r="O1354" t="s">
        <v>3053</v>
      </c>
      <c r="P1354" t="s">
        <v>3056</v>
      </c>
      <c r="Q1354" t="s">
        <v>3254</v>
      </c>
      <c r="R1354">
        <v>465.54</v>
      </c>
      <c r="S1354">
        <v>2</v>
      </c>
      <c r="T1354">
        <v>0.05</v>
      </c>
      <c r="U1354">
        <v>30.74</v>
      </c>
    </row>
    <row r="1355" spans="1:21" x14ac:dyDescent="0.3">
      <c r="A1355">
        <v>1354</v>
      </c>
      <c r="B1355" t="s">
        <v>1374</v>
      </c>
      <c r="C1355" s="2">
        <v>45389</v>
      </c>
      <c r="D1355" s="2">
        <v>45392</v>
      </c>
      <c r="E1355" t="s">
        <v>1523</v>
      </c>
      <c r="F1355" t="s">
        <v>1694</v>
      </c>
      <c r="G1355" t="s">
        <v>2282</v>
      </c>
      <c r="H1355" t="s">
        <v>2314</v>
      </c>
      <c r="I1355" t="s">
        <v>2317</v>
      </c>
      <c r="J1355" t="s">
        <v>2318</v>
      </c>
      <c r="K1355" t="s">
        <v>2318</v>
      </c>
      <c r="L1355">
        <v>876654</v>
      </c>
      <c r="M1355" t="s">
        <v>2328</v>
      </c>
      <c r="N1355" t="s">
        <v>3016</v>
      </c>
      <c r="O1355" t="s">
        <v>3053</v>
      </c>
      <c r="P1355" t="s">
        <v>3065</v>
      </c>
      <c r="Q1355" t="s">
        <v>3676</v>
      </c>
      <c r="R1355">
        <v>117.03</v>
      </c>
      <c r="S1355">
        <v>4</v>
      </c>
      <c r="T1355">
        <v>0.15</v>
      </c>
      <c r="U1355">
        <v>22.68</v>
      </c>
    </row>
    <row r="1356" spans="1:21" x14ac:dyDescent="0.3">
      <c r="A1356">
        <v>1355</v>
      </c>
      <c r="B1356" t="s">
        <v>1375</v>
      </c>
      <c r="C1356" s="2">
        <v>45346</v>
      </c>
      <c r="D1356" s="2">
        <v>45349</v>
      </c>
      <c r="E1356" t="s">
        <v>1523</v>
      </c>
      <c r="F1356" t="s">
        <v>1628</v>
      </c>
      <c r="G1356" t="s">
        <v>2274</v>
      </c>
      <c r="H1356" t="s">
        <v>2316</v>
      </c>
      <c r="I1356" t="s">
        <v>2317</v>
      </c>
      <c r="J1356" t="s">
        <v>2320</v>
      </c>
      <c r="K1356" t="s">
        <v>2320</v>
      </c>
      <c r="L1356">
        <v>277284</v>
      </c>
      <c r="M1356" t="s">
        <v>2330</v>
      </c>
      <c r="N1356" t="s">
        <v>2877</v>
      </c>
      <c r="O1356" t="s">
        <v>3054</v>
      </c>
      <c r="P1356" t="s">
        <v>3057</v>
      </c>
      <c r="Q1356" t="s">
        <v>3353</v>
      </c>
      <c r="R1356">
        <v>116.56</v>
      </c>
      <c r="S1356">
        <v>9</v>
      </c>
      <c r="T1356">
        <v>0.05</v>
      </c>
      <c r="U1356">
        <v>-18.29</v>
      </c>
    </row>
    <row r="1357" spans="1:21" x14ac:dyDescent="0.3">
      <c r="A1357">
        <v>1356</v>
      </c>
      <c r="B1357" t="s">
        <v>1376</v>
      </c>
      <c r="C1357" s="2">
        <v>45914</v>
      </c>
      <c r="D1357" s="2">
        <v>45917</v>
      </c>
      <c r="E1357" t="s">
        <v>1522</v>
      </c>
      <c r="F1357" t="s">
        <v>1915</v>
      </c>
      <c r="G1357" t="s">
        <v>1963</v>
      </c>
      <c r="H1357" t="s">
        <v>2314</v>
      </c>
      <c r="I1357" t="s">
        <v>2317</v>
      </c>
      <c r="J1357" t="s">
        <v>2321</v>
      </c>
      <c r="K1357" t="s">
        <v>2321</v>
      </c>
      <c r="L1357">
        <v>146873</v>
      </c>
      <c r="M1357" t="s">
        <v>2329</v>
      </c>
      <c r="N1357" t="s">
        <v>2755</v>
      </c>
      <c r="O1357" t="s">
        <v>3055</v>
      </c>
      <c r="P1357" t="s">
        <v>3060</v>
      </c>
      <c r="Q1357" t="s">
        <v>3859</v>
      </c>
      <c r="R1357">
        <v>900.29</v>
      </c>
      <c r="S1357">
        <v>5</v>
      </c>
      <c r="T1357">
        <v>0.15</v>
      </c>
      <c r="U1357">
        <v>42.66</v>
      </c>
    </row>
    <row r="1358" spans="1:21" x14ac:dyDescent="0.3">
      <c r="A1358">
        <v>1357</v>
      </c>
      <c r="B1358" t="s">
        <v>1377</v>
      </c>
      <c r="C1358" s="2">
        <v>45955</v>
      </c>
      <c r="D1358" s="2">
        <v>45959</v>
      </c>
      <c r="E1358" t="s">
        <v>1521</v>
      </c>
      <c r="F1358" t="s">
        <v>1753</v>
      </c>
      <c r="G1358" t="s">
        <v>2183</v>
      </c>
      <c r="H1358" t="s">
        <v>2314</v>
      </c>
      <c r="I1358" t="s">
        <v>2317</v>
      </c>
      <c r="J1358" t="s">
        <v>2326</v>
      </c>
      <c r="K1358" t="s">
        <v>2326</v>
      </c>
      <c r="L1358">
        <v>721371</v>
      </c>
      <c r="M1358" t="s">
        <v>2331</v>
      </c>
      <c r="N1358" t="s">
        <v>3013</v>
      </c>
      <c r="O1358" t="s">
        <v>3055</v>
      </c>
      <c r="P1358" t="s">
        <v>3067</v>
      </c>
      <c r="Q1358" t="s">
        <v>3443</v>
      </c>
      <c r="R1358">
        <v>1061.8699999999999</v>
      </c>
      <c r="S1358">
        <v>8</v>
      </c>
      <c r="T1358">
        <v>0.2</v>
      </c>
      <c r="U1358">
        <v>116</v>
      </c>
    </row>
    <row r="1359" spans="1:21" x14ac:dyDescent="0.3">
      <c r="A1359">
        <v>1358</v>
      </c>
      <c r="B1359" t="s">
        <v>1378</v>
      </c>
      <c r="C1359" s="2">
        <v>45697</v>
      </c>
      <c r="D1359" s="2">
        <v>45701</v>
      </c>
      <c r="E1359" t="s">
        <v>1521</v>
      </c>
      <c r="F1359" t="s">
        <v>1882</v>
      </c>
      <c r="G1359" t="s">
        <v>2301</v>
      </c>
      <c r="H1359" t="s">
        <v>2315</v>
      </c>
      <c r="I1359" t="s">
        <v>2317</v>
      </c>
      <c r="J1359" t="s">
        <v>2324</v>
      </c>
      <c r="K1359" t="s">
        <v>2324</v>
      </c>
      <c r="L1359">
        <v>182071</v>
      </c>
      <c r="M1359" t="s">
        <v>2330</v>
      </c>
      <c r="N1359" t="s">
        <v>2882</v>
      </c>
      <c r="O1359" t="s">
        <v>3053</v>
      </c>
      <c r="P1359" t="s">
        <v>3056</v>
      </c>
      <c r="Q1359" t="s">
        <v>3708</v>
      </c>
      <c r="R1359">
        <v>120.38</v>
      </c>
      <c r="S1359">
        <v>4</v>
      </c>
      <c r="T1359">
        <v>0.15</v>
      </c>
      <c r="U1359">
        <v>8.1300000000000008</v>
      </c>
    </row>
    <row r="1360" spans="1:21" x14ac:dyDescent="0.3">
      <c r="A1360">
        <v>1359</v>
      </c>
      <c r="B1360" t="s">
        <v>1379</v>
      </c>
      <c r="C1360" s="2">
        <v>45360</v>
      </c>
      <c r="D1360" s="2">
        <v>45364</v>
      </c>
      <c r="E1360" t="s">
        <v>1522</v>
      </c>
      <c r="F1360" t="s">
        <v>1868</v>
      </c>
      <c r="G1360" t="s">
        <v>1951</v>
      </c>
      <c r="H1360" t="s">
        <v>2314</v>
      </c>
      <c r="I1360" t="s">
        <v>2317</v>
      </c>
      <c r="J1360" t="s">
        <v>2327</v>
      </c>
      <c r="K1360" t="s">
        <v>2327</v>
      </c>
      <c r="L1360">
        <v>843023</v>
      </c>
      <c r="M1360" t="s">
        <v>2330</v>
      </c>
      <c r="N1360" t="s">
        <v>2401</v>
      </c>
      <c r="O1360" t="s">
        <v>3053</v>
      </c>
      <c r="P1360" t="s">
        <v>3062</v>
      </c>
      <c r="Q1360" t="s">
        <v>3799</v>
      </c>
      <c r="R1360">
        <v>324.55</v>
      </c>
      <c r="S1360">
        <v>8</v>
      </c>
      <c r="T1360">
        <v>0.3</v>
      </c>
      <c r="U1360">
        <v>-29.39</v>
      </c>
    </row>
    <row r="1361" spans="1:21" x14ac:dyDescent="0.3">
      <c r="A1361">
        <v>1360</v>
      </c>
      <c r="B1361" t="s">
        <v>1380</v>
      </c>
      <c r="C1361" s="2">
        <v>45603</v>
      </c>
      <c r="D1361" s="2">
        <v>45606</v>
      </c>
      <c r="E1361" t="s">
        <v>1522</v>
      </c>
      <c r="F1361" t="s">
        <v>1558</v>
      </c>
      <c r="G1361" t="s">
        <v>2305</v>
      </c>
      <c r="H1361" t="s">
        <v>2315</v>
      </c>
      <c r="I1361" t="s">
        <v>2317</v>
      </c>
      <c r="J1361" t="s">
        <v>2323</v>
      </c>
      <c r="K1361" t="s">
        <v>2323</v>
      </c>
      <c r="L1361">
        <v>742627</v>
      </c>
      <c r="M1361" t="s">
        <v>2328</v>
      </c>
      <c r="N1361" t="s">
        <v>2855</v>
      </c>
      <c r="O1361" t="s">
        <v>3053</v>
      </c>
      <c r="P1361" t="s">
        <v>3065</v>
      </c>
      <c r="Q1361" t="s">
        <v>3860</v>
      </c>
      <c r="R1361">
        <v>173.01</v>
      </c>
      <c r="S1361">
        <v>6</v>
      </c>
      <c r="T1361">
        <v>0.3</v>
      </c>
      <c r="U1361">
        <v>4.2699999999999996</v>
      </c>
    </row>
    <row r="1362" spans="1:21" x14ac:dyDescent="0.3">
      <c r="A1362">
        <v>1361</v>
      </c>
      <c r="B1362" t="s">
        <v>1381</v>
      </c>
      <c r="C1362" s="2">
        <v>45580</v>
      </c>
      <c r="D1362" s="2">
        <v>45582</v>
      </c>
      <c r="E1362" t="s">
        <v>1521</v>
      </c>
      <c r="F1362" t="s">
        <v>1647</v>
      </c>
      <c r="G1362" t="s">
        <v>2096</v>
      </c>
      <c r="H1362" t="s">
        <v>2316</v>
      </c>
      <c r="I1362" t="s">
        <v>2317</v>
      </c>
      <c r="J1362" t="s">
        <v>2320</v>
      </c>
      <c r="K1362" t="s">
        <v>2320</v>
      </c>
      <c r="L1362">
        <v>683224</v>
      </c>
      <c r="M1362" t="s">
        <v>2330</v>
      </c>
      <c r="N1362" t="s">
        <v>2431</v>
      </c>
      <c r="O1362" t="s">
        <v>3054</v>
      </c>
      <c r="P1362" t="s">
        <v>3063</v>
      </c>
      <c r="Q1362" t="s">
        <v>3136</v>
      </c>
      <c r="R1362">
        <v>66.959999999999994</v>
      </c>
      <c r="S1362">
        <v>6</v>
      </c>
      <c r="T1362">
        <v>0.2</v>
      </c>
      <c r="U1362">
        <v>11.9</v>
      </c>
    </row>
    <row r="1363" spans="1:21" x14ac:dyDescent="0.3">
      <c r="A1363">
        <v>1362</v>
      </c>
      <c r="B1363" t="s">
        <v>1382</v>
      </c>
      <c r="C1363" s="2">
        <v>45839</v>
      </c>
      <c r="D1363" s="2">
        <v>45842</v>
      </c>
      <c r="E1363" t="s">
        <v>1522</v>
      </c>
      <c r="F1363" t="s">
        <v>1828</v>
      </c>
      <c r="G1363" t="s">
        <v>2214</v>
      </c>
      <c r="H1363" t="s">
        <v>2316</v>
      </c>
      <c r="I1363" t="s">
        <v>2317</v>
      </c>
      <c r="J1363" t="s">
        <v>2321</v>
      </c>
      <c r="K1363" t="s">
        <v>2321</v>
      </c>
      <c r="L1363">
        <v>717365</v>
      </c>
      <c r="M1363" t="s">
        <v>2329</v>
      </c>
      <c r="N1363" t="s">
        <v>3017</v>
      </c>
      <c r="O1363" t="s">
        <v>3054</v>
      </c>
      <c r="P1363" t="s">
        <v>3058</v>
      </c>
      <c r="Q1363" t="s">
        <v>3517</v>
      </c>
      <c r="R1363">
        <v>73.459999999999994</v>
      </c>
      <c r="S1363">
        <v>3</v>
      </c>
      <c r="T1363">
        <v>0.2</v>
      </c>
      <c r="U1363">
        <v>-5.63</v>
      </c>
    </row>
    <row r="1364" spans="1:21" x14ac:dyDescent="0.3">
      <c r="A1364">
        <v>1363</v>
      </c>
      <c r="B1364" t="s">
        <v>1383</v>
      </c>
      <c r="C1364" s="2">
        <v>45439</v>
      </c>
      <c r="D1364" s="2">
        <v>45442</v>
      </c>
      <c r="E1364" t="s">
        <v>1523</v>
      </c>
      <c r="F1364" t="s">
        <v>1538</v>
      </c>
      <c r="G1364" t="s">
        <v>1937</v>
      </c>
      <c r="H1364" t="s">
        <v>2314</v>
      </c>
      <c r="I1364" t="s">
        <v>2317</v>
      </c>
      <c r="J1364" t="s">
        <v>2323</v>
      </c>
      <c r="K1364" t="s">
        <v>2323</v>
      </c>
      <c r="L1364">
        <v>335603</v>
      </c>
      <c r="M1364" t="s">
        <v>2328</v>
      </c>
      <c r="N1364" t="s">
        <v>2502</v>
      </c>
      <c r="O1364" t="s">
        <v>3054</v>
      </c>
      <c r="P1364" t="s">
        <v>3058</v>
      </c>
      <c r="Q1364" t="s">
        <v>3861</v>
      </c>
      <c r="R1364">
        <v>114.2</v>
      </c>
      <c r="S1364">
        <v>4</v>
      </c>
      <c r="T1364">
        <v>0.4</v>
      </c>
      <c r="U1364">
        <v>-1.28</v>
      </c>
    </row>
    <row r="1365" spans="1:21" x14ac:dyDescent="0.3">
      <c r="A1365">
        <v>1364</v>
      </c>
      <c r="B1365" t="s">
        <v>1384</v>
      </c>
      <c r="C1365" s="2">
        <v>45758</v>
      </c>
      <c r="D1365" s="2">
        <v>45760</v>
      </c>
      <c r="E1365" t="s">
        <v>1524</v>
      </c>
      <c r="F1365" t="s">
        <v>1554</v>
      </c>
      <c r="G1365" t="s">
        <v>2277</v>
      </c>
      <c r="H1365" t="s">
        <v>2315</v>
      </c>
      <c r="I1365" t="s">
        <v>2317</v>
      </c>
      <c r="J1365" t="s">
        <v>2319</v>
      </c>
      <c r="K1365" t="s">
        <v>2319</v>
      </c>
      <c r="L1365">
        <v>717169</v>
      </c>
      <c r="M1365" t="s">
        <v>2329</v>
      </c>
      <c r="N1365" t="s">
        <v>2556</v>
      </c>
      <c r="O1365" t="s">
        <v>3055</v>
      </c>
      <c r="P1365" t="s">
        <v>3067</v>
      </c>
      <c r="Q1365" t="s">
        <v>3792</v>
      </c>
      <c r="R1365">
        <v>122.2</v>
      </c>
      <c r="S1365">
        <v>6</v>
      </c>
      <c r="T1365">
        <v>0.15</v>
      </c>
      <c r="U1365">
        <v>35.03</v>
      </c>
    </row>
    <row r="1366" spans="1:21" x14ac:dyDescent="0.3">
      <c r="A1366">
        <v>1365</v>
      </c>
      <c r="B1366" t="s">
        <v>1385</v>
      </c>
      <c r="C1366" s="2">
        <v>45535</v>
      </c>
      <c r="D1366" s="2">
        <v>45541</v>
      </c>
      <c r="E1366" t="s">
        <v>1522</v>
      </c>
      <c r="F1366" t="s">
        <v>1593</v>
      </c>
      <c r="G1366" t="s">
        <v>2077</v>
      </c>
      <c r="H1366" t="s">
        <v>2316</v>
      </c>
      <c r="I1366" t="s">
        <v>2317</v>
      </c>
      <c r="J1366" t="s">
        <v>2320</v>
      </c>
      <c r="K1366" t="s">
        <v>2320</v>
      </c>
      <c r="L1366">
        <v>183583</v>
      </c>
      <c r="M1366" t="s">
        <v>2330</v>
      </c>
      <c r="N1366" t="s">
        <v>2731</v>
      </c>
      <c r="O1366" t="s">
        <v>3053</v>
      </c>
      <c r="P1366" t="s">
        <v>3065</v>
      </c>
      <c r="Q1366" t="s">
        <v>3478</v>
      </c>
      <c r="R1366">
        <v>251.82</v>
      </c>
      <c r="S1366">
        <v>5</v>
      </c>
      <c r="T1366">
        <v>0.1</v>
      </c>
      <c r="U1366">
        <v>3.89</v>
      </c>
    </row>
    <row r="1367" spans="1:21" x14ac:dyDescent="0.3">
      <c r="A1367">
        <v>1366</v>
      </c>
      <c r="B1367" t="s">
        <v>1386</v>
      </c>
      <c r="C1367" s="2">
        <v>45782</v>
      </c>
      <c r="D1367" s="2">
        <v>45785</v>
      </c>
      <c r="E1367" t="s">
        <v>1521</v>
      </c>
      <c r="F1367" t="s">
        <v>1550</v>
      </c>
      <c r="G1367" t="s">
        <v>2185</v>
      </c>
      <c r="H1367" t="s">
        <v>2314</v>
      </c>
      <c r="I1367" t="s">
        <v>2317</v>
      </c>
      <c r="J1367" t="s">
        <v>2327</v>
      </c>
      <c r="K1367" t="s">
        <v>2327</v>
      </c>
      <c r="L1367">
        <v>101378</v>
      </c>
      <c r="M1367" t="s">
        <v>2330</v>
      </c>
      <c r="N1367" t="s">
        <v>2335</v>
      </c>
      <c r="O1367" t="s">
        <v>3055</v>
      </c>
      <c r="P1367" t="s">
        <v>3060</v>
      </c>
      <c r="Q1367" t="s">
        <v>3322</v>
      </c>
      <c r="R1367">
        <v>402.99</v>
      </c>
      <c r="S1367">
        <v>1</v>
      </c>
      <c r="T1367">
        <v>0</v>
      </c>
      <c r="U1367">
        <v>65.290000000000006</v>
      </c>
    </row>
    <row r="1368" spans="1:21" x14ac:dyDescent="0.3">
      <c r="A1368">
        <v>1367</v>
      </c>
      <c r="B1368" t="s">
        <v>1387</v>
      </c>
      <c r="C1368" s="2">
        <v>45798</v>
      </c>
      <c r="D1368" s="2">
        <v>45803</v>
      </c>
      <c r="E1368" t="s">
        <v>1524</v>
      </c>
      <c r="F1368" t="s">
        <v>1818</v>
      </c>
      <c r="G1368" t="s">
        <v>2125</v>
      </c>
      <c r="H1368" t="s">
        <v>2316</v>
      </c>
      <c r="I1368" t="s">
        <v>2317</v>
      </c>
      <c r="J1368" t="s">
        <v>2322</v>
      </c>
      <c r="K1368" t="s">
        <v>2322</v>
      </c>
      <c r="L1368">
        <v>996681</v>
      </c>
      <c r="M1368" t="s">
        <v>2331</v>
      </c>
      <c r="N1368" t="s">
        <v>3018</v>
      </c>
      <c r="O1368" t="s">
        <v>3055</v>
      </c>
      <c r="P1368" t="s">
        <v>3060</v>
      </c>
      <c r="Q1368" t="s">
        <v>3862</v>
      </c>
      <c r="R1368">
        <v>415.9</v>
      </c>
      <c r="S1368">
        <v>1</v>
      </c>
      <c r="T1368">
        <v>0.15</v>
      </c>
      <c r="U1368">
        <v>26.32</v>
      </c>
    </row>
    <row r="1369" spans="1:21" x14ac:dyDescent="0.3">
      <c r="A1369">
        <v>1368</v>
      </c>
      <c r="B1369" t="s">
        <v>1388</v>
      </c>
      <c r="C1369" s="2">
        <v>45656</v>
      </c>
      <c r="D1369" s="2">
        <v>45661</v>
      </c>
      <c r="E1369" t="s">
        <v>1521</v>
      </c>
      <c r="F1369" t="s">
        <v>1613</v>
      </c>
      <c r="G1369" t="s">
        <v>1969</v>
      </c>
      <c r="H1369" t="s">
        <v>2314</v>
      </c>
      <c r="I1369" t="s">
        <v>2317</v>
      </c>
      <c r="J1369" t="s">
        <v>2326</v>
      </c>
      <c r="K1369" t="s">
        <v>2326</v>
      </c>
      <c r="L1369">
        <v>817497</v>
      </c>
      <c r="M1369" t="s">
        <v>2331</v>
      </c>
      <c r="N1369" t="s">
        <v>2403</v>
      </c>
      <c r="O1369" t="s">
        <v>3053</v>
      </c>
      <c r="P1369" t="s">
        <v>3065</v>
      </c>
      <c r="Q1369" t="s">
        <v>3227</v>
      </c>
      <c r="R1369">
        <v>182.02</v>
      </c>
      <c r="S1369">
        <v>1</v>
      </c>
      <c r="T1369">
        <v>0.15</v>
      </c>
      <c r="U1369">
        <v>28.11</v>
      </c>
    </row>
    <row r="1370" spans="1:21" x14ac:dyDescent="0.3">
      <c r="A1370">
        <v>1369</v>
      </c>
      <c r="B1370" t="s">
        <v>1389</v>
      </c>
      <c r="C1370" s="2">
        <v>45773</v>
      </c>
      <c r="D1370" s="2">
        <v>45775</v>
      </c>
      <c r="E1370" t="s">
        <v>1524</v>
      </c>
      <c r="F1370" t="s">
        <v>1589</v>
      </c>
      <c r="G1370" t="s">
        <v>2138</v>
      </c>
      <c r="H1370" t="s">
        <v>2316</v>
      </c>
      <c r="I1370" t="s">
        <v>2317</v>
      </c>
      <c r="J1370" t="s">
        <v>2318</v>
      </c>
      <c r="K1370" t="s">
        <v>2318</v>
      </c>
      <c r="L1370">
        <v>943087</v>
      </c>
      <c r="M1370" t="s">
        <v>2328</v>
      </c>
      <c r="N1370" t="s">
        <v>3019</v>
      </c>
      <c r="O1370" t="s">
        <v>3055</v>
      </c>
      <c r="P1370" t="s">
        <v>3060</v>
      </c>
      <c r="Q1370" t="s">
        <v>3411</v>
      </c>
      <c r="R1370">
        <v>406.38</v>
      </c>
      <c r="S1370">
        <v>2</v>
      </c>
      <c r="T1370">
        <v>0.4</v>
      </c>
      <c r="U1370">
        <v>-48.39</v>
      </c>
    </row>
    <row r="1371" spans="1:21" x14ac:dyDescent="0.3">
      <c r="A1371">
        <v>1370</v>
      </c>
      <c r="B1371" t="s">
        <v>1390</v>
      </c>
      <c r="C1371" s="2">
        <v>45492</v>
      </c>
      <c r="D1371" s="2">
        <v>45496</v>
      </c>
      <c r="E1371" t="s">
        <v>1522</v>
      </c>
      <c r="F1371" t="s">
        <v>1888</v>
      </c>
      <c r="G1371" t="s">
        <v>2023</v>
      </c>
      <c r="H1371" t="s">
        <v>2315</v>
      </c>
      <c r="I1371" t="s">
        <v>2317</v>
      </c>
      <c r="J1371" t="s">
        <v>2327</v>
      </c>
      <c r="K1371" t="s">
        <v>2327</v>
      </c>
      <c r="L1371">
        <v>328088</v>
      </c>
      <c r="M1371" t="s">
        <v>2330</v>
      </c>
      <c r="N1371" t="s">
        <v>2442</v>
      </c>
      <c r="O1371" t="s">
        <v>3055</v>
      </c>
      <c r="P1371" t="s">
        <v>3060</v>
      </c>
      <c r="Q1371" t="s">
        <v>3851</v>
      </c>
      <c r="R1371">
        <v>385.36</v>
      </c>
      <c r="S1371">
        <v>6</v>
      </c>
      <c r="T1371">
        <v>0.05</v>
      </c>
      <c r="U1371">
        <v>34.979999999999997</v>
      </c>
    </row>
    <row r="1372" spans="1:21" x14ac:dyDescent="0.3">
      <c r="A1372">
        <v>1371</v>
      </c>
      <c r="B1372" t="s">
        <v>1391</v>
      </c>
      <c r="C1372" s="2">
        <v>45445</v>
      </c>
      <c r="D1372" s="2">
        <v>45446</v>
      </c>
      <c r="E1372" t="s">
        <v>1522</v>
      </c>
      <c r="F1372" t="s">
        <v>1773</v>
      </c>
      <c r="G1372" t="s">
        <v>2024</v>
      </c>
      <c r="H1372" t="s">
        <v>2314</v>
      </c>
      <c r="I1372" t="s">
        <v>2317</v>
      </c>
      <c r="J1372" t="s">
        <v>2326</v>
      </c>
      <c r="K1372" t="s">
        <v>2326</v>
      </c>
      <c r="L1372">
        <v>602542</v>
      </c>
      <c r="M1372" t="s">
        <v>2331</v>
      </c>
      <c r="N1372" t="s">
        <v>2605</v>
      </c>
      <c r="O1372" t="s">
        <v>3055</v>
      </c>
      <c r="P1372" t="s">
        <v>3061</v>
      </c>
      <c r="Q1372" t="s">
        <v>3832</v>
      </c>
      <c r="R1372">
        <v>454.71</v>
      </c>
      <c r="S1372">
        <v>5</v>
      </c>
      <c r="T1372">
        <v>0.2</v>
      </c>
      <c r="U1372">
        <v>20.97</v>
      </c>
    </row>
    <row r="1373" spans="1:21" x14ac:dyDescent="0.3">
      <c r="A1373">
        <v>1372</v>
      </c>
      <c r="B1373" t="s">
        <v>1392</v>
      </c>
      <c r="C1373" s="2">
        <v>45741</v>
      </c>
      <c r="D1373" s="2">
        <v>45743</v>
      </c>
      <c r="E1373" t="s">
        <v>1521</v>
      </c>
      <c r="F1373" t="s">
        <v>1758</v>
      </c>
      <c r="G1373" t="s">
        <v>2195</v>
      </c>
      <c r="H1373" t="s">
        <v>2316</v>
      </c>
      <c r="I1373" t="s">
        <v>2317</v>
      </c>
      <c r="J1373" t="s">
        <v>2323</v>
      </c>
      <c r="K1373" t="s">
        <v>2323</v>
      </c>
      <c r="L1373">
        <v>439003</v>
      </c>
      <c r="M1373" t="s">
        <v>2328</v>
      </c>
      <c r="N1373" t="s">
        <v>2960</v>
      </c>
      <c r="O1373" t="s">
        <v>3054</v>
      </c>
      <c r="P1373" t="s">
        <v>3064</v>
      </c>
      <c r="Q1373" t="s">
        <v>3863</v>
      </c>
      <c r="R1373">
        <v>33.71</v>
      </c>
      <c r="S1373">
        <v>4</v>
      </c>
      <c r="T1373">
        <v>0.1</v>
      </c>
      <c r="U1373">
        <v>-27.25</v>
      </c>
    </row>
    <row r="1374" spans="1:21" x14ac:dyDescent="0.3">
      <c r="A1374">
        <v>1373</v>
      </c>
      <c r="B1374" t="s">
        <v>1393</v>
      </c>
      <c r="C1374" s="2">
        <v>45792</v>
      </c>
      <c r="D1374" s="2">
        <v>45794</v>
      </c>
      <c r="E1374" t="s">
        <v>1522</v>
      </c>
      <c r="F1374" t="s">
        <v>1663</v>
      </c>
      <c r="G1374" t="s">
        <v>1987</v>
      </c>
      <c r="H1374" t="s">
        <v>2316</v>
      </c>
      <c r="I1374" t="s">
        <v>2317</v>
      </c>
      <c r="J1374" t="s">
        <v>2318</v>
      </c>
      <c r="K1374" t="s">
        <v>2318</v>
      </c>
      <c r="L1374">
        <v>485198</v>
      </c>
      <c r="M1374" t="s">
        <v>2328</v>
      </c>
      <c r="N1374" t="s">
        <v>3020</v>
      </c>
      <c r="O1374" t="s">
        <v>3054</v>
      </c>
      <c r="P1374" t="s">
        <v>3058</v>
      </c>
      <c r="Q1374" t="s">
        <v>3684</v>
      </c>
      <c r="R1374">
        <v>90.57</v>
      </c>
      <c r="S1374">
        <v>5</v>
      </c>
      <c r="T1374">
        <v>0.05</v>
      </c>
      <c r="U1374">
        <v>16.489999999999998</v>
      </c>
    </row>
    <row r="1375" spans="1:21" x14ac:dyDescent="0.3">
      <c r="A1375">
        <v>1374</v>
      </c>
      <c r="B1375" t="s">
        <v>1394</v>
      </c>
      <c r="C1375" s="2">
        <v>45364</v>
      </c>
      <c r="D1375" s="2">
        <v>45367</v>
      </c>
      <c r="E1375" t="s">
        <v>1523</v>
      </c>
      <c r="F1375" t="s">
        <v>1797</v>
      </c>
      <c r="G1375" t="s">
        <v>2125</v>
      </c>
      <c r="H1375" t="s">
        <v>2315</v>
      </c>
      <c r="I1375" t="s">
        <v>2317</v>
      </c>
      <c r="J1375" t="s">
        <v>2325</v>
      </c>
      <c r="K1375" t="s">
        <v>2325</v>
      </c>
      <c r="L1375">
        <v>651776</v>
      </c>
      <c r="M1375" t="s">
        <v>2332</v>
      </c>
      <c r="N1375" t="s">
        <v>2631</v>
      </c>
      <c r="O1375" t="s">
        <v>3054</v>
      </c>
      <c r="P1375" t="s">
        <v>3064</v>
      </c>
      <c r="Q1375" t="s">
        <v>3214</v>
      </c>
      <c r="R1375">
        <v>47.27</v>
      </c>
      <c r="S1375">
        <v>9</v>
      </c>
      <c r="T1375">
        <v>0.2</v>
      </c>
      <c r="U1375">
        <v>50.86</v>
      </c>
    </row>
    <row r="1376" spans="1:21" x14ac:dyDescent="0.3">
      <c r="A1376">
        <v>1375</v>
      </c>
      <c r="B1376" t="s">
        <v>1395</v>
      </c>
      <c r="C1376" s="2">
        <v>46004</v>
      </c>
      <c r="D1376" s="2">
        <v>46007</v>
      </c>
      <c r="E1376" t="s">
        <v>1523</v>
      </c>
      <c r="F1376" t="s">
        <v>1918</v>
      </c>
      <c r="G1376" t="s">
        <v>1945</v>
      </c>
      <c r="H1376" t="s">
        <v>2316</v>
      </c>
      <c r="I1376" t="s">
        <v>2317</v>
      </c>
      <c r="J1376" t="s">
        <v>2324</v>
      </c>
      <c r="K1376" t="s">
        <v>2324</v>
      </c>
      <c r="L1376">
        <v>938093</v>
      </c>
      <c r="M1376" t="s">
        <v>2330</v>
      </c>
      <c r="N1376" t="s">
        <v>2492</v>
      </c>
      <c r="O1376" t="s">
        <v>3054</v>
      </c>
      <c r="P1376" t="s">
        <v>3064</v>
      </c>
      <c r="Q1376" t="s">
        <v>3864</v>
      </c>
      <c r="R1376">
        <v>147.6</v>
      </c>
      <c r="S1376">
        <v>1</v>
      </c>
      <c r="T1376">
        <v>0.1</v>
      </c>
      <c r="U1376">
        <v>42.29</v>
      </c>
    </row>
    <row r="1377" spans="1:21" x14ac:dyDescent="0.3">
      <c r="A1377">
        <v>1376</v>
      </c>
      <c r="B1377" t="s">
        <v>1396</v>
      </c>
      <c r="C1377" s="2">
        <v>45587</v>
      </c>
      <c r="D1377" s="2">
        <v>45591</v>
      </c>
      <c r="E1377" t="s">
        <v>1522</v>
      </c>
      <c r="F1377" t="s">
        <v>1919</v>
      </c>
      <c r="G1377" t="s">
        <v>2286</v>
      </c>
      <c r="H1377" t="s">
        <v>2315</v>
      </c>
      <c r="I1377" t="s">
        <v>2317</v>
      </c>
      <c r="J1377" t="s">
        <v>2319</v>
      </c>
      <c r="K1377" t="s">
        <v>2319</v>
      </c>
      <c r="L1377">
        <v>291735</v>
      </c>
      <c r="M1377" t="s">
        <v>2329</v>
      </c>
      <c r="N1377" t="s">
        <v>2899</v>
      </c>
      <c r="O1377" t="s">
        <v>3054</v>
      </c>
      <c r="P1377" t="s">
        <v>3058</v>
      </c>
      <c r="Q1377" t="s">
        <v>3777</v>
      </c>
      <c r="R1377">
        <v>200.75</v>
      </c>
      <c r="S1377">
        <v>9</v>
      </c>
      <c r="T1377">
        <v>0</v>
      </c>
      <c r="U1377">
        <v>0.23</v>
      </c>
    </row>
    <row r="1378" spans="1:21" x14ac:dyDescent="0.3">
      <c r="A1378">
        <v>1377</v>
      </c>
      <c r="B1378" t="s">
        <v>1397</v>
      </c>
      <c r="C1378" s="2">
        <v>45308</v>
      </c>
      <c r="D1378" s="2">
        <v>45312</v>
      </c>
      <c r="E1378" t="s">
        <v>1524</v>
      </c>
      <c r="F1378" t="s">
        <v>1704</v>
      </c>
      <c r="G1378" t="s">
        <v>1982</v>
      </c>
      <c r="H1378" t="s">
        <v>2316</v>
      </c>
      <c r="I1378" t="s">
        <v>2317</v>
      </c>
      <c r="J1378" t="s">
        <v>2320</v>
      </c>
      <c r="K1378" t="s">
        <v>2320</v>
      </c>
      <c r="L1378">
        <v>667696</v>
      </c>
      <c r="M1378" t="s">
        <v>2330</v>
      </c>
      <c r="N1378" t="s">
        <v>2926</v>
      </c>
      <c r="O1378" t="s">
        <v>3053</v>
      </c>
      <c r="P1378" t="s">
        <v>3066</v>
      </c>
      <c r="Q1378" t="s">
        <v>3865</v>
      </c>
      <c r="R1378">
        <v>487.67</v>
      </c>
      <c r="S1378">
        <v>7</v>
      </c>
      <c r="T1378">
        <v>0.2</v>
      </c>
      <c r="U1378">
        <v>-9.59</v>
      </c>
    </row>
    <row r="1379" spans="1:21" x14ac:dyDescent="0.3">
      <c r="A1379">
        <v>1378</v>
      </c>
      <c r="B1379" t="s">
        <v>1398</v>
      </c>
      <c r="C1379" s="2">
        <v>45932</v>
      </c>
      <c r="D1379" s="2">
        <v>45935</v>
      </c>
      <c r="E1379" t="s">
        <v>1521</v>
      </c>
      <c r="F1379" t="s">
        <v>1541</v>
      </c>
      <c r="G1379" t="s">
        <v>2038</v>
      </c>
      <c r="H1379" t="s">
        <v>2315</v>
      </c>
      <c r="I1379" t="s">
        <v>2317</v>
      </c>
      <c r="J1379" t="s">
        <v>2327</v>
      </c>
      <c r="K1379" t="s">
        <v>2327</v>
      </c>
      <c r="L1379">
        <v>261355</v>
      </c>
      <c r="M1379" t="s">
        <v>2330</v>
      </c>
      <c r="N1379" t="s">
        <v>2710</v>
      </c>
      <c r="O1379" t="s">
        <v>3055</v>
      </c>
      <c r="P1379" t="s">
        <v>3061</v>
      </c>
      <c r="Q1379" t="s">
        <v>3249</v>
      </c>
      <c r="R1379">
        <v>291.27</v>
      </c>
      <c r="S1379">
        <v>6</v>
      </c>
      <c r="T1379">
        <v>0.15</v>
      </c>
      <c r="U1379">
        <v>26.64</v>
      </c>
    </row>
    <row r="1380" spans="1:21" x14ac:dyDescent="0.3">
      <c r="A1380">
        <v>1379</v>
      </c>
      <c r="B1380" t="s">
        <v>1399</v>
      </c>
      <c r="C1380" s="2">
        <v>45508</v>
      </c>
      <c r="D1380" s="2">
        <v>45510</v>
      </c>
      <c r="E1380" t="s">
        <v>1523</v>
      </c>
      <c r="F1380" t="s">
        <v>1540</v>
      </c>
      <c r="G1380" t="s">
        <v>1929</v>
      </c>
      <c r="H1380" t="s">
        <v>2315</v>
      </c>
      <c r="I1380" t="s">
        <v>2317</v>
      </c>
      <c r="J1380" t="s">
        <v>2319</v>
      </c>
      <c r="K1380" t="s">
        <v>2319</v>
      </c>
      <c r="L1380">
        <v>225074</v>
      </c>
      <c r="M1380" t="s">
        <v>2329</v>
      </c>
      <c r="N1380" t="s">
        <v>2350</v>
      </c>
      <c r="O1380" t="s">
        <v>3054</v>
      </c>
      <c r="P1380" t="s">
        <v>3058</v>
      </c>
      <c r="Q1380" t="s">
        <v>3684</v>
      </c>
      <c r="R1380">
        <v>76.47</v>
      </c>
      <c r="S1380">
        <v>4</v>
      </c>
      <c r="T1380">
        <v>0.3</v>
      </c>
      <c r="U1380">
        <v>-37.15</v>
      </c>
    </row>
    <row r="1381" spans="1:21" x14ac:dyDescent="0.3">
      <c r="A1381">
        <v>1380</v>
      </c>
      <c r="B1381" t="s">
        <v>1400</v>
      </c>
      <c r="C1381" s="2">
        <v>45352</v>
      </c>
      <c r="D1381" s="2">
        <v>45354</v>
      </c>
      <c r="E1381" t="s">
        <v>1521</v>
      </c>
      <c r="F1381" t="s">
        <v>1597</v>
      </c>
      <c r="G1381" t="s">
        <v>2304</v>
      </c>
      <c r="H1381" t="s">
        <v>2315</v>
      </c>
      <c r="I1381" t="s">
        <v>2317</v>
      </c>
      <c r="J1381" t="s">
        <v>2322</v>
      </c>
      <c r="K1381" t="s">
        <v>2322</v>
      </c>
      <c r="L1381">
        <v>528737</v>
      </c>
      <c r="M1381" t="s">
        <v>2331</v>
      </c>
      <c r="N1381" t="s">
        <v>2737</v>
      </c>
      <c r="O1381" t="s">
        <v>3054</v>
      </c>
      <c r="P1381" t="s">
        <v>3063</v>
      </c>
      <c r="Q1381" t="s">
        <v>3585</v>
      </c>
      <c r="R1381">
        <v>71.069999999999993</v>
      </c>
      <c r="S1381">
        <v>5</v>
      </c>
      <c r="T1381">
        <v>0.15</v>
      </c>
      <c r="U1381">
        <v>14.69</v>
      </c>
    </row>
    <row r="1382" spans="1:21" x14ac:dyDescent="0.3">
      <c r="A1382">
        <v>1381</v>
      </c>
      <c r="B1382" t="s">
        <v>1401</v>
      </c>
      <c r="C1382" s="2">
        <v>45907</v>
      </c>
      <c r="D1382" s="2">
        <v>45911</v>
      </c>
      <c r="E1382" t="s">
        <v>1521</v>
      </c>
      <c r="F1382" t="s">
        <v>1698</v>
      </c>
      <c r="G1382" t="s">
        <v>2230</v>
      </c>
      <c r="H1382" t="s">
        <v>2316</v>
      </c>
      <c r="I1382" t="s">
        <v>2317</v>
      </c>
      <c r="J1382" t="s">
        <v>2326</v>
      </c>
      <c r="K1382" t="s">
        <v>2326</v>
      </c>
      <c r="L1382">
        <v>577038</v>
      </c>
      <c r="M1382" t="s">
        <v>2331</v>
      </c>
      <c r="N1382" t="s">
        <v>2409</v>
      </c>
      <c r="O1382" t="s">
        <v>3054</v>
      </c>
      <c r="P1382" t="s">
        <v>3063</v>
      </c>
      <c r="Q1382" t="s">
        <v>3722</v>
      </c>
      <c r="R1382">
        <v>156.34</v>
      </c>
      <c r="S1382">
        <v>1</v>
      </c>
      <c r="T1382">
        <v>0.3</v>
      </c>
      <c r="U1382">
        <v>16.64</v>
      </c>
    </row>
    <row r="1383" spans="1:21" x14ac:dyDescent="0.3">
      <c r="A1383">
        <v>1382</v>
      </c>
      <c r="B1383" t="s">
        <v>1402</v>
      </c>
      <c r="C1383" s="2">
        <v>45333</v>
      </c>
      <c r="D1383" s="2">
        <v>45336</v>
      </c>
      <c r="E1383" t="s">
        <v>1523</v>
      </c>
      <c r="F1383" t="s">
        <v>1568</v>
      </c>
      <c r="G1383" t="s">
        <v>2160</v>
      </c>
      <c r="H1383" t="s">
        <v>2316</v>
      </c>
      <c r="I1383" t="s">
        <v>2317</v>
      </c>
      <c r="J1383" t="s">
        <v>2326</v>
      </c>
      <c r="K1383" t="s">
        <v>2326</v>
      </c>
      <c r="L1383">
        <v>190930</v>
      </c>
      <c r="M1383" t="s">
        <v>2331</v>
      </c>
      <c r="N1383" t="s">
        <v>3021</v>
      </c>
      <c r="O1383" t="s">
        <v>3054</v>
      </c>
      <c r="P1383" t="s">
        <v>3057</v>
      </c>
      <c r="Q1383" t="s">
        <v>3866</v>
      </c>
      <c r="R1383">
        <v>54.66</v>
      </c>
      <c r="S1383">
        <v>4</v>
      </c>
      <c r="T1383">
        <v>0.15</v>
      </c>
      <c r="U1383">
        <v>25.2</v>
      </c>
    </row>
    <row r="1384" spans="1:21" x14ac:dyDescent="0.3">
      <c r="A1384">
        <v>1383</v>
      </c>
      <c r="B1384" t="s">
        <v>1403</v>
      </c>
      <c r="C1384" s="2">
        <v>45316</v>
      </c>
      <c r="D1384" s="2">
        <v>45318</v>
      </c>
      <c r="E1384" t="s">
        <v>1523</v>
      </c>
      <c r="F1384" t="s">
        <v>1849</v>
      </c>
      <c r="G1384" t="s">
        <v>2037</v>
      </c>
      <c r="H1384" t="s">
        <v>2315</v>
      </c>
      <c r="I1384" t="s">
        <v>2317</v>
      </c>
      <c r="J1384" t="s">
        <v>2327</v>
      </c>
      <c r="K1384" t="s">
        <v>2327</v>
      </c>
      <c r="L1384">
        <v>867839</v>
      </c>
      <c r="M1384" t="s">
        <v>2330</v>
      </c>
      <c r="N1384" t="s">
        <v>3022</v>
      </c>
      <c r="O1384" t="s">
        <v>3053</v>
      </c>
      <c r="P1384" t="s">
        <v>3065</v>
      </c>
      <c r="Q1384" t="s">
        <v>3591</v>
      </c>
      <c r="R1384">
        <v>536.96</v>
      </c>
      <c r="S1384">
        <v>7</v>
      </c>
      <c r="T1384">
        <v>0.1</v>
      </c>
      <c r="U1384">
        <v>-2.19</v>
      </c>
    </row>
    <row r="1385" spans="1:21" x14ac:dyDescent="0.3">
      <c r="A1385">
        <v>1384</v>
      </c>
      <c r="B1385" t="s">
        <v>1404</v>
      </c>
      <c r="C1385" s="2">
        <v>45330</v>
      </c>
      <c r="D1385" s="2">
        <v>45335</v>
      </c>
      <c r="E1385" t="s">
        <v>1521</v>
      </c>
      <c r="F1385" t="s">
        <v>1554</v>
      </c>
      <c r="G1385" t="s">
        <v>2239</v>
      </c>
      <c r="H1385" t="s">
        <v>2314</v>
      </c>
      <c r="I1385" t="s">
        <v>2317</v>
      </c>
      <c r="J1385" t="s">
        <v>2321</v>
      </c>
      <c r="K1385" t="s">
        <v>2321</v>
      </c>
      <c r="L1385">
        <v>801916</v>
      </c>
      <c r="M1385" t="s">
        <v>2329</v>
      </c>
      <c r="N1385" t="s">
        <v>3023</v>
      </c>
      <c r="O1385" t="s">
        <v>3054</v>
      </c>
      <c r="P1385" t="s">
        <v>3058</v>
      </c>
      <c r="Q1385" t="s">
        <v>3378</v>
      </c>
      <c r="R1385">
        <v>199.12</v>
      </c>
      <c r="S1385">
        <v>9</v>
      </c>
      <c r="T1385">
        <v>0.2</v>
      </c>
      <c r="U1385">
        <v>5.33</v>
      </c>
    </row>
    <row r="1386" spans="1:21" x14ac:dyDescent="0.3">
      <c r="A1386">
        <v>1385</v>
      </c>
      <c r="B1386" t="s">
        <v>1405</v>
      </c>
      <c r="C1386" s="2">
        <v>45422</v>
      </c>
      <c r="D1386" s="2">
        <v>45424</v>
      </c>
      <c r="E1386" t="s">
        <v>1521</v>
      </c>
      <c r="F1386" t="s">
        <v>1808</v>
      </c>
      <c r="G1386" t="s">
        <v>2103</v>
      </c>
      <c r="H1386" t="s">
        <v>2315</v>
      </c>
      <c r="I1386" t="s">
        <v>2317</v>
      </c>
      <c r="J1386" t="s">
        <v>2321</v>
      </c>
      <c r="K1386" t="s">
        <v>2321</v>
      </c>
      <c r="L1386">
        <v>523959</v>
      </c>
      <c r="M1386" t="s">
        <v>2329</v>
      </c>
      <c r="N1386" t="s">
        <v>3024</v>
      </c>
      <c r="O1386" t="s">
        <v>3054</v>
      </c>
      <c r="P1386" t="s">
        <v>3058</v>
      </c>
      <c r="Q1386" t="s">
        <v>3485</v>
      </c>
      <c r="R1386">
        <v>143.84</v>
      </c>
      <c r="S1386">
        <v>4</v>
      </c>
      <c r="T1386">
        <v>0.15</v>
      </c>
      <c r="U1386">
        <v>21.56</v>
      </c>
    </row>
    <row r="1387" spans="1:21" x14ac:dyDescent="0.3">
      <c r="A1387">
        <v>1386</v>
      </c>
      <c r="B1387" t="s">
        <v>1406</v>
      </c>
      <c r="C1387" s="2">
        <v>45789</v>
      </c>
      <c r="D1387" s="2">
        <v>45791</v>
      </c>
      <c r="E1387" t="s">
        <v>1524</v>
      </c>
      <c r="F1387" t="s">
        <v>1911</v>
      </c>
      <c r="G1387" t="s">
        <v>2035</v>
      </c>
      <c r="H1387" t="s">
        <v>2314</v>
      </c>
      <c r="I1387" t="s">
        <v>2317</v>
      </c>
      <c r="J1387" t="s">
        <v>2325</v>
      </c>
      <c r="K1387" t="s">
        <v>2325</v>
      </c>
      <c r="L1387">
        <v>321714</v>
      </c>
      <c r="M1387" t="s">
        <v>2332</v>
      </c>
      <c r="N1387" t="s">
        <v>2936</v>
      </c>
      <c r="O1387" t="s">
        <v>3053</v>
      </c>
      <c r="P1387" t="s">
        <v>3056</v>
      </c>
      <c r="Q1387" t="s">
        <v>3116</v>
      </c>
      <c r="R1387">
        <v>461.24</v>
      </c>
      <c r="S1387">
        <v>9</v>
      </c>
      <c r="T1387">
        <v>0.4</v>
      </c>
      <c r="U1387">
        <v>-106.38</v>
      </c>
    </row>
    <row r="1388" spans="1:21" x14ac:dyDescent="0.3">
      <c r="A1388">
        <v>1387</v>
      </c>
      <c r="B1388" t="s">
        <v>1407</v>
      </c>
      <c r="C1388" s="2">
        <v>45520</v>
      </c>
      <c r="D1388" s="2">
        <v>45525</v>
      </c>
      <c r="E1388" t="s">
        <v>1522</v>
      </c>
      <c r="F1388" t="s">
        <v>1552</v>
      </c>
      <c r="G1388" t="s">
        <v>2247</v>
      </c>
      <c r="H1388" t="s">
        <v>2315</v>
      </c>
      <c r="I1388" t="s">
        <v>2317</v>
      </c>
      <c r="J1388" t="s">
        <v>2324</v>
      </c>
      <c r="K1388" t="s">
        <v>2324</v>
      </c>
      <c r="L1388">
        <v>985922</v>
      </c>
      <c r="M1388" t="s">
        <v>2330</v>
      </c>
      <c r="N1388" t="s">
        <v>2557</v>
      </c>
      <c r="O1388" t="s">
        <v>3054</v>
      </c>
      <c r="P1388" t="s">
        <v>3063</v>
      </c>
      <c r="Q1388" t="s">
        <v>3779</v>
      </c>
      <c r="R1388">
        <v>15.25</v>
      </c>
      <c r="S1388">
        <v>5</v>
      </c>
      <c r="T1388">
        <v>0</v>
      </c>
      <c r="U1388">
        <v>12.4</v>
      </c>
    </row>
    <row r="1389" spans="1:21" x14ac:dyDescent="0.3">
      <c r="A1389">
        <v>1388</v>
      </c>
      <c r="B1389" t="s">
        <v>1408</v>
      </c>
      <c r="C1389" s="2">
        <v>45399</v>
      </c>
      <c r="D1389" s="2">
        <v>45404</v>
      </c>
      <c r="E1389" t="s">
        <v>1523</v>
      </c>
      <c r="F1389" t="s">
        <v>1833</v>
      </c>
      <c r="G1389" t="s">
        <v>2311</v>
      </c>
      <c r="H1389" t="s">
        <v>2315</v>
      </c>
      <c r="I1389" t="s">
        <v>2317</v>
      </c>
      <c r="J1389" t="s">
        <v>2318</v>
      </c>
      <c r="K1389" t="s">
        <v>2318</v>
      </c>
      <c r="L1389">
        <v>538687</v>
      </c>
      <c r="M1389" t="s">
        <v>2328</v>
      </c>
      <c r="N1389" t="s">
        <v>2586</v>
      </c>
      <c r="O1389" t="s">
        <v>3053</v>
      </c>
      <c r="P1389" t="s">
        <v>3065</v>
      </c>
      <c r="Q1389" t="s">
        <v>3867</v>
      </c>
      <c r="R1389">
        <v>346.35</v>
      </c>
      <c r="S1389">
        <v>9</v>
      </c>
      <c r="T1389">
        <v>0.2</v>
      </c>
      <c r="U1389">
        <v>18.739999999999998</v>
      </c>
    </row>
    <row r="1390" spans="1:21" x14ac:dyDescent="0.3">
      <c r="A1390">
        <v>1389</v>
      </c>
      <c r="B1390" t="s">
        <v>1409</v>
      </c>
      <c r="C1390" s="2">
        <v>45463</v>
      </c>
      <c r="D1390" s="2">
        <v>45468</v>
      </c>
      <c r="E1390" t="s">
        <v>1524</v>
      </c>
      <c r="F1390" t="s">
        <v>1718</v>
      </c>
      <c r="G1390" t="s">
        <v>1966</v>
      </c>
      <c r="H1390" t="s">
        <v>2314</v>
      </c>
      <c r="I1390" t="s">
        <v>2317</v>
      </c>
      <c r="J1390" t="s">
        <v>2322</v>
      </c>
      <c r="K1390" t="s">
        <v>2322</v>
      </c>
      <c r="L1390">
        <v>190721</v>
      </c>
      <c r="M1390" t="s">
        <v>2331</v>
      </c>
      <c r="N1390" t="s">
        <v>2765</v>
      </c>
      <c r="O1390" t="s">
        <v>3054</v>
      </c>
      <c r="P1390" t="s">
        <v>3064</v>
      </c>
      <c r="Q1390" t="s">
        <v>3868</v>
      </c>
      <c r="R1390">
        <v>51.82</v>
      </c>
      <c r="S1390">
        <v>7</v>
      </c>
      <c r="T1390">
        <v>0.2</v>
      </c>
      <c r="U1390">
        <v>34.44</v>
      </c>
    </row>
    <row r="1391" spans="1:21" x14ac:dyDescent="0.3">
      <c r="A1391">
        <v>1390</v>
      </c>
      <c r="B1391" t="s">
        <v>1410</v>
      </c>
      <c r="C1391" s="2">
        <v>45726</v>
      </c>
      <c r="D1391" s="2">
        <v>45729</v>
      </c>
      <c r="E1391" t="s">
        <v>1522</v>
      </c>
      <c r="F1391" t="s">
        <v>1900</v>
      </c>
      <c r="G1391" t="s">
        <v>2176</v>
      </c>
      <c r="H1391" t="s">
        <v>2314</v>
      </c>
      <c r="I1391" t="s">
        <v>2317</v>
      </c>
      <c r="J1391" t="s">
        <v>2319</v>
      </c>
      <c r="K1391" t="s">
        <v>2319</v>
      </c>
      <c r="L1391">
        <v>294549</v>
      </c>
      <c r="M1391" t="s">
        <v>2329</v>
      </c>
      <c r="N1391" t="s">
        <v>3025</v>
      </c>
      <c r="O1391" t="s">
        <v>3054</v>
      </c>
      <c r="P1391" t="s">
        <v>3057</v>
      </c>
      <c r="Q1391" t="s">
        <v>3207</v>
      </c>
      <c r="R1391">
        <v>135.72</v>
      </c>
      <c r="S1391">
        <v>2</v>
      </c>
      <c r="T1391">
        <v>0.15</v>
      </c>
      <c r="U1391">
        <v>20.12</v>
      </c>
    </row>
    <row r="1392" spans="1:21" x14ac:dyDescent="0.3">
      <c r="A1392">
        <v>1391</v>
      </c>
      <c r="B1392" t="s">
        <v>1411</v>
      </c>
      <c r="C1392" s="2">
        <v>45769</v>
      </c>
      <c r="D1392" s="2">
        <v>45770</v>
      </c>
      <c r="E1392" t="s">
        <v>1523</v>
      </c>
      <c r="F1392" t="s">
        <v>1659</v>
      </c>
      <c r="G1392" t="s">
        <v>2161</v>
      </c>
      <c r="H1392" t="s">
        <v>2316</v>
      </c>
      <c r="I1392" t="s">
        <v>2317</v>
      </c>
      <c r="J1392" t="s">
        <v>2321</v>
      </c>
      <c r="K1392" t="s">
        <v>2321</v>
      </c>
      <c r="L1392">
        <v>146257</v>
      </c>
      <c r="M1392" t="s">
        <v>2329</v>
      </c>
      <c r="N1392" t="s">
        <v>2916</v>
      </c>
      <c r="O1392" t="s">
        <v>3055</v>
      </c>
      <c r="P1392" t="s">
        <v>3061</v>
      </c>
      <c r="Q1392" t="s">
        <v>3083</v>
      </c>
      <c r="R1392">
        <v>313.41000000000003</v>
      </c>
      <c r="S1392">
        <v>6</v>
      </c>
      <c r="T1392">
        <v>0.1</v>
      </c>
      <c r="U1392">
        <v>41.95</v>
      </c>
    </row>
    <row r="1393" spans="1:21" x14ac:dyDescent="0.3">
      <c r="A1393">
        <v>1392</v>
      </c>
      <c r="B1393" t="s">
        <v>1412</v>
      </c>
      <c r="C1393" s="2">
        <v>45393</v>
      </c>
      <c r="D1393" s="2">
        <v>45397</v>
      </c>
      <c r="E1393" t="s">
        <v>1524</v>
      </c>
      <c r="F1393" t="s">
        <v>1873</v>
      </c>
      <c r="G1393" t="s">
        <v>2013</v>
      </c>
      <c r="H1393" t="s">
        <v>2314</v>
      </c>
      <c r="I1393" t="s">
        <v>2317</v>
      </c>
      <c r="J1393" t="s">
        <v>2325</v>
      </c>
      <c r="K1393" t="s">
        <v>2325</v>
      </c>
      <c r="L1393">
        <v>139214</v>
      </c>
      <c r="M1393" t="s">
        <v>2332</v>
      </c>
      <c r="N1393" t="s">
        <v>2828</v>
      </c>
      <c r="O1393" t="s">
        <v>3054</v>
      </c>
      <c r="P1393" t="s">
        <v>3063</v>
      </c>
      <c r="Q1393" t="s">
        <v>3628</v>
      </c>
      <c r="R1393">
        <v>282.33999999999997</v>
      </c>
      <c r="S1393">
        <v>8</v>
      </c>
      <c r="T1393">
        <v>0.1</v>
      </c>
      <c r="U1393">
        <v>53.85</v>
      </c>
    </row>
    <row r="1394" spans="1:21" x14ac:dyDescent="0.3">
      <c r="A1394">
        <v>1393</v>
      </c>
      <c r="B1394" t="s">
        <v>1413</v>
      </c>
      <c r="C1394" s="2">
        <v>45815</v>
      </c>
      <c r="D1394" s="2">
        <v>45819</v>
      </c>
      <c r="E1394" t="s">
        <v>1522</v>
      </c>
      <c r="F1394" t="s">
        <v>1897</v>
      </c>
      <c r="G1394" t="s">
        <v>1931</v>
      </c>
      <c r="H1394" t="s">
        <v>2314</v>
      </c>
      <c r="I1394" t="s">
        <v>2317</v>
      </c>
      <c r="J1394" t="s">
        <v>2325</v>
      </c>
      <c r="K1394" t="s">
        <v>2325</v>
      </c>
      <c r="L1394">
        <v>420595</v>
      </c>
      <c r="M1394" t="s">
        <v>2332</v>
      </c>
      <c r="N1394" t="s">
        <v>2375</v>
      </c>
      <c r="O1394" t="s">
        <v>3055</v>
      </c>
      <c r="P1394" t="s">
        <v>3059</v>
      </c>
      <c r="Q1394" t="s">
        <v>3681</v>
      </c>
      <c r="R1394">
        <v>2008.5</v>
      </c>
      <c r="S1394">
        <v>8</v>
      </c>
      <c r="T1394">
        <v>0.05</v>
      </c>
      <c r="U1394">
        <v>282.11</v>
      </c>
    </row>
    <row r="1395" spans="1:21" x14ac:dyDescent="0.3">
      <c r="A1395">
        <v>1394</v>
      </c>
      <c r="B1395" t="s">
        <v>1414</v>
      </c>
      <c r="C1395" s="2">
        <v>45566</v>
      </c>
      <c r="D1395" s="2">
        <v>45569</v>
      </c>
      <c r="E1395" t="s">
        <v>1524</v>
      </c>
      <c r="F1395" t="s">
        <v>1710</v>
      </c>
      <c r="G1395" t="s">
        <v>2249</v>
      </c>
      <c r="H1395" t="s">
        <v>2315</v>
      </c>
      <c r="I1395" t="s">
        <v>2317</v>
      </c>
      <c r="J1395" t="s">
        <v>2327</v>
      </c>
      <c r="K1395" t="s">
        <v>2327</v>
      </c>
      <c r="L1395">
        <v>221840</v>
      </c>
      <c r="M1395" t="s">
        <v>2330</v>
      </c>
      <c r="N1395" t="s">
        <v>2488</v>
      </c>
      <c r="O1395" t="s">
        <v>3054</v>
      </c>
      <c r="P1395" t="s">
        <v>3057</v>
      </c>
      <c r="Q1395" t="s">
        <v>3807</v>
      </c>
      <c r="R1395">
        <v>34.479999999999997</v>
      </c>
      <c r="S1395">
        <v>3</v>
      </c>
      <c r="T1395">
        <v>0.15</v>
      </c>
      <c r="U1395">
        <v>39.83</v>
      </c>
    </row>
    <row r="1396" spans="1:21" x14ac:dyDescent="0.3">
      <c r="A1396">
        <v>1395</v>
      </c>
      <c r="B1396" t="s">
        <v>1415</v>
      </c>
      <c r="C1396" s="2">
        <v>45904</v>
      </c>
      <c r="D1396" s="2">
        <v>45907</v>
      </c>
      <c r="E1396" t="s">
        <v>1523</v>
      </c>
      <c r="F1396" t="s">
        <v>1776</v>
      </c>
      <c r="G1396" t="s">
        <v>2160</v>
      </c>
      <c r="H1396" t="s">
        <v>2316</v>
      </c>
      <c r="I1396" t="s">
        <v>2317</v>
      </c>
      <c r="J1396" t="s">
        <v>2322</v>
      </c>
      <c r="K1396" t="s">
        <v>2322</v>
      </c>
      <c r="L1396">
        <v>119734</v>
      </c>
      <c r="M1396" t="s">
        <v>2331</v>
      </c>
      <c r="N1396" t="s">
        <v>2621</v>
      </c>
      <c r="O1396" t="s">
        <v>3053</v>
      </c>
      <c r="P1396" t="s">
        <v>3065</v>
      </c>
      <c r="Q1396" t="s">
        <v>3315</v>
      </c>
      <c r="R1396">
        <v>233.9</v>
      </c>
      <c r="S1396">
        <v>2</v>
      </c>
      <c r="T1396">
        <v>0.2</v>
      </c>
      <c r="U1396">
        <v>10.83</v>
      </c>
    </row>
    <row r="1397" spans="1:21" x14ac:dyDescent="0.3">
      <c r="A1397">
        <v>1396</v>
      </c>
      <c r="B1397" t="s">
        <v>1416</v>
      </c>
      <c r="C1397" s="2">
        <v>45335</v>
      </c>
      <c r="D1397" s="2">
        <v>45337</v>
      </c>
      <c r="E1397" t="s">
        <v>1523</v>
      </c>
      <c r="F1397" t="s">
        <v>1828</v>
      </c>
      <c r="G1397" t="s">
        <v>2291</v>
      </c>
      <c r="H1397" t="s">
        <v>2316</v>
      </c>
      <c r="I1397" t="s">
        <v>2317</v>
      </c>
      <c r="J1397" t="s">
        <v>2323</v>
      </c>
      <c r="K1397" t="s">
        <v>2323</v>
      </c>
      <c r="L1397">
        <v>473705</v>
      </c>
      <c r="M1397" t="s">
        <v>2328</v>
      </c>
      <c r="N1397" t="s">
        <v>2829</v>
      </c>
      <c r="O1397" t="s">
        <v>3054</v>
      </c>
      <c r="P1397" t="s">
        <v>3058</v>
      </c>
      <c r="Q1397" t="s">
        <v>3107</v>
      </c>
      <c r="R1397">
        <v>10</v>
      </c>
      <c r="S1397">
        <v>7</v>
      </c>
      <c r="T1397">
        <v>0</v>
      </c>
      <c r="U1397">
        <v>-19.18</v>
      </c>
    </row>
    <row r="1398" spans="1:21" x14ac:dyDescent="0.3">
      <c r="A1398">
        <v>1397</v>
      </c>
      <c r="B1398" t="s">
        <v>1417</v>
      </c>
      <c r="C1398" s="2">
        <v>45308</v>
      </c>
      <c r="D1398" s="2">
        <v>45310</v>
      </c>
      <c r="E1398" t="s">
        <v>1522</v>
      </c>
      <c r="F1398" t="s">
        <v>1777</v>
      </c>
      <c r="G1398" t="s">
        <v>1992</v>
      </c>
      <c r="H1398" t="s">
        <v>2316</v>
      </c>
      <c r="I1398" t="s">
        <v>2317</v>
      </c>
      <c r="J1398" t="s">
        <v>2318</v>
      </c>
      <c r="K1398" t="s">
        <v>2318</v>
      </c>
      <c r="L1398">
        <v>975495</v>
      </c>
      <c r="M1398" t="s">
        <v>2328</v>
      </c>
      <c r="N1398" t="s">
        <v>2725</v>
      </c>
      <c r="O1398" t="s">
        <v>3055</v>
      </c>
      <c r="P1398" t="s">
        <v>3061</v>
      </c>
      <c r="Q1398" t="s">
        <v>3869</v>
      </c>
      <c r="R1398">
        <v>188.43</v>
      </c>
      <c r="S1398">
        <v>6</v>
      </c>
      <c r="T1398">
        <v>0.15</v>
      </c>
      <c r="U1398">
        <v>50.23</v>
      </c>
    </row>
    <row r="1399" spans="1:21" x14ac:dyDescent="0.3">
      <c r="A1399">
        <v>1398</v>
      </c>
      <c r="B1399" t="s">
        <v>1418</v>
      </c>
      <c r="C1399" s="2">
        <v>45621</v>
      </c>
      <c r="D1399" s="2">
        <v>45625</v>
      </c>
      <c r="E1399" t="s">
        <v>1521</v>
      </c>
      <c r="F1399" t="s">
        <v>1881</v>
      </c>
      <c r="G1399" t="s">
        <v>2312</v>
      </c>
      <c r="H1399" t="s">
        <v>2314</v>
      </c>
      <c r="I1399" t="s">
        <v>2317</v>
      </c>
      <c r="J1399" t="s">
        <v>2324</v>
      </c>
      <c r="K1399" t="s">
        <v>2324</v>
      </c>
      <c r="L1399">
        <v>200804</v>
      </c>
      <c r="M1399" t="s">
        <v>2330</v>
      </c>
      <c r="N1399" t="s">
        <v>2744</v>
      </c>
      <c r="O1399" t="s">
        <v>3054</v>
      </c>
      <c r="P1399" t="s">
        <v>3063</v>
      </c>
      <c r="Q1399" t="s">
        <v>3385</v>
      </c>
      <c r="R1399">
        <v>107.83</v>
      </c>
      <c r="S1399">
        <v>2</v>
      </c>
      <c r="T1399">
        <v>0.05</v>
      </c>
      <c r="U1399">
        <v>-1.58</v>
      </c>
    </row>
    <row r="1400" spans="1:21" x14ac:dyDescent="0.3">
      <c r="A1400">
        <v>1399</v>
      </c>
      <c r="B1400" t="s">
        <v>1419</v>
      </c>
      <c r="C1400" s="2">
        <v>45860</v>
      </c>
      <c r="D1400" s="2">
        <v>45864</v>
      </c>
      <c r="E1400" t="s">
        <v>1523</v>
      </c>
      <c r="F1400" t="s">
        <v>1744</v>
      </c>
      <c r="G1400" t="s">
        <v>1981</v>
      </c>
      <c r="H1400" t="s">
        <v>2315</v>
      </c>
      <c r="I1400" t="s">
        <v>2317</v>
      </c>
      <c r="J1400" t="s">
        <v>2320</v>
      </c>
      <c r="K1400" t="s">
        <v>2320</v>
      </c>
      <c r="L1400">
        <v>746155</v>
      </c>
      <c r="M1400" t="s">
        <v>2330</v>
      </c>
      <c r="N1400" t="s">
        <v>2799</v>
      </c>
      <c r="O1400" t="s">
        <v>3055</v>
      </c>
      <c r="P1400" t="s">
        <v>3061</v>
      </c>
      <c r="Q1400" t="s">
        <v>3870</v>
      </c>
      <c r="R1400">
        <v>1068.92</v>
      </c>
      <c r="S1400">
        <v>9</v>
      </c>
      <c r="T1400">
        <v>0.15</v>
      </c>
      <c r="U1400">
        <v>91.37</v>
      </c>
    </row>
    <row r="1401" spans="1:21" x14ac:dyDescent="0.3">
      <c r="A1401">
        <v>1400</v>
      </c>
      <c r="B1401" t="s">
        <v>1420</v>
      </c>
      <c r="C1401" s="2">
        <v>45788</v>
      </c>
      <c r="D1401" s="2">
        <v>45791</v>
      </c>
      <c r="E1401" t="s">
        <v>1521</v>
      </c>
      <c r="F1401" t="s">
        <v>1832</v>
      </c>
      <c r="G1401" t="s">
        <v>2100</v>
      </c>
      <c r="H1401" t="s">
        <v>2314</v>
      </c>
      <c r="I1401" t="s">
        <v>2317</v>
      </c>
      <c r="J1401" t="s">
        <v>2327</v>
      </c>
      <c r="K1401" t="s">
        <v>2327</v>
      </c>
      <c r="L1401">
        <v>128941</v>
      </c>
      <c r="M1401" t="s">
        <v>2330</v>
      </c>
      <c r="N1401" t="s">
        <v>2958</v>
      </c>
      <c r="O1401" t="s">
        <v>3054</v>
      </c>
      <c r="P1401" t="s">
        <v>3058</v>
      </c>
      <c r="Q1401" t="s">
        <v>3293</v>
      </c>
      <c r="R1401">
        <v>122.12</v>
      </c>
      <c r="S1401">
        <v>3</v>
      </c>
      <c r="T1401">
        <v>0.1</v>
      </c>
      <c r="U1401">
        <v>24.63</v>
      </c>
    </row>
    <row r="1402" spans="1:21" x14ac:dyDescent="0.3">
      <c r="A1402">
        <v>1401</v>
      </c>
      <c r="B1402" t="s">
        <v>1421</v>
      </c>
      <c r="C1402" s="2">
        <v>45303</v>
      </c>
      <c r="D1402" s="2">
        <v>45305</v>
      </c>
      <c r="E1402" t="s">
        <v>1524</v>
      </c>
      <c r="F1402" t="s">
        <v>1826</v>
      </c>
      <c r="G1402" t="s">
        <v>2068</v>
      </c>
      <c r="H1402" t="s">
        <v>2314</v>
      </c>
      <c r="I1402" t="s">
        <v>2317</v>
      </c>
      <c r="J1402" t="s">
        <v>2318</v>
      </c>
      <c r="K1402" t="s">
        <v>2318</v>
      </c>
      <c r="L1402">
        <v>268939</v>
      </c>
      <c r="M1402" t="s">
        <v>2328</v>
      </c>
      <c r="N1402" t="s">
        <v>3026</v>
      </c>
      <c r="O1402" t="s">
        <v>3054</v>
      </c>
      <c r="P1402" t="s">
        <v>3058</v>
      </c>
      <c r="Q1402" t="s">
        <v>3257</v>
      </c>
      <c r="R1402">
        <v>60.52</v>
      </c>
      <c r="S1402">
        <v>3</v>
      </c>
      <c r="T1402">
        <v>0.1</v>
      </c>
      <c r="U1402">
        <v>8.39</v>
      </c>
    </row>
    <row r="1403" spans="1:21" x14ac:dyDescent="0.3">
      <c r="A1403">
        <v>1402</v>
      </c>
      <c r="B1403" t="s">
        <v>1422</v>
      </c>
      <c r="C1403" s="2">
        <v>45609</v>
      </c>
      <c r="D1403" s="2">
        <v>45612</v>
      </c>
      <c r="E1403" t="s">
        <v>1523</v>
      </c>
      <c r="F1403" t="s">
        <v>1745</v>
      </c>
      <c r="G1403" t="s">
        <v>2210</v>
      </c>
      <c r="H1403" t="s">
        <v>2314</v>
      </c>
      <c r="I1403" t="s">
        <v>2317</v>
      </c>
      <c r="J1403" t="s">
        <v>2320</v>
      </c>
      <c r="K1403" t="s">
        <v>2320</v>
      </c>
      <c r="L1403">
        <v>449325</v>
      </c>
      <c r="M1403" t="s">
        <v>2330</v>
      </c>
      <c r="N1403" t="s">
        <v>2806</v>
      </c>
      <c r="O1403" t="s">
        <v>3054</v>
      </c>
      <c r="P1403" t="s">
        <v>3063</v>
      </c>
      <c r="Q1403" t="s">
        <v>3871</v>
      </c>
      <c r="R1403">
        <v>46.57</v>
      </c>
      <c r="S1403">
        <v>2</v>
      </c>
      <c r="T1403">
        <v>0.4</v>
      </c>
      <c r="U1403">
        <v>-24.98</v>
      </c>
    </row>
    <row r="1404" spans="1:21" x14ac:dyDescent="0.3">
      <c r="A1404">
        <v>1403</v>
      </c>
      <c r="B1404" t="s">
        <v>1423</v>
      </c>
      <c r="C1404" s="2">
        <v>45883</v>
      </c>
      <c r="D1404" s="2">
        <v>45888</v>
      </c>
      <c r="E1404" t="s">
        <v>1521</v>
      </c>
      <c r="F1404" t="s">
        <v>1669</v>
      </c>
      <c r="G1404" t="s">
        <v>1972</v>
      </c>
      <c r="H1404" t="s">
        <v>2316</v>
      </c>
      <c r="I1404" t="s">
        <v>2317</v>
      </c>
      <c r="J1404" t="s">
        <v>2320</v>
      </c>
      <c r="K1404" t="s">
        <v>2320</v>
      </c>
      <c r="L1404">
        <v>431885</v>
      </c>
      <c r="M1404" t="s">
        <v>2330</v>
      </c>
      <c r="N1404" t="s">
        <v>3027</v>
      </c>
      <c r="O1404" t="s">
        <v>3054</v>
      </c>
      <c r="P1404" t="s">
        <v>3063</v>
      </c>
      <c r="Q1404" t="s">
        <v>3455</v>
      </c>
      <c r="R1404">
        <v>40.58</v>
      </c>
      <c r="S1404">
        <v>8</v>
      </c>
      <c r="T1404">
        <v>0.2</v>
      </c>
      <c r="U1404">
        <v>24.04</v>
      </c>
    </row>
    <row r="1405" spans="1:21" x14ac:dyDescent="0.3">
      <c r="A1405">
        <v>1404</v>
      </c>
      <c r="B1405" t="s">
        <v>1424</v>
      </c>
      <c r="C1405" s="2">
        <v>45507</v>
      </c>
      <c r="D1405" s="2">
        <v>45511</v>
      </c>
      <c r="E1405" t="s">
        <v>1523</v>
      </c>
      <c r="F1405" t="s">
        <v>1586</v>
      </c>
      <c r="G1405" t="s">
        <v>1951</v>
      </c>
      <c r="H1405" t="s">
        <v>2314</v>
      </c>
      <c r="I1405" t="s">
        <v>2317</v>
      </c>
      <c r="J1405" t="s">
        <v>2322</v>
      </c>
      <c r="K1405" t="s">
        <v>2322</v>
      </c>
      <c r="L1405">
        <v>397555</v>
      </c>
      <c r="M1405" t="s">
        <v>2331</v>
      </c>
      <c r="N1405" t="s">
        <v>2771</v>
      </c>
      <c r="O1405" t="s">
        <v>3054</v>
      </c>
      <c r="P1405" t="s">
        <v>3057</v>
      </c>
      <c r="Q1405" t="s">
        <v>3308</v>
      </c>
      <c r="R1405">
        <v>73.25</v>
      </c>
      <c r="S1405">
        <v>8</v>
      </c>
      <c r="T1405">
        <v>0</v>
      </c>
      <c r="U1405">
        <v>38.51</v>
      </c>
    </row>
    <row r="1406" spans="1:21" x14ac:dyDescent="0.3">
      <c r="A1406">
        <v>1405</v>
      </c>
      <c r="B1406" t="s">
        <v>1425</v>
      </c>
      <c r="C1406" s="2">
        <v>45630</v>
      </c>
      <c r="D1406" s="2">
        <v>45634</v>
      </c>
      <c r="E1406" t="s">
        <v>1524</v>
      </c>
      <c r="F1406" t="s">
        <v>1526</v>
      </c>
      <c r="G1406" t="s">
        <v>2282</v>
      </c>
      <c r="H1406" t="s">
        <v>2316</v>
      </c>
      <c r="I1406" t="s">
        <v>2317</v>
      </c>
      <c r="J1406" t="s">
        <v>2322</v>
      </c>
      <c r="K1406" t="s">
        <v>2322</v>
      </c>
      <c r="L1406">
        <v>832581</v>
      </c>
      <c r="M1406" t="s">
        <v>2331</v>
      </c>
      <c r="N1406" t="s">
        <v>2390</v>
      </c>
      <c r="O1406" t="s">
        <v>3055</v>
      </c>
      <c r="P1406" t="s">
        <v>3059</v>
      </c>
      <c r="Q1406" t="s">
        <v>3872</v>
      </c>
      <c r="R1406">
        <v>434.85</v>
      </c>
      <c r="S1406">
        <v>7</v>
      </c>
      <c r="T1406">
        <v>0.2</v>
      </c>
      <c r="U1406">
        <v>12.24</v>
      </c>
    </row>
    <row r="1407" spans="1:21" x14ac:dyDescent="0.3">
      <c r="A1407">
        <v>1406</v>
      </c>
      <c r="B1407" t="s">
        <v>1426</v>
      </c>
      <c r="C1407" s="2">
        <v>45952</v>
      </c>
      <c r="D1407" s="2">
        <v>45957</v>
      </c>
      <c r="E1407" t="s">
        <v>1523</v>
      </c>
      <c r="F1407" t="s">
        <v>1656</v>
      </c>
      <c r="G1407" t="s">
        <v>2313</v>
      </c>
      <c r="H1407" t="s">
        <v>2316</v>
      </c>
      <c r="I1407" t="s">
        <v>2317</v>
      </c>
      <c r="J1407" t="s">
        <v>2319</v>
      </c>
      <c r="K1407" t="s">
        <v>2319</v>
      </c>
      <c r="L1407">
        <v>299439</v>
      </c>
      <c r="M1407" t="s">
        <v>2329</v>
      </c>
      <c r="N1407" t="s">
        <v>2545</v>
      </c>
      <c r="O1407" t="s">
        <v>3053</v>
      </c>
      <c r="P1407" t="s">
        <v>3066</v>
      </c>
      <c r="Q1407" t="s">
        <v>3873</v>
      </c>
      <c r="R1407">
        <v>129.25</v>
      </c>
      <c r="S1407">
        <v>7</v>
      </c>
      <c r="T1407">
        <v>0.3</v>
      </c>
      <c r="U1407">
        <v>-9.91</v>
      </c>
    </row>
    <row r="1408" spans="1:21" x14ac:dyDescent="0.3">
      <c r="A1408">
        <v>1407</v>
      </c>
      <c r="B1408" t="s">
        <v>1427</v>
      </c>
      <c r="C1408" s="2">
        <v>45372</v>
      </c>
      <c r="D1408" s="2">
        <v>45373</v>
      </c>
      <c r="E1408" t="s">
        <v>1522</v>
      </c>
      <c r="F1408" t="s">
        <v>1525</v>
      </c>
      <c r="G1408" t="s">
        <v>2235</v>
      </c>
      <c r="H1408" t="s">
        <v>2314</v>
      </c>
      <c r="I1408" t="s">
        <v>2317</v>
      </c>
      <c r="J1408" t="s">
        <v>2325</v>
      </c>
      <c r="K1408" t="s">
        <v>2325</v>
      </c>
      <c r="L1408">
        <v>477150</v>
      </c>
      <c r="M1408" t="s">
        <v>2332</v>
      </c>
      <c r="N1408" t="s">
        <v>3028</v>
      </c>
      <c r="O1408" t="s">
        <v>3053</v>
      </c>
      <c r="P1408" t="s">
        <v>3066</v>
      </c>
      <c r="Q1408" t="s">
        <v>3874</v>
      </c>
      <c r="R1408">
        <v>273.83999999999997</v>
      </c>
      <c r="S1408">
        <v>4</v>
      </c>
      <c r="T1408">
        <v>0.1</v>
      </c>
      <c r="U1408">
        <v>42.17</v>
      </c>
    </row>
    <row r="1409" spans="1:21" x14ac:dyDescent="0.3">
      <c r="A1409">
        <v>1408</v>
      </c>
      <c r="B1409" t="s">
        <v>1428</v>
      </c>
      <c r="C1409" s="2">
        <v>46018</v>
      </c>
      <c r="D1409" s="2">
        <v>46022</v>
      </c>
      <c r="E1409" t="s">
        <v>1522</v>
      </c>
      <c r="F1409" t="s">
        <v>1843</v>
      </c>
      <c r="G1409" t="s">
        <v>2104</v>
      </c>
      <c r="H1409" t="s">
        <v>2316</v>
      </c>
      <c r="I1409" t="s">
        <v>2317</v>
      </c>
      <c r="J1409" t="s">
        <v>2318</v>
      </c>
      <c r="K1409" t="s">
        <v>2318</v>
      </c>
      <c r="L1409">
        <v>903063</v>
      </c>
      <c r="M1409" t="s">
        <v>2328</v>
      </c>
      <c r="N1409" t="s">
        <v>3029</v>
      </c>
      <c r="O1409" t="s">
        <v>3054</v>
      </c>
      <c r="P1409" t="s">
        <v>3063</v>
      </c>
      <c r="Q1409" t="s">
        <v>3387</v>
      </c>
      <c r="R1409">
        <v>136.62</v>
      </c>
      <c r="S1409">
        <v>4</v>
      </c>
      <c r="T1409">
        <v>0.1</v>
      </c>
      <c r="U1409">
        <v>13.07</v>
      </c>
    </row>
    <row r="1410" spans="1:21" x14ac:dyDescent="0.3">
      <c r="A1410">
        <v>1409</v>
      </c>
      <c r="B1410" t="s">
        <v>1429</v>
      </c>
      <c r="C1410" s="2">
        <v>45776</v>
      </c>
      <c r="D1410" s="2">
        <v>45781</v>
      </c>
      <c r="E1410" t="s">
        <v>1522</v>
      </c>
      <c r="F1410" t="s">
        <v>1813</v>
      </c>
      <c r="G1410" t="s">
        <v>1969</v>
      </c>
      <c r="H1410" t="s">
        <v>2314</v>
      </c>
      <c r="I1410" t="s">
        <v>2317</v>
      </c>
      <c r="J1410" t="s">
        <v>2327</v>
      </c>
      <c r="K1410" t="s">
        <v>2327</v>
      </c>
      <c r="L1410">
        <v>439879</v>
      </c>
      <c r="M1410" t="s">
        <v>2330</v>
      </c>
      <c r="N1410" t="s">
        <v>2606</v>
      </c>
      <c r="O1410" t="s">
        <v>3054</v>
      </c>
      <c r="P1410" t="s">
        <v>3063</v>
      </c>
      <c r="Q1410" t="s">
        <v>3117</v>
      </c>
      <c r="R1410">
        <v>239.35</v>
      </c>
      <c r="S1410">
        <v>4</v>
      </c>
      <c r="T1410">
        <v>0</v>
      </c>
      <c r="U1410">
        <v>103.37</v>
      </c>
    </row>
    <row r="1411" spans="1:21" x14ac:dyDescent="0.3">
      <c r="A1411">
        <v>1410</v>
      </c>
      <c r="B1411" t="s">
        <v>1430</v>
      </c>
      <c r="C1411" s="2">
        <v>45665</v>
      </c>
      <c r="D1411" s="2">
        <v>45667</v>
      </c>
      <c r="E1411" t="s">
        <v>1523</v>
      </c>
      <c r="F1411" t="s">
        <v>1774</v>
      </c>
      <c r="G1411" t="s">
        <v>1978</v>
      </c>
      <c r="H1411" t="s">
        <v>2314</v>
      </c>
      <c r="I1411" t="s">
        <v>2317</v>
      </c>
      <c r="J1411" t="s">
        <v>2326</v>
      </c>
      <c r="K1411" t="s">
        <v>2326</v>
      </c>
      <c r="L1411">
        <v>255801</v>
      </c>
      <c r="M1411" t="s">
        <v>2331</v>
      </c>
      <c r="N1411" t="s">
        <v>3030</v>
      </c>
      <c r="O1411" t="s">
        <v>3055</v>
      </c>
      <c r="P1411" t="s">
        <v>3061</v>
      </c>
      <c r="Q1411" t="s">
        <v>3105</v>
      </c>
      <c r="R1411">
        <v>324.19</v>
      </c>
      <c r="S1411">
        <v>4</v>
      </c>
      <c r="T1411">
        <v>0.15</v>
      </c>
      <c r="U1411">
        <v>13.91</v>
      </c>
    </row>
    <row r="1412" spans="1:21" x14ac:dyDescent="0.3">
      <c r="A1412">
        <v>1411</v>
      </c>
      <c r="B1412" t="s">
        <v>1431</v>
      </c>
      <c r="C1412" s="2">
        <v>46001</v>
      </c>
      <c r="D1412" s="2">
        <v>46003</v>
      </c>
      <c r="E1412" t="s">
        <v>1521</v>
      </c>
      <c r="F1412" t="s">
        <v>1839</v>
      </c>
      <c r="G1412" t="s">
        <v>2093</v>
      </c>
      <c r="H1412" t="s">
        <v>2316</v>
      </c>
      <c r="I1412" t="s">
        <v>2317</v>
      </c>
      <c r="J1412" t="s">
        <v>2327</v>
      </c>
      <c r="K1412" t="s">
        <v>2327</v>
      </c>
      <c r="L1412">
        <v>740999</v>
      </c>
      <c r="M1412" t="s">
        <v>2330</v>
      </c>
      <c r="N1412" t="s">
        <v>3031</v>
      </c>
      <c r="O1412" t="s">
        <v>3054</v>
      </c>
      <c r="P1412" t="s">
        <v>3058</v>
      </c>
      <c r="Q1412" t="s">
        <v>3485</v>
      </c>
      <c r="R1412">
        <v>81.430000000000007</v>
      </c>
      <c r="S1412">
        <v>2</v>
      </c>
      <c r="T1412">
        <v>0.1</v>
      </c>
      <c r="U1412">
        <v>-5.35</v>
      </c>
    </row>
    <row r="1413" spans="1:21" x14ac:dyDescent="0.3">
      <c r="A1413">
        <v>1412</v>
      </c>
      <c r="B1413" t="s">
        <v>1432</v>
      </c>
      <c r="C1413" s="2">
        <v>45491</v>
      </c>
      <c r="D1413" s="2">
        <v>45493</v>
      </c>
      <c r="E1413" t="s">
        <v>1522</v>
      </c>
      <c r="F1413" t="s">
        <v>1599</v>
      </c>
      <c r="G1413" t="s">
        <v>2240</v>
      </c>
      <c r="H1413" t="s">
        <v>2316</v>
      </c>
      <c r="I1413" t="s">
        <v>2317</v>
      </c>
      <c r="J1413" t="s">
        <v>2319</v>
      </c>
      <c r="K1413" t="s">
        <v>2319</v>
      </c>
      <c r="L1413">
        <v>415795</v>
      </c>
      <c r="M1413" t="s">
        <v>2329</v>
      </c>
      <c r="N1413" t="s">
        <v>2558</v>
      </c>
      <c r="O1413" t="s">
        <v>3054</v>
      </c>
      <c r="P1413" t="s">
        <v>3064</v>
      </c>
      <c r="Q1413" t="s">
        <v>3134</v>
      </c>
      <c r="R1413">
        <v>115.99</v>
      </c>
      <c r="S1413">
        <v>5</v>
      </c>
      <c r="T1413">
        <v>0.1</v>
      </c>
      <c r="U1413">
        <v>49.19</v>
      </c>
    </row>
    <row r="1414" spans="1:21" x14ac:dyDescent="0.3">
      <c r="A1414">
        <v>1413</v>
      </c>
      <c r="B1414" t="s">
        <v>1433</v>
      </c>
      <c r="C1414" s="2">
        <v>45828</v>
      </c>
      <c r="D1414" s="2">
        <v>45831</v>
      </c>
      <c r="E1414" t="s">
        <v>1523</v>
      </c>
      <c r="F1414" t="s">
        <v>1832</v>
      </c>
      <c r="G1414" t="s">
        <v>2189</v>
      </c>
      <c r="H1414" t="s">
        <v>2315</v>
      </c>
      <c r="I1414" t="s">
        <v>2317</v>
      </c>
      <c r="J1414" t="s">
        <v>2324</v>
      </c>
      <c r="K1414" t="s">
        <v>2324</v>
      </c>
      <c r="L1414">
        <v>775109</v>
      </c>
      <c r="M1414" t="s">
        <v>2330</v>
      </c>
      <c r="N1414" t="s">
        <v>2505</v>
      </c>
      <c r="O1414" t="s">
        <v>3054</v>
      </c>
      <c r="P1414" t="s">
        <v>3064</v>
      </c>
      <c r="Q1414" t="s">
        <v>3685</v>
      </c>
      <c r="R1414">
        <v>125.2</v>
      </c>
      <c r="S1414">
        <v>8</v>
      </c>
      <c r="T1414">
        <v>0.1</v>
      </c>
      <c r="U1414">
        <v>37.119999999999997</v>
      </c>
    </row>
    <row r="1415" spans="1:21" x14ac:dyDescent="0.3">
      <c r="A1415">
        <v>1414</v>
      </c>
      <c r="B1415" t="s">
        <v>1434</v>
      </c>
      <c r="C1415" s="2">
        <v>45757</v>
      </c>
      <c r="D1415" s="2">
        <v>45761</v>
      </c>
      <c r="E1415" t="s">
        <v>1523</v>
      </c>
      <c r="F1415" t="s">
        <v>1830</v>
      </c>
      <c r="G1415" t="s">
        <v>1946</v>
      </c>
      <c r="H1415" t="s">
        <v>2315</v>
      </c>
      <c r="I1415" t="s">
        <v>2317</v>
      </c>
      <c r="J1415" t="s">
        <v>2325</v>
      </c>
      <c r="K1415" t="s">
        <v>2325</v>
      </c>
      <c r="L1415">
        <v>501295</v>
      </c>
      <c r="M1415" t="s">
        <v>2332</v>
      </c>
      <c r="N1415" t="s">
        <v>3032</v>
      </c>
      <c r="O1415" t="s">
        <v>3055</v>
      </c>
      <c r="P1415" t="s">
        <v>3059</v>
      </c>
      <c r="Q1415" t="s">
        <v>3875</v>
      </c>
      <c r="R1415">
        <v>1642.97</v>
      </c>
      <c r="S1415">
        <v>8</v>
      </c>
      <c r="T1415">
        <v>0.15</v>
      </c>
      <c r="U1415">
        <v>125.51</v>
      </c>
    </row>
    <row r="1416" spans="1:21" x14ac:dyDescent="0.3">
      <c r="A1416">
        <v>1415</v>
      </c>
      <c r="B1416" t="s">
        <v>1435</v>
      </c>
      <c r="C1416" s="2">
        <v>45380</v>
      </c>
      <c r="D1416" s="2">
        <v>45382</v>
      </c>
      <c r="E1416" t="s">
        <v>1522</v>
      </c>
      <c r="F1416" t="s">
        <v>1722</v>
      </c>
      <c r="G1416" t="s">
        <v>1942</v>
      </c>
      <c r="H1416" t="s">
        <v>2315</v>
      </c>
      <c r="I1416" t="s">
        <v>2317</v>
      </c>
      <c r="J1416" t="s">
        <v>2326</v>
      </c>
      <c r="K1416" t="s">
        <v>2326</v>
      </c>
      <c r="L1416">
        <v>346635</v>
      </c>
      <c r="M1416" t="s">
        <v>2331</v>
      </c>
      <c r="N1416" t="s">
        <v>2790</v>
      </c>
      <c r="O1416" t="s">
        <v>3055</v>
      </c>
      <c r="P1416" t="s">
        <v>3060</v>
      </c>
      <c r="Q1416" t="s">
        <v>3590</v>
      </c>
      <c r="R1416">
        <v>187.41</v>
      </c>
      <c r="S1416">
        <v>7</v>
      </c>
      <c r="T1416">
        <v>0.3</v>
      </c>
      <c r="U1416">
        <v>-16.32</v>
      </c>
    </row>
    <row r="1417" spans="1:21" x14ac:dyDescent="0.3">
      <c r="A1417">
        <v>1416</v>
      </c>
      <c r="B1417" t="s">
        <v>1436</v>
      </c>
      <c r="C1417" s="2">
        <v>45559</v>
      </c>
      <c r="D1417" s="2">
        <v>45565</v>
      </c>
      <c r="E1417" t="s">
        <v>1523</v>
      </c>
      <c r="F1417" t="s">
        <v>1911</v>
      </c>
      <c r="G1417" t="s">
        <v>2150</v>
      </c>
      <c r="H1417" t="s">
        <v>2314</v>
      </c>
      <c r="I1417" t="s">
        <v>2317</v>
      </c>
      <c r="J1417" t="s">
        <v>2321</v>
      </c>
      <c r="K1417" t="s">
        <v>2321</v>
      </c>
      <c r="L1417">
        <v>479015</v>
      </c>
      <c r="M1417" t="s">
        <v>2329</v>
      </c>
      <c r="N1417" t="s">
        <v>2471</v>
      </c>
      <c r="O1417" t="s">
        <v>3053</v>
      </c>
      <c r="P1417" t="s">
        <v>3065</v>
      </c>
      <c r="Q1417" t="s">
        <v>3876</v>
      </c>
      <c r="R1417">
        <v>342.32</v>
      </c>
      <c r="S1417">
        <v>7</v>
      </c>
      <c r="T1417">
        <v>0.15</v>
      </c>
      <c r="U1417">
        <v>35.85</v>
      </c>
    </row>
    <row r="1418" spans="1:21" x14ac:dyDescent="0.3">
      <c r="A1418">
        <v>1417</v>
      </c>
      <c r="B1418" t="s">
        <v>1437</v>
      </c>
      <c r="C1418" s="2">
        <v>45946</v>
      </c>
      <c r="D1418" s="2">
        <v>45949</v>
      </c>
      <c r="E1418" t="s">
        <v>1521</v>
      </c>
      <c r="F1418" t="s">
        <v>1874</v>
      </c>
      <c r="G1418" t="s">
        <v>2009</v>
      </c>
      <c r="H1418" t="s">
        <v>2314</v>
      </c>
      <c r="I1418" t="s">
        <v>2317</v>
      </c>
      <c r="J1418" t="s">
        <v>2324</v>
      </c>
      <c r="K1418" t="s">
        <v>2324</v>
      </c>
      <c r="L1418">
        <v>236365</v>
      </c>
      <c r="M1418" t="s">
        <v>2330</v>
      </c>
      <c r="N1418" t="s">
        <v>2517</v>
      </c>
      <c r="O1418" t="s">
        <v>3054</v>
      </c>
      <c r="P1418" t="s">
        <v>3057</v>
      </c>
      <c r="Q1418" t="s">
        <v>3563</v>
      </c>
      <c r="R1418">
        <v>257.37</v>
      </c>
      <c r="S1418">
        <v>1</v>
      </c>
      <c r="T1418">
        <v>0.15</v>
      </c>
      <c r="U1418">
        <v>9.18</v>
      </c>
    </row>
    <row r="1419" spans="1:21" x14ac:dyDescent="0.3">
      <c r="A1419">
        <v>1418</v>
      </c>
      <c r="B1419" t="s">
        <v>1438</v>
      </c>
      <c r="C1419" s="2">
        <v>45862</v>
      </c>
      <c r="D1419" s="2">
        <v>45865</v>
      </c>
      <c r="E1419" t="s">
        <v>1522</v>
      </c>
      <c r="F1419" t="s">
        <v>1763</v>
      </c>
      <c r="G1419" t="s">
        <v>2167</v>
      </c>
      <c r="H1419" t="s">
        <v>2314</v>
      </c>
      <c r="I1419" t="s">
        <v>2317</v>
      </c>
      <c r="J1419" t="s">
        <v>2322</v>
      </c>
      <c r="K1419" t="s">
        <v>2322</v>
      </c>
      <c r="L1419">
        <v>107076</v>
      </c>
      <c r="M1419" t="s">
        <v>2331</v>
      </c>
      <c r="N1419" t="s">
        <v>3033</v>
      </c>
      <c r="O1419" t="s">
        <v>3055</v>
      </c>
      <c r="P1419" t="s">
        <v>3060</v>
      </c>
      <c r="Q1419" t="s">
        <v>3678</v>
      </c>
      <c r="R1419">
        <v>378.19</v>
      </c>
      <c r="S1419">
        <v>2</v>
      </c>
      <c r="T1419">
        <v>0.15</v>
      </c>
      <c r="U1419">
        <v>28.71</v>
      </c>
    </row>
    <row r="1420" spans="1:21" x14ac:dyDescent="0.3">
      <c r="A1420">
        <v>1419</v>
      </c>
      <c r="B1420" t="s">
        <v>1439</v>
      </c>
      <c r="C1420" s="2">
        <v>45780</v>
      </c>
      <c r="D1420" s="2">
        <v>45782</v>
      </c>
      <c r="E1420" t="s">
        <v>1521</v>
      </c>
      <c r="F1420" t="s">
        <v>1710</v>
      </c>
      <c r="G1420" t="s">
        <v>2272</v>
      </c>
      <c r="H1420" t="s">
        <v>2314</v>
      </c>
      <c r="I1420" t="s">
        <v>2317</v>
      </c>
      <c r="J1420" t="s">
        <v>2320</v>
      </c>
      <c r="K1420" t="s">
        <v>2320</v>
      </c>
      <c r="L1420">
        <v>994457</v>
      </c>
      <c r="M1420" t="s">
        <v>2330</v>
      </c>
      <c r="N1420" t="s">
        <v>2473</v>
      </c>
      <c r="O1420" t="s">
        <v>3053</v>
      </c>
      <c r="P1420" t="s">
        <v>3062</v>
      </c>
      <c r="Q1420" t="s">
        <v>3716</v>
      </c>
      <c r="R1420">
        <v>934.5</v>
      </c>
      <c r="S1420">
        <v>1</v>
      </c>
      <c r="T1420">
        <v>0.15</v>
      </c>
      <c r="U1420">
        <v>12.91</v>
      </c>
    </row>
    <row r="1421" spans="1:21" x14ac:dyDescent="0.3">
      <c r="A1421">
        <v>1420</v>
      </c>
      <c r="B1421" t="s">
        <v>1440</v>
      </c>
      <c r="C1421" s="2">
        <v>45829</v>
      </c>
      <c r="D1421" s="2">
        <v>45832</v>
      </c>
      <c r="E1421" t="s">
        <v>1523</v>
      </c>
      <c r="F1421" t="s">
        <v>1582</v>
      </c>
      <c r="G1421" t="s">
        <v>2094</v>
      </c>
      <c r="H1421" t="s">
        <v>2315</v>
      </c>
      <c r="I1421" t="s">
        <v>2317</v>
      </c>
      <c r="J1421" t="s">
        <v>2321</v>
      </c>
      <c r="K1421" t="s">
        <v>2321</v>
      </c>
      <c r="L1421">
        <v>428547</v>
      </c>
      <c r="M1421" t="s">
        <v>2329</v>
      </c>
      <c r="N1421" t="s">
        <v>3034</v>
      </c>
      <c r="O1421" t="s">
        <v>3054</v>
      </c>
      <c r="P1421" t="s">
        <v>3057</v>
      </c>
      <c r="Q1421" t="s">
        <v>3877</v>
      </c>
      <c r="R1421">
        <v>58.69</v>
      </c>
      <c r="S1421">
        <v>3</v>
      </c>
      <c r="T1421">
        <v>0.05</v>
      </c>
      <c r="U1421">
        <v>36.71</v>
      </c>
    </row>
    <row r="1422" spans="1:21" x14ac:dyDescent="0.3">
      <c r="A1422">
        <v>1421</v>
      </c>
      <c r="B1422" t="s">
        <v>1441</v>
      </c>
      <c r="C1422" s="2">
        <v>45338</v>
      </c>
      <c r="D1422" s="2">
        <v>45341</v>
      </c>
      <c r="E1422" t="s">
        <v>1523</v>
      </c>
      <c r="F1422" t="s">
        <v>1845</v>
      </c>
      <c r="G1422" t="s">
        <v>2229</v>
      </c>
      <c r="H1422" t="s">
        <v>2314</v>
      </c>
      <c r="I1422" t="s">
        <v>2317</v>
      </c>
      <c r="J1422" t="s">
        <v>2327</v>
      </c>
      <c r="K1422" t="s">
        <v>2327</v>
      </c>
      <c r="L1422">
        <v>965818</v>
      </c>
      <c r="M1422" t="s">
        <v>2330</v>
      </c>
      <c r="N1422" t="s">
        <v>2685</v>
      </c>
      <c r="O1422" t="s">
        <v>3054</v>
      </c>
      <c r="P1422" t="s">
        <v>3063</v>
      </c>
      <c r="Q1422" t="s">
        <v>3117</v>
      </c>
      <c r="R1422">
        <v>43.71</v>
      </c>
      <c r="S1422">
        <v>9</v>
      </c>
      <c r="T1422">
        <v>0.15</v>
      </c>
      <c r="U1422">
        <v>-5.88</v>
      </c>
    </row>
    <row r="1423" spans="1:21" x14ac:dyDescent="0.3">
      <c r="A1423">
        <v>1422</v>
      </c>
      <c r="B1423" t="s">
        <v>1442</v>
      </c>
      <c r="C1423" s="2">
        <v>45579</v>
      </c>
      <c r="D1423" s="2">
        <v>45583</v>
      </c>
      <c r="E1423" t="s">
        <v>1523</v>
      </c>
      <c r="F1423" t="s">
        <v>1696</v>
      </c>
      <c r="G1423" t="s">
        <v>2195</v>
      </c>
      <c r="H1423" t="s">
        <v>2314</v>
      </c>
      <c r="I1423" t="s">
        <v>2317</v>
      </c>
      <c r="J1423" t="s">
        <v>2327</v>
      </c>
      <c r="K1423" t="s">
        <v>2327</v>
      </c>
      <c r="L1423">
        <v>438144</v>
      </c>
      <c r="M1423" t="s">
        <v>2330</v>
      </c>
      <c r="N1423" t="s">
        <v>2680</v>
      </c>
      <c r="O1423" t="s">
        <v>3054</v>
      </c>
      <c r="P1423" t="s">
        <v>3057</v>
      </c>
      <c r="Q1423" t="s">
        <v>3878</v>
      </c>
      <c r="R1423">
        <v>61.55</v>
      </c>
      <c r="S1423">
        <v>7</v>
      </c>
      <c r="T1423">
        <v>0.1</v>
      </c>
      <c r="U1423">
        <v>-15.98</v>
      </c>
    </row>
    <row r="1424" spans="1:21" x14ac:dyDescent="0.3">
      <c r="A1424">
        <v>1423</v>
      </c>
      <c r="B1424" t="s">
        <v>1443</v>
      </c>
      <c r="C1424" s="2">
        <v>45307</v>
      </c>
      <c r="D1424" s="2">
        <v>45310</v>
      </c>
      <c r="E1424" t="s">
        <v>1522</v>
      </c>
      <c r="F1424" t="s">
        <v>1573</v>
      </c>
      <c r="G1424" t="s">
        <v>2233</v>
      </c>
      <c r="H1424" t="s">
        <v>2316</v>
      </c>
      <c r="I1424" t="s">
        <v>2317</v>
      </c>
      <c r="J1424" t="s">
        <v>2322</v>
      </c>
      <c r="K1424" t="s">
        <v>2322</v>
      </c>
      <c r="L1424">
        <v>921809</v>
      </c>
      <c r="M1424" t="s">
        <v>2331</v>
      </c>
      <c r="N1424" t="s">
        <v>2401</v>
      </c>
      <c r="O1424" t="s">
        <v>3053</v>
      </c>
      <c r="P1424" t="s">
        <v>3066</v>
      </c>
      <c r="Q1424" t="s">
        <v>3141</v>
      </c>
      <c r="R1424">
        <v>186.79</v>
      </c>
      <c r="S1424">
        <v>4</v>
      </c>
      <c r="T1424">
        <v>0.1</v>
      </c>
      <c r="U1424">
        <v>4.3099999999999996</v>
      </c>
    </row>
    <row r="1425" spans="1:21" x14ac:dyDescent="0.3">
      <c r="A1425">
        <v>1424</v>
      </c>
      <c r="B1425" t="s">
        <v>1444</v>
      </c>
      <c r="C1425" s="2">
        <v>46002</v>
      </c>
      <c r="D1425" s="2">
        <v>46004</v>
      </c>
      <c r="E1425" t="s">
        <v>1523</v>
      </c>
      <c r="F1425" t="s">
        <v>1857</v>
      </c>
      <c r="G1425" t="s">
        <v>2116</v>
      </c>
      <c r="H1425" t="s">
        <v>2314</v>
      </c>
      <c r="I1425" t="s">
        <v>2317</v>
      </c>
      <c r="J1425" t="s">
        <v>2319</v>
      </c>
      <c r="K1425" t="s">
        <v>2319</v>
      </c>
      <c r="L1425">
        <v>205850</v>
      </c>
      <c r="M1425" t="s">
        <v>2329</v>
      </c>
      <c r="N1425" t="s">
        <v>2907</v>
      </c>
      <c r="O1425" t="s">
        <v>3053</v>
      </c>
      <c r="P1425" t="s">
        <v>3062</v>
      </c>
      <c r="Q1425" t="s">
        <v>3143</v>
      </c>
      <c r="R1425">
        <v>114.1</v>
      </c>
      <c r="S1425">
        <v>8</v>
      </c>
      <c r="T1425">
        <v>0.05</v>
      </c>
      <c r="U1425">
        <v>13.44</v>
      </c>
    </row>
    <row r="1426" spans="1:21" x14ac:dyDescent="0.3">
      <c r="A1426">
        <v>1425</v>
      </c>
      <c r="B1426" t="s">
        <v>1445</v>
      </c>
      <c r="C1426" s="2">
        <v>45692</v>
      </c>
      <c r="D1426" s="2">
        <v>45696</v>
      </c>
      <c r="E1426" t="s">
        <v>1521</v>
      </c>
      <c r="F1426" t="s">
        <v>1593</v>
      </c>
      <c r="G1426" t="s">
        <v>2305</v>
      </c>
      <c r="H1426" t="s">
        <v>2316</v>
      </c>
      <c r="I1426" t="s">
        <v>2317</v>
      </c>
      <c r="J1426" t="s">
        <v>2318</v>
      </c>
      <c r="K1426" t="s">
        <v>2318</v>
      </c>
      <c r="L1426">
        <v>795902</v>
      </c>
      <c r="M1426" t="s">
        <v>2328</v>
      </c>
      <c r="N1426" t="s">
        <v>2838</v>
      </c>
      <c r="O1426" t="s">
        <v>3054</v>
      </c>
      <c r="P1426" t="s">
        <v>3058</v>
      </c>
      <c r="Q1426" t="s">
        <v>3675</v>
      </c>
      <c r="R1426">
        <v>76.73</v>
      </c>
      <c r="S1426">
        <v>2</v>
      </c>
      <c r="T1426">
        <v>0.15</v>
      </c>
      <c r="U1426">
        <v>35.729999999999997</v>
      </c>
    </row>
    <row r="1427" spans="1:21" x14ac:dyDescent="0.3">
      <c r="A1427">
        <v>1426</v>
      </c>
      <c r="B1427" t="s">
        <v>1446</v>
      </c>
      <c r="C1427" s="2">
        <v>45377</v>
      </c>
      <c r="D1427" s="2">
        <v>45379</v>
      </c>
      <c r="E1427" t="s">
        <v>1522</v>
      </c>
      <c r="F1427" t="s">
        <v>1608</v>
      </c>
      <c r="G1427" t="s">
        <v>1955</v>
      </c>
      <c r="H1427" t="s">
        <v>2315</v>
      </c>
      <c r="I1427" t="s">
        <v>2317</v>
      </c>
      <c r="J1427" t="s">
        <v>2321</v>
      </c>
      <c r="K1427" t="s">
        <v>2321</v>
      </c>
      <c r="L1427">
        <v>110485</v>
      </c>
      <c r="M1427" t="s">
        <v>2329</v>
      </c>
      <c r="N1427" t="s">
        <v>2394</v>
      </c>
      <c r="O1427" t="s">
        <v>3053</v>
      </c>
      <c r="P1427" t="s">
        <v>3056</v>
      </c>
      <c r="Q1427" t="s">
        <v>3677</v>
      </c>
      <c r="R1427">
        <v>123.58</v>
      </c>
      <c r="S1427">
        <v>8</v>
      </c>
      <c r="T1427">
        <v>0.2</v>
      </c>
      <c r="U1427">
        <v>0.77</v>
      </c>
    </row>
    <row r="1428" spans="1:21" x14ac:dyDescent="0.3">
      <c r="A1428">
        <v>1427</v>
      </c>
      <c r="B1428" t="s">
        <v>1447</v>
      </c>
      <c r="C1428" s="2">
        <v>45541</v>
      </c>
      <c r="D1428" s="2">
        <v>45545</v>
      </c>
      <c r="E1428" t="s">
        <v>1521</v>
      </c>
      <c r="F1428" t="s">
        <v>1774</v>
      </c>
      <c r="G1428" t="s">
        <v>2226</v>
      </c>
      <c r="H1428" t="s">
        <v>2316</v>
      </c>
      <c r="I1428" t="s">
        <v>2317</v>
      </c>
      <c r="J1428" t="s">
        <v>2321</v>
      </c>
      <c r="K1428" t="s">
        <v>2321</v>
      </c>
      <c r="L1428">
        <v>964685</v>
      </c>
      <c r="M1428" t="s">
        <v>2329</v>
      </c>
      <c r="N1428" t="s">
        <v>3035</v>
      </c>
      <c r="O1428" t="s">
        <v>3055</v>
      </c>
      <c r="P1428" t="s">
        <v>3067</v>
      </c>
      <c r="Q1428" t="s">
        <v>3713</v>
      </c>
      <c r="R1428">
        <v>267.39</v>
      </c>
      <c r="S1428">
        <v>3</v>
      </c>
      <c r="T1428">
        <v>0</v>
      </c>
      <c r="U1428">
        <v>19.16</v>
      </c>
    </row>
    <row r="1429" spans="1:21" x14ac:dyDescent="0.3">
      <c r="A1429">
        <v>1428</v>
      </c>
      <c r="B1429" t="s">
        <v>1448</v>
      </c>
      <c r="C1429" s="2">
        <v>45682</v>
      </c>
      <c r="D1429" s="2">
        <v>45686</v>
      </c>
      <c r="E1429" t="s">
        <v>1523</v>
      </c>
      <c r="F1429" t="s">
        <v>1656</v>
      </c>
      <c r="G1429" t="s">
        <v>2055</v>
      </c>
      <c r="H1429" t="s">
        <v>2316</v>
      </c>
      <c r="I1429" t="s">
        <v>2317</v>
      </c>
      <c r="J1429" t="s">
        <v>2323</v>
      </c>
      <c r="K1429" t="s">
        <v>2323</v>
      </c>
      <c r="L1429">
        <v>120180</v>
      </c>
      <c r="M1429" t="s">
        <v>2328</v>
      </c>
      <c r="N1429" t="s">
        <v>2582</v>
      </c>
      <c r="O1429" t="s">
        <v>3055</v>
      </c>
      <c r="P1429" t="s">
        <v>3059</v>
      </c>
      <c r="Q1429" t="s">
        <v>3106</v>
      </c>
      <c r="R1429">
        <v>236.71</v>
      </c>
      <c r="S1429">
        <v>1</v>
      </c>
      <c r="T1429">
        <v>0.4</v>
      </c>
      <c r="U1429">
        <v>-12.48</v>
      </c>
    </row>
    <row r="1430" spans="1:21" x14ac:dyDescent="0.3">
      <c r="A1430">
        <v>1429</v>
      </c>
      <c r="B1430" t="s">
        <v>1449</v>
      </c>
      <c r="C1430" s="2">
        <v>45626</v>
      </c>
      <c r="D1430" s="2">
        <v>45631</v>
      </c>
      <c r="E1430" t="s">
        <v>1524</v>
      </c>
      <c r="F1430" t="s">
        <v>1710</v>
      </c>
      <c r="G1430" t="s">
        <v>2011</v>
      </c>
      <c r="H1430" t="s">
        <v>2314</v>
      </c>
      <c r="I1430" t="s">
        <v>2317</v>
      </c>
      <c r="J1430" t="s">
        <v>2324</v>
      </c>
      <c r="K1430" t="s">
        <v>2324</v>
      </c>
      <c r="L1430">
        <v>433018</v>
      </c>
      <c r="M1430" t="s">
        <v>2330</v>
      </c>
      <c r="N1430" t="s">
        <v>2389</v>
      </c>
      <c r="O1430" t="s">
        <v>3053</v>
      </c>
      <c r="P1430" t="s">
        <v>3062</v>
      </c>
      <c r="Q1430" t="s">
        <v>3361</v>
      </c>
      <c r="R1430">
        <v>298.77999999999997</v>
      </c>
      <c r="S1430">
        <v>8</v>
      </c>
      <c r="T1430">
        <v>0</v>
      </c>
      <c r="U1430">
        <v>57.56</v>
      </c>
    </row>
    <row r="1431" spans="1:21" x14ac:dyDescent="0.3">
      <c r="A1431">
        <v>1430</v>
      </c>
      <c r="B1431" t="s">
        <v>1450</v>
      </c>
      <c r="C1431" s="2">
        <v>45920</v>
      </c>
      <c r="D1431" s="2">
        <v>45924</v>
      </c>
      <c r="E1431" t="s">
        <v>1521</v>
      </c>
      <c r="F1431" t="s">
        <v>1553</v>
      </c>
      <c r="G1431" t="s">
        <v>2251</v>
      </c>
      <c r="H1431" t="s">
        <v>2316</v>
      </c>
      <c r="I1431" t="s">
        <v>2317</v>
      </c>
      <c r="J1431" t="s">
        <v>2325</v>
      </c>
      <c r="K1431" t="s">
        <v>2325</v>
      </c>
      <c r="L1431">
        <v>702634</v>
      </c>
      <c r="M1431" t="s">
        <v>2332</v>
      </c>
      <c r="N1431" t="s">
        <v>2376</v>
      </c>
      <c r="O1431" t="s">
        <v>3055</v>
      </c>
      <c r="P1431" t="s">
        <v>3060</v>
      </c>
      <c r="Q1431" t="s">
        <v>3879</v>
      </c>
      <c r="R1431">
        <v>667.7</v>
      </c>
      <c r="S1431">
        <v>9</v>
      </c>
      <c r="T1431">
        <v>0.15</v>
      </c>
      <c r="U1431">
        <v>53.96</v>
      </c>
    </row>
    <row r="1432" spans="1:21" x14ac:dyDescent="0.3">
      <c r="A1432">
        <v>1431</v>
      </c>
      <c r="B1432" t="s">
        <v>1451</v>
      </c>
      <c r="C1432" s="2">
        <v>45810</v>
      </c>
      <c r="D1432" s="2">
        <v>45812</v>
      </c>
      <c r="E1432" t="s">
        <v>1522</v>
      </c>
      <c r="F1432" t="s">
        <v>1646</v>
      </c>
      <c r="G1432" t="s">
        <v>2144</v>
      </c>
      <c r="H1432" t="s">
        <v>2315</v>
      </c>
      <c r="I1432" t="s">
        <v>2317</v>
      </c>
      <c r="J1432" t="s">
        <v>2324</v>
      </c>
      <c r="K1432" t="s">
        <v>2324</v>
      </c>
      <c r="L1432">
        <v>246284</v>
      </c>
      <c r="M1432" t="s">
        <v>2330</v>
      </c>
      <c r="N1432" t="s">
        <v>3018</v>
      </c>
      <c r="O1432" t="s">
        <v>3053</v>
      </c>
      <c r="P1432" t="s">
        <v>3066</v>
      </c>
      <c r="Q1432" t="s">
        <v>3483</v>
      </c>
      <c r="R1432">
        <v>639.66</v>
      </c>
      <c r="S1432">
        <v>8</v>
      </c>
      <c r="T1432">
        <v>0.2</v>
      </c>
      <c r="U1432">
        <v>-28.71</v>
      </c>
    </row>
    <row r="1433" spans="1:21" x14ac:dyDescent="0.3">
      <c r="A1433">
        <v>1432</v>
      </c>
      <c r="B1433" t="s">
        <v>1452</v>
      </c>
      <c r="C1433" s="2">
        <v>45428</v>
      </c>
      <c r="D1433" s="2">
        <v>45430</v>
      </c>
      <c r="E1433" t="s">
        <v>1522</v>
      </c>
      <c r="F1433" t="s">
        <v>1880</v>
      </c>
      <c r="G1433" t="s">
        <v>1963</v>
      </c>
      <c r="H1433" t="s">
        <v>2314</v>
      </c>
      <c r="I1433" t="s">
        <v>2317</v>
      </c>
      <c r="J1433" t="s">
        <v>2318</v>
      </c>
      <c r="K1433" t="s">
        <v>2318</v>
      </c>
      <c r="L1433">
        <v>371344</v>
      </c>
      <c r="M1433" t="s">
        <v>2328</v>
      </c>
      <c r="N1433" t="s">
        <v>2735</v>
      </c>
      <c r="O1433" t="s">
        <v>3055</v>
      </c>
      <c r="P1433" t="s">
        <v>3060</v>
      </c>
      <c r="Q1433" t="s">
        <v>3333</v>
      </c>
      <c r="R1433">
        <v>600.03</v>
      </c>
      <c r="S1433">
        <v>8</v>
      </c>
      <c r="T1433">
        <v>0.05</v>
      </c>
      <c r="U1433">
        <v>38.71</v>
      </c>
    </row>
    <row r="1434" spans="1:21" x14ac:dyDescent="0.3">
      <c r="A1434">
        <v>1433</v>
      </c>
      <c r="B1434" t="s">
        <v>1453</v>
      </c>
      <c r="C1434" s="2">
        <v>45979</v>
      </c>
      <c r="D1434" s="2">
        <v>45982</v>
      </c>
      <c r="E1434" t="s">
        <v>1523</v>
      </c>
      <c r="F1434" t="s">
        <v>1615</v>
      </c>
      <c r="G1434" t="s">
        <v>2018</v>
      </c>
      <c r="H1434" t="s">
        <v>2314</v>
      </c>
      <c r="I1434" t="s">
        <v>2317</v>
      </c>
      <c r="J1434" t="s">
        <v>2327</v>
      </c>
      <c r="K1434" t="s">
        <v>2327</v>
      </c>
      <c r="L1434">
        <v>716712</v>
      </c>
      <c r="M1434" t="s">
        <v>2330</v>
      </c>
      <c r="N1434" t="s">
        <v>2870</v>
      </c>
      <c r="O1434" t="s">
        <v>3055</v>
      </c>
      <c r="P1434" t="s">
        <v>3061</v>
      </c>
      <c r="Q1434" t="s">
        <v>3177</v>
      </c>
      <c r="R1434">
        <v>252.4</v>
      </c>
      <c r="S1434">
        <v>1</v>
      </c>
      <c r="T1434">
        <v>0.15</v>
      </c>
      <c r="U1434">
        <v>-12.13</v>
      </c>
    </row>
    <row r="1435" spans="1:21" x14ac:dyDescent="0.3">
      <c r="A1435">
        <v>1434</v>
      </c>
      <c r="B1435" t="s">
        <v>1454</v>
      </c>
      <c r="C1435" s="2">
        <v>45789</v>
      </c>
      <c r="D1435" s="2">
        <v>45791</v>
      </c>
      <c r="E1435" t="s">
        <v>1524</v>
      </c>
      <c r="F1435" t="s">
        <v>1543</v>
      </c>
      <c r="G1435" t="s">
        <v>2090</v>
      </c>
      <c r="H1435" t="s">
        <v>2315</v>
      </c>
      <c r="I1435" t="s">
        <v>2317</v>
      </c>
      <c r="J1435" t="s">
        <v>2327</v>
      </c>
      <c r="K1435" t="s">
        <v>2327</v>
      </c>
      <c r="L1435">
        <v>709349</v>
      </c>
      <c r="M1435" t="s">
        <v>2330</v>
      </c>
      <c r="N1435" t="s">
        <v>2347</v>
      </c>
      <c r="O1435" t="s">
        <v>3054</v>
      </c>
      <c r="P1435" t="s">
        <v>3057</v>
      </c>
      <c r="Q1435" t="s">
        <v>3155</v>
      </c>
      <c r="R1435">
        <v>119.32</v>
      </c>
      <c r="S1435">
        <v>9</v>
      </c>
      <c r="T1435">
        <v>0.15</v>
      </c>
      <c r="U1435">
        <v>38.06</v>
      </c>
    </row>
    <row r="1436" spans="1:21" x14ac:dyDescent="0.3">
      <c r="A1436">
        <v>1435</v>
      </c>
      <c r="B1436" t="s">
        <v>1455</v>
      </c>
      <c r="C1436" s="2">
        <v>46018</v>
      </c>
      <c r="D1436" s="2">
        <v>46021</v>
      </c>
      <c r="E1436" t="s">
        <v>1522</v>
      </c>
      <c r="F1436" t="s">
        <v>1894</v>
      </c>
      <c r="G1436" t="s">
        <v>2044</v>
      </c>
      <c r="H1436" t="s">
        <v>2316</v>
      </c>
      <c r="I1436" t="s">
        <v>2317</v>
      </c>
      <c r="J1436" t="s">
        <v>2327</v>
      </c>
      <c r="K1436" t="s">
        <v>2327</v>
      </c>
      <c r="L1436">
        <v>660804</v>
      </c>
      <c r="M1436" t="s">
        <v>2330</v>
      </c>
      <c r="N1436" t="s">
        <v>3036</v>
      </c>
      <c r="O1436" t="s">
        <v>3053</v>
      </c>
      <c r="P1436" t="s">
        <v>3066</v>
      </c>
      <c r="Q1436" t="s">
        <v>3633</v>
      </c>
      <c r="R1436">
        <v>188.74</v>
      </c>
      <c r="S1436">
        <v>3</v>
      </c>
      <c r="T1436">
        <v>0.2</v>
      </c>
      <c r="U1436">
        <v>-52.36</v>
      </c>
    </row>
    <row r="1437" spans="1:21" x14ac:dyDescent="0.3">
      <c r="A1437">
        <v>1436</v>
      </c>
      <c r="B1437" t="s">
        <v>1456</v>
      </c>
      <c r="C1437" s="2">
        <v>45768</v>
      </c>
      <c r="D1437" s="2">
        <v>45770</v>
      </c>
      <c r="E1437" t="s">
        <v>1523</v>
      </c>
      <c r="F1437" t="s">
        <v>1681</v>
      </c>
      <c r="G1437" t="s">
        <v>1930</v>
      </c>
      <c r="H1437" t="s">
        <v>2315</v>
      </c>
      <c r="I1437" t="s">
        <v>2317</v>
      </c>
      <c r="J1437" t="s">
        <v>2323</v>
      </c>
      <c r="K1437" t="s">
        <v>2323</v>
      </c>
      <c r="L1437">
        <v>983310</v>
      </c>
      <c r="M1437" t="s">
        <v>2328</v>
      </c>
      <c r="N1437" t="s">
        <v>2753</v>
      </c>
      <c r="O1437" t="s">
        <v>3054</v>
      </c>
      <c r="P1437" t="s">
        <v>3057</v>
      </c>
      <c r="Q1437" t="s">
        <v>3880</v>
      </c>
      <c r="R1437">
        <v>86.29</v>
      </c>
      <c r="S1437">
        <v>9</v>
      </c>
      <c r="T1437">
        <v>0.15</v>
      </c>
      <c r="U1437">
        <v>-7.89</v>
      </c>
    </row>
    <row r="1438" spans="1:21" x14ac:dyDescent="0.3">
      <c r="A1438">
        <v>1437</v>
      </c>
      <c r="B1438" t="s">
        <v>1457</v>
      </c>
      <c r="C1438" s="2">
        <v>45885</v>
      </c>
      <c r="D1438" s="2">
        <v>45888</v>
      </c>
      <c r="E1438" t="s">
        <v>1521</v>
      </c>
      <c r="F1438" t="s">
        <v>1685</v>
      </c>
      <c r="G1438" t="s">
        <v>2218</v>
      </c>
      <c r="H1438" t="s">
        <v>2316</v>
      </c>
      <c r="I1438" t="s">
        <v>2317</v>
      </c>
      <c r="J1438" t="s">
        <v>2327</v>
      </c>
      <c r="K1438" t="s">
        <v>2327</v>
      </c>
      <c r="L1438">
        <v>692050</v>
      </c>
      <c r="M1438" t="s">
        <v>2330</v>
      </c>
      <c r="N1438" t="s">
        <v>2677</v>
      </c>
      <c r="O1438" t="s">
        <v>3055</v>
      </c>
      <c r="P1438" t="s">
        <v>3061</v>
      </c>
      <c r="Q1438" t="s">
        <v>3881</v>
      </c>
      <c r="R1438">
        <v>352.39</v>
      </c>
      <c r="S1438">
        <v>5</v>
      </c>
      <c r="T1438">
        <v>0</v>
      </c>
      <c r="U1438">
        <v>48.85</v>
      </c>
    </row>
    <row r="1439" spans="1:21" x14ac:dyDescent="0.3">
      <c r="A1439">
        <v>1438</v>
      </c>
      <c r="B1439" t="s">
        <v>1458</v>
      </c>
      <c r="C1439" s="2">
        <v>45514</v>
      </c>
      <c r="D1439" s="2">
        <v>45516</v>
      </c>
      <c r="E1439" t="s">
        <v>1521</v>
      </c>
      <c r="F1439" t="s">
        <v>1535</v>
      </c>
      <c r="G1439" t="s">
        <v>1957</v>
      </c>
      <c r="H1439" t="s">
        <v>2314</v>
      </c>
      <c r="I1439" t="s">
        <v>2317</v>
      </c>
      <c r="J1439" t="s">
        <v>2318</v>
      </c>
      <c r="K1439" t="s">
        <v>2318</v>
      </c>
      <c r="L1439">
        <v>727571</v>
      </c>
      <c r="M1439" t="s">
        <v>2328</v>
      </c>
      <c r="N1439" t="s">
        <v>2795</v>
      </c>
      <c r="O1439" t="s">
        <v>3055</v>
      </c>
      <c r="P1439" t="s">
        <v>3059</v>
      </c>
      <c r="Q1439" t="s">
        <v>3882</v>
      </c>
      <c r="R1439">
        <v>366.45</v>
      </c>
      <c r="S1439">
        <v>2</v>
      </c>
      <c r="T1439">
        <v>0.2</v>
      </c>
      <c r="U1439">
        <v>38.68</v>
      </c>
    </row>
    <row r="1440" spans="1:21" x14ac:dyDescent="0.3">
      <c r="A1440">
        <v>1439</v>
      </c>
      <c r="B1440" t="s">
        <v>1459</v>
      </c>
      <c r="C1440" s="2">
        <v>45663</v>
      </c>
      <c r="D1440" s="2">
        <v>45666</v>
      </c>
      <c r="E1440" t="s">
        <v>1524</v>
      </c>
      <c r="F1440" t="s">
        <v>1876</v>
      </c>
      <c r="G1440" t="s">
        <v>2191</v>
      </c>
      <c r="H1440" t="s">
        <v>2316</v>
      </c>
      <c r="I1440" t="s">
        <v>2317</v>
      </c>
      <c r="J1440" t="s">
        <v>2322</v>
      </c>
      <c r="K1440" t="s">
        <v>2322</v>
      </c>
      <c r="L1440">
        <v>742927</v>
      </c>
      <c r="M1440" t="s">
        <v>2331</v>
      </c>
      <c r="N1440" t="s">
        <v>3037</v>
      </c>
      <c r="O1440" t="s">
        <v>3054</v>
      </c>
      <c r="P1440" t="s">
        <v>3064</v>
      </c>
      <c r="Q1440" t="s">
        <v>3883</v>
      </c>
      <c r="R1440">
        <v>98.91</v>
      </c>
      <c r="S1440">
        <v>8</v>
      </c>
      <c r="T1440">
        <v>0.4</v>
      </c>
      <c r="U1440">
        <v>30.07</v>
      </c>
    </row>
    <row r="1441" spans="1:21" x14ac:dyDescent="0.3">
      <c r="A1441">
        <v>1440</v>
      </c>
      <c r="B1441" t="s">
        <v>1460</v>
      </c>
      <c r="C1441" s="2">
        <v>45693</v>
      </c>
      <c r="D1441" s="2">
        <v>45696</v>
      </c>
      <c r="E1441" t="s">
        <v>1522</v>
      </c>
      <c r="F1441" t="s">
        <v>1885</v>
      </c>
      <c r="G1441" t="s">
        <v>2305</v>
      </c>
      <c r="H1441" t="s">
        <v>2315</v>
      </c>
      <c r="I1441" t="s">
        <v>2317</v>
      </c>
      <c r="J1441" t="s">
        <v>2325</v>
      </c>
      <c r="K1441" t="s">
        <v>2325</v>
      </c>
      <c r="L1441">
        <v>852644</v>
      </c>
      <c r="M1441" t="s">
        <v>2332</v>
      </c>
      <c r="N1441" t="s">
        <v>3038</v>
      </c>
      <c r="O1441" t="s">
        <v>3053</v>
      </c>
      <c r="P1441" t="s">
        <v>3062</v>
      </c>
      <c r="Q1441" t="s">
        <v>3088</v>
      </c>
      <c r="R1441">
        <v>132.63999999999999</v>
      </c>
      <c r="S1441">
        <v>4</v>
      </c>
      <c r="T1441">
        <v>0.2</v>
      </c>
      <c r="U1441">
        <v>4.32</v>
      </c>
    </row>
    <row r="1442" spans="1:21" x14ac:dyDescent="0.3">
      <c r="A1442">
        <v>1441</v>
      </c>
      <c r="B1442" t="s">
        <v>1461</v>
      </c>
      <c r="C1442" s="2">
        <v>45734</v>
      </c>
      <c r="D1442" s="2">
        <v>45739</v>
      </c>
      <c r="E1442" t="s">
        <v>1523</v>
      </c>
      <c r="F1442" t="s">
        <v>1825</v>
      </c>
      <c r="G1442" t="s">
        <v>2045</v>
      </c>
      <c r="H1442" t="s">
        <v>2314</v>
      </c>
      <c r="I1442" t="s">
        <v>2317</v>
      </c>
      <c r="J1442" t="s">
        <v>2318</v>
      </c>
      <c r="K1442" t="s">
        <v>2318</v>
      </c>
      <c r="L1442">
        <v>302898</v>
      </c>
      <c r="M1442" t="s">
        <v>2328</v>
      </c>
      <c r="N1442" t="s">
        <v>2365</v>
      </c>
      <c r="O1442" t="s">
        <v>3053</v>
      </c>
      <c r="P1442" t="s">
        <v>3056</v>
      </c>
      <c r="Q1442" t="s">
        <v>3884</v>
      </c>
      <c r="R1442">
        <v>365.17</v>
      </c>
      <c r="S1442">
        <v>6</v>
      </c>
      <c r="T1442">
        <v>0.15</v>
      </c>
      <c r="U1442">
        <v>34.93</v>
      </c>
    </row>
    <row r="1443" spans="1:21" x14ac:dyDescent="0.3">
      <c r="A1443">
        <v>1442</v>
      </c>
      <c r="B1443" t="s">
        <v>1462</v>
      </c>
      <c r="C1443" s="2">
        <v>45781</v>
      </c>
      <c r="D1443" s="2">
        <v>45785</v>
      </c>
      <c r="E1443" t="s">
        <v>1524</v>
      </c>
      <c r="F1443" t="s">
        <v>1580</v>
      </c>
      <c r="G1443" t="s">
        <v>2078</v>
      </c>
      <c r="H1443" t="s">
        <v>2315</v>
      </c>
      <c r="I1443" t="s">
        <v>2317</v>
      </c>
      <c r="J1443" t="s">
        <v>2325</v>
      </c>
      <c r="K1443" t="s">
        <v>2325</v>
      </c>
      <c r="L1443">
        <v>999686</v>
      </c>
      <c r="M1443" t="s">
        <v>2332</v>
      </c>
      <c r="N1443" t="s">
        <v>2615</v>
      </c>
      <c r="O1443" t="s">
        <v>3053</v>
      </c>
      <c r="P1443" t="s">
        <v>3056</v>
      </c>
      <c r="Q1443" t="s">
        <v>3146</v>
      </c>
      <c r="R1443">
        <v>118.25</v>
      </c>
      <c r="S1443">
        <v>4</v>
      </c>
      <c r="T1443">
        <v>0.4</v>
      </c>
      <c r="U1443">
        <v>-21.15</v>
      </c>
    </row>
    <row r="1444" spans="1:21" x14ac:dyDescent="0.3">
      <c r="A1444">
        <v>1443</v>
      </c>
      <c r="B1444" t="s">
        <v>1463</v>
      </c>
      <c r="C1444" s="2">
        <v>45906</v>
      </c>
      <c r="D1444" s="2">
        <v>45908</v>
      </c>
      <c r="E1444" t="s">
        <v>1521</v>
      </c>
      <c r="F1444" t="s">
        <v>1559</v>
      </c>
      <c r="G1444" t="s">
        <v>2302</v>
      </c>
      <c r="H1444" t="s">
        <v>2316</v>
      </c>
      <c r="I1444" t="s">
        <v>2317</v>
      </c>
      <c r="J1444" t="s">
        <v>2318</v>
      </c>
      <c r="K1444" t="s">
        <v>2318</v>
      </c>
      <c r="L1444">
        <v>948755</v>
      </c>
      <c r="M1444" t="s">
        <v>2328</v>
      </c>
      <c r="N1444" t="s">
        <v>2403</v>
      </c>
      <c r="O1444" t="s">
        <v>3054</v>
      </c>
      <c r="P1444" t="s">
        <v>3057</v>
      </c>
      <c r="Q1444" t="s">
        <v>3121</v>
      </c>
      <c r="R1444">
        <v>211.03</v>
      </c>
      <c r="S1444">
        <v>1</v>
      </c>
      <c r="T1444">
        <v>0.15</v>
      </c>
      <c r="U1444">
        <v>14.23</v>
      </c>
    </row>
    <row r="1445" spans="1:21" x14ac:dyDescent="0.3">
      <c r="A1445">
        <v>1444</v>
      </c>
      <c r="B1445" t="s">
        <v>1464</v>
      </c>
      <c r="C1445" s="2">
        <v>45564</v>
      </c>
      <c r="D1445" s="2">
        <v>45566</v>
      </c>
      <c r="E1445" t="s">
        <v>1523</v>
      </c>
      <c r="F1445" t="s">
        <v>1702</v>
      </c>
      <c r="G1445" t="s">
        <v>2142</v>
      </c>
      <c r="H1445" t="s">
        <v>2314</v>
      </c>
      <c r="I1445" t="s">
        <v>2317</v>
      </c>
      <c r="J1445" t="s">
        <v>2327</v>
      </c>
      <c r="K1445" t="s">
        <v>2327</v>
      </c>
      <c r="L1445">
        <v>866333</v>
      </c>
      <c r="M1445" t="s">
        <v>2330</v>
      </c>
      <c r="N1445" t="s">
        <v>3039</v>
      </c>
      <c r="O1445" t="s">
        <v>3053</v>
      </c>
      <c r="P1445" t="s">
        <v>3062</v>
      </c>
      <c r="Q1445" t="s">
        <v>3548</v>
      </c>
      <c r="R1445">
        <v>91.82</v>
      </c>
      <c r="S1445">
        <v>7</v>
      </c>
      <c r="T1445">
        <v>0.15</v>
      </c>
      <c r="U1445">
        <v>-3.81</v>
      </c>
    </row>
    <row r="1446" spans="1:21" x14ac:dyDescent="0.3">
      <c r="A1446">
        <v>1445</v>
      </c>
      <c r="B1446" t="s">
        <v>1465</v>
      </c>
      <c r="C1446" s="2">
        <v>45817</v>
      </c>
      <c r="D1446" s="2">
        <v>45820</v>
      </c>
      <c r="E1446" t="s">
        <v>1523</v>
      </c>
      <c r="F1446" t="s">
        <v>1697</v>
      </c>
      <c r="G1446" t="s">
        <v>2234</v>
      </c>
      <c r="H1446" t="s">
        <v>2316</v>
      </c>
      <c r="I1446" t="s">
        <v>2317</v>
      </c>
      <c r="J1446" t="s">
        <v>2322</v>
      </c>
      <c r="K1446" t="s">
        <v>2322</v>
      </c>
      <c r="L1446">
        <v>650343</v>
      </c>
      <c r="M1446" t="s">
        <v>2331</v>
      </c>
      <c r="N1446" t="s">
        <v>3040</v>
      </c>
      <c r="O1446" t="s">
        <v>3053</v>
      </c>
      <c r="P1446" t="s">
        <v>3065</v>
      </c>
      <c r="Q1446" t="s">
        <v>3885</v>
      </c>
      <c r="R1446">
        <v>342.34</v>
      </c>
      <c r="S1446">
        <v>3</v>
      </c>
      <c r="T1446">
        <v>0.15</v>
      </c>
      <c r="U1446">
        <v>-19.53</v>
      </c>
    </row>
    <row r="1447" spans="1:21" x14ac:dyDescent="0.3">
      <c r="A1447">
        <v>1446</v>
      </c>
      <c r="B1447" t="s">
        <v>1466</v>
      </c>
      <c r="C1447" s="2">
        <v>45450</v>
      </c>
      <c r="D1447" s="2">
        <v>45452</v>
      </c>
      <c r="E1447" t="s">
        <v>1521</v>
      </c>
      <c r="F1447" t="s">
        <v>1779</v>
      </c>
      <c r="G1447" t="s">
        <v>2087</v>
      </c>
      <c r="H1447" t="s">
        <v>2315</v>
      </c>
      <c r="I1447" t="s">
        <v>2317</v>
      </c>
      <c r="J1447" t="s">
        <v>2321</v>
      </c>
      <c r="K1447" t="s">
        <v>2321</v>
      </c>
      <c r="L1447">
        <v>116643</v>
      </c>
      <c r="M1447" t="s">
        <v>2329</v>
      </c>
      <c r="N1447" t="s">
        <v>2716</v>
      </c>
      <c r="O1447" t="s">
        <v>3054</v>
      </c>
      <c r="P1447" t="s">
        <v>3063</v>
      </c>
      <c r="Q1447" t="s">
        <v>3886</v>
      </c>
      <c r="R1447">
        <v>43.29</v>
      </c>
      <c r="S1447">
        <v>5</v>
      </c>
      <c r="T1447">
        <v>0.1</v>
      </c>
      <c r="U1447">
        <v>9.5399999999999991</v>
      </c>
    </row>
    <row r="1448" spans="1:21" x14ac:dyDescent="0.3">
      <c r="A1448">
        <v>1447</v>
      </c>
      <c r="B1448" t="s">
        <v>1467</v>
      </c>
      <c r="C1448" s="2">
        <v>45443</v>
      </c>
      <c r="D1448" s="2">
        <v>45446</v>
      </c>
      <c r="E1448" t="s">
        <v>1524</v>
      </c>
      <c r="F1448" t="s">
        <v>1586</v>
      </c>
      <c r="G1448" t="s">
        <v>1987</v>
      </c>
      <c r="H1448" t="s">
        <v>2314</v>
      </c>
      <c r="I1448" t="s">
        <v>2317</v>
      </c>
      <c r="J1448" t="s">
        <v>2324</v>
      </c>
      <c r="K1448" t="s">
        <v>2324</v>
      </c>
      <c r="L1448">
        <v>633881</v>
      </c>
      <c r="M1448" t="s">
        <v>2330</v>
      </c>
      <c r="N1448" t="s">
        <v>2602</v>
      </c>
      <c r="O1448" t="s">
        <v>3053</v>
      </c>
      <c r="P1448" t="s">
        <v>3065</v>
      </c>
      <c r="Q1448" t="s">
        <v>3887</v>
      </c>
      <c r="R1448">
        <v>533.78</v>
      </c>
      <c r="S1448">
        <v>6</v>
      </c>
      <c r="T1448">
        <v>0.15</v>
      </c>
      <c r="U1448">
        <v>-21.39</v>
      </c>
    </row>
    <row r="1449" spans="1:21" x14ac:dyDescent="0.3">
      <c r="A1449">
        <v>1448</v>
      </c>
      <c r="B1449" t="s">
        <v>1468</v>
      </c>
      <c r="C1449" s="2">
        <v>45911</v>
      </c>
      <c r="D1449" s="2">
        <v>45913</v>
      </c>
      <c r="E1449" t="s">
        <v>1523</v>
      </c>
      <c r="F1449" t="s">
        <v>1685</v>
      </c>
      <c r="G1449" t="s">
        <v>2169</v>
      </c>
      <c r="H1449" t="s">
        <v>2315</v>
      </c>
      <c r="I1449" t="s">
        <v>2317</v>
      </c>
      <c r="J1449" t="s">
        <v>2320</v>
      </c>
      <c r="K1449" t="s">
        <v>2320</v>
      </c>
      <c r="L1449">
        <v>298924</v>
      </c>
      <c r="M1449" t="s">
        <v>2330</v>
      </c>
      <c r="N1449" t="s">
        <v>2519</v>
      </c>
      <c r="O1449" t="s">
        <v>3053</v>
      </c>
      <c r="P1449" t="s">
        <v>3062</v>
      </c>
      <c r="Q1449" t="s">
        <v>3598</v>
      </c>
      <c r="R1449">
        <v>149.31</v>
      </c>
      <c r="S1449">
        <v>2</v>
      </c>
      <c r="T1449">
        <v>0.05</v>
      </c>
      <c r="U1449">
        <v>35.450000000000003</v>
      </c>
    </row>
    <row r="1450" spans="1:21" x14ac:dyDescent="0.3">
      <c r="A1450">
        <v>1449</v>
      </c>
      <c r="B1450" t="s">
        <v>1469</v>
      </c>
      <c r="C1450" s="2">
        <v>45479</v>
      </c>
      <c r="D1450" s="2">
        <v>45485</v>
      </c>
      <c r="E1450" t="s">
        <v>1523</v>
      </c>
      <c r="F1450" t="s">
        <v>1869</v>
      </c>
      <c r="G1450" t="s">
        <v>2233</v>
      </c>
      <c r="H1450" t="s">
        <v>2314</v>
      </c>
      <c r="I1450" t="s">
        <v>2317</v>
      </c>
      <c r="J1450" t="s">
        <v>2322</v>
      </c>
      <c r="K1450" t="s">
        <v>2322</v>
      </c>
      <c r="L1450">
        <v>788739</v>
      </c>
      <c r="M1450" t="s">
        <v>2331</v>
      </c>
      <c r="N1450" t="s">
        <v>2740</v>
      </c>
      <c r="O1450" t="s">
        <v>3053</v>
      </c>
      <c r="P1450" t="s">
        <v>3056</v>
      </c>
      <c r="Q1450" t="s">
        <v>3258</v>
      </c>
      <c r="R1450">
        <v>199.33</v>
      </c>
      <c r="S1450">
        <v>7</v>
      </c>
      <c r="T1450">
        <v>0.2</v>
      </c>
      <c r="U1450">
        <v>-16.39</v>
      </c>
    </row>
    <row r="1451" spans="1:21" x14ac:dyDescent="0.3">
      <c r="A1451">
        <v>1450</v>
      </c>
      <c r="B1451" t="s">
        <v>1470</v>
      </c>
      <c r="C1451" s="2">
        <v>45389</v>
      </c>
      <c r="D1451" s="2">
        <v>45391</v>
      </c>
      <c r="E1451" t="s">
        <v>1522</v>
      </c>
      <c r="F1451" t="s">
        <v>1721</v>
      </c>
      <c r="G1451" t="s">
        <v>2169</v>
      </c>
      <c r="H1451" t="s">
        <v>2316</v>
      </c>
      <c r="I1451" t="s">
        <v>2317</v>
      </c>
      <c r="J1451" t="s">
        <v>2321</v>
      </c>
      <c r="K1451" t="s">
        <v>2321</v>
      </c>
      <c r="L1451">
        <v>386736</v>
      </c>
      <c r="M1451" t="s">
        <v>2329</v>
      </c>
      <c r="N1451" t="s">
        <v>2340</v>
      </c>
      <c r="O1451" t="s">
        <v>3054</v>
      </c>
      <c r="P1451" t="s">
        <v>3057</v>
      </c>
      <c r="Q1451" t="s">
        <v>3248</v>
      </c>
      <c r="R1451">
        <v>95.52</v>
      </c>
      <c r="S1451">
        <v>7</v>
      </c>
      <c r="T1451">
        <v>0.15</v>
      </c>
      <c r="U1451">
        <v>47.47</v>
      </c>
    </row>
    <row r="1452" spans="1:21" x14ac:dyDescent="0.3">
      <c r="A1452">
        <v>1451</v>
      </c>
      <c r="B1452" t="s">
        <v>1471</v>
      </c>
      <c r="C1452" s="2">
        <v>45422</v>
      </c>
      <c r="D1452" s="2">
        <v>45425</v>
      </c>
      <c r="E1452" t="s">
        <v>1523</v>
      </c>
      <c r="F1452" t="s">
        <v>1850</v>
      </c>
      <c r="G1452" t="s">
        <v>2114</v>
      </c>
      <c r="H1452" t="s">
        <v>2316</v>
      </c>
      <c r="I1452" t="s">
        <v>2317</v>
      </c>
      <c r="J1452" t="s">
        <v>2319</v>
      </c>
      <c r="K1452" t="s">
        <v>2319</v>
      </c>
      <c r="L1452">
        <v>711445</v>
      </c>
      <c r="M1452" t="s">
        <v>2329</v>
      </c>
      <c r="N1452" t="s">
        <v>2501</v>
      </c>
      <c r="O1452" t="s">
        <v>3055</v>
      </c>
      <c r="P1452" t="s">
        <v>3059</v>
      </c>
      <c r="Q1452" t="s">
        <v>3669</v>
      </c>
      <c r="R1452">
        <v>263</v>
      </c>
      <c r="S1452">
        <v>4</v>
      </c>
      <c r="T1452">
        <v>0.2</v>
      </c>
      <c r="U1452">
        <v>41.53</v>
      </c>
    </row>
    <row r="1453" spans="1:21" x14ac:dyDescent="0.3">
      <c r="A1453">
        <v>1452</v>
      </c>
      <c r="B1453" t="s">
        <v>1472</v>
      </c>
      <c r="C1453" s="2">
        <v>45462</v>
      </c>
      <c r="D1453" s="2">
        <v>45465</v>
      </c>
      <c r="E1453" t="s">
        <v>1524</v>
      </c>
      <c r="F1453" t="s">
        <v>1708</v>
      </c>
      <c r="G1453" t="s">
        <v>1960</v>
      </c>
      <c r="H1453" t="s">
        <v>2315</v>
      </c>
      <c r="I1453" t="s">
        <v>2317</v>
      </c>
      <c r="J1453" t="s">
        <v>2318</v>
      </c>
      <c r="K1453" t="s">
        <v>2318</v>
      </c>
      <c r="L1453">
        <v>603646</v>
      </c>
      <c r="M1453" t="s">
        <v>2328</v>
      </c>
      <c r="N1453" t="s">
        <v>2340</v>
      </c>
      <c r="O1453" t="s">
        <v>3055</v>
      </c>
      <c r="P1453" t="s">
        <v>3060</v>
      </c>
      <c r="Q1453" t="s">
        <v>3888</v>
      </c>
      <c r="R1453">
        <v>495.44</v>
      </c>
      <c r="S1453">
        <v>9</v>
      </c>
      <c r="T1453">
        <v>0.2</v>
      </c>
      <c r="U1453">
        <v>51.34</v>
      </c>
    </row>
    <row r="1454" spans="1:21" x14ac:dyDescent="0.3">
      <c r="A1454">
        <v>1453</v>
      </c>
      <c r="B1454" t="s">
        <v>1473</v>
      </c>
      <c r="C1454" s="2">
        <v>45474</v>
      </c>
      <c r="D1454" s="2">
        <v>45480</v>
      </c>
      <c r="E1454" t="s">
        <v>1523</v>
      </c>
      <c r="F1454" t="s">
        <v>1708</v>
      </c>
      <c r="G1454" t="s">
        <v>2125</v>
      </c>
      <c r="H1454" t="s">
        <v>2314</v>
      </c>
      <c r="I1454" t="s">
        <v>2317</v>
      </c>
      <c r="J1454" t="s">
        <v>2319</v>
      </c>
      <c r="K1454" t="s">
        <v>2319</v>
      </c>
      <c r="L1454">
        <v>198525</v>
      </c>
      <c r="M1454" t="s">
        <v>2329</v>
      </c>
      <c r="N1454" t="s">
        <v>2955</v>
      </c>
      <c r="O1454" t="s">
        <v>3053</v>
      </c>
      <c r="P1454" t="s">
        <v>3065</v>
      </c>
      <c r="Q1454" t="s">
        <v>3711</v>
      </c>
      <c r="R1454">
        <v>291.8</v>
      </c>
      <c r="S1454">
        <v>4</v>
      </c>
      <c r="T1454">
        <v>0.2</v>
      </c>
      <c r="U1454">
        <v>-9.64</v>
      </c>
    </row>
    <row r="1455" spans="1:21" x14ac:dyDescent="0.3">
      <c r="A1455">
        <v>1454</v>
      </c>
      <c r="B1455" t="s">
        <v>1474</v>
      </c>
      <c r="C1455" s="2">
        <v>45655</v>
      </c>
      <c r="D1455" s="2">
        <v>45658</v>
      </c>
      <c r="E1455" t="s">
        <v>1523</v>
      </c>
      <c r="F1455" t="s">
        <v>1794</v>
      </c>
      <c r="G1455" t="s">
        <v>2069</v>
      </c>
      <c r="H1455" t="s">
        <v>2314</v>
      </c>
      <c r="I1455" t="s">
        <v>2317</v>
      </c>
      <c r="J1455" t="s">
        <v>2321</v>
      </c>
      <c r="K1455" t="s">
        <v>2321</v>
      </c>
      <c r="L1455">
        <v>181848</v>
      </c>
      <c r="M1455" t="s">
        <v>2329</v>
      </c>
      <c r="N1455" t="s">
        <v>2592</v>
      </c>
      <c r="O1455" t="s">
        <v>3054</v>
      </c>
      <c r="P1455" t="s">
        <v>3063</v>
      </c>
      <c r="Q1455" t="s">
        <v>3889</v>
      </c>
      <c r="R1455">
        <v>179.85</v>
      </c>
      <c r="S1455">
        <v>1</v>
      </c>
      <c r="T1455">
        <v>0.15</v>
      </c>
      <c r="U1455">
        <v>-11.34</v>
      </c>
    </row>
    <row r="1456" spans="1:21" x14ac:dyDescent="0.3">
      <c r="A1456">
        <v>1455</v>
      </c>
      <c r="B1456" t="s">
        <v>1475</v>
      </c>
      <c r="C1456" s="2">
        <v>45330</v>
      </c>
      <c r="D1456" s="2">
        <v>45335</v>
      </c>
      <c r="E1456" t="s">
        <v>1522</v>
      </c>
      <c r="F1456" t="s">
        <v>1853</v>
      </c>
      <c r="G1456" t="s">
        <v>2250</v>
      </c>
      <c r="H1456" t="s">
        <v>2314</v>
      </c>
      <c r="I1456" t="s">
        <v>2317</v>
      </c>
      <c r="J1456" t="s">
        <v>2322</v>
      </c>
      <c r="K1456" t="s">
        <v>2322</v>
      </c>
      <c r="L1456">
        <v>585750</v>
      </c>
      <c r="M1456" t="s">
        <v>2331</v>
      </c>
      <c r="N1456" t="s">
        <v>2425</v>
      </c>
      <c r="O1456" t="s">
        <v>3055</v>
      </c>
      <c r="P1456" t="s">
        <v>3059</v>
      </c>
      <c r="Q1456" t="s">
        <v>3669</v>
      </c>
      <c r="R1456">
        <v>402.37</v>
      </c>
      <c r="S1456">
        <v>6</v>
      </c>
      <c r="T1456">
        <v>0.2</v>
      </c>
      <c r="U1456">
        <v>-3</v>
      </c>
    </row>
    <row r="1457" spans="1:21" x14ac:dyDescent="0.3">
      <c r="A1457">
        <v>1456</v>
      </c>
      <c r="B1457" t="s">
        <v>1476</v>
      </c>
      <c r="C1457" s="2">
        <v>45818</v>
      </c>
      <c r="D1457" s="2">
        <v>45821</v>
      </c>
      <c r="E1457" t="s">
        <v>1522</v>
      </c>
      <c r="F1457" t="s">
        <v>1636</v>
      </c>
      <c r="G1457" t="s">
        <v>2057</v>
      </c>
      <c r="H1457" t="s">
        <v>2315</v>
      </c>
      <c r="I1457" t="s">
        <v>2317</v>
      </c>
      <c r="J1457" t="s">
        <v>2318</v>
      </c>
      <c r="K1457" t="s">
        <v>2318</v>
      </c>
      <c r="L1457">
        <v>946299</v>
      </c>
      <c r="M1457" t="s">
        <v>2328</v>
      </c>
      <c r="N1457" t="s">
        <v>2574</v>
      </c>
      <c r="O1457" t="s">
        <v>3054</v>
      </c>
      <c r="P1457" t="s">
        <v>3057</v>
      </c>
      <c r="Q1457" t="s">
        <v>3890</v>
      </c>
      <c r="R1457">
        <v>137.01</v>
      </c>
      <c r="S1457">
        <v>7</v>
      </c>
      <c r="T1457">
        <v>0.2</v>
      </c>
      <c r="U1457">
        <v>29.65</v>
      </c>
    </row>
    <row r="1458" spans="1:21" x14ac:dyDescent="0.3">
      <c r="A1458">
        <v>1457</v>
      </c>
      <c r="B1458" t="s">
        <v>1477</v>
      </c>
      <c r="C1458" s="2">
        <v>45788</v>
      </c>
      <c r="D1458" s="2">
        <v>45792</v>
      </c>
      <c r="E1458" t="s">
        <v>1521</v>
      </c>
      <c r="F1458" t="s">
        <v>1692</v>
      </c>
      <c r="G1458" t="s">
        <v>2225</v>
      </c>
      <c r="H1458" t="s">
        <v>2315</v>
      </c>
      <c r="I1458" t="s">
        <v>2317</v>
      </c>
      <c r="J1458" t="s">
        <v>2320</v>
      </c>
      <c r="K1458" t="s">
        <v>2320</v>
      </c>
      <c r="L1458">
        <v>358512</v>
      </c>
      <c r="M1458" t="s">
        <v>2330</v>
      </c>
      <c r="N1458" t="s">
        <v>2926</v>
      </c>
      <c r="O1458" t="s">
        <v>3053</v>
      </c>
      <c r="P1458" t="s">
        <v>3056</v>
      </c>
      <c r="Q1458" t="s">
        <v>3891</v>
      </c>
      <c r="R1458">
        <v>1224.54</v>
      </c>
      <c r="S1458">
        <v>5</v>
      </c>
      <c r="T1458">
        <v>0.15</v>
      </c>
      <c r="U1458">
        <v>35.229999999999997</v>
      </c>
    </row>
    <row r="1459" spans="1:21" x14ac:dyDescent="0.3">
      <c r="A1459">
        <v>1458</v>
      </c>
      <c r="B1459" t="s">
        <v>1478</v>
      </c>
      <c r="C1459" s="2">
        <v>45807</v>
      </c>
      <c r="D1459" s="2">
        <v>45810</v>
      </c>
      <c r="E1459" t="s">
        <v>1523</v>
      </c>
      <c r="F1459" t="s">
        <v>1633</v>
      </c>
      <c r="G1459" t="s">
        <v>2092</v>
      </c>
      <c r="H1459" t="s">
        <v>2316</v>
      </c>
      <c r="I1459" t="s">
        <v>2317</v>
      </c>
      <c r="J1459" t="s">
        <v>2327</v>
      </c>
      <c r="K1459" t="s">
        <v>2327</v>
      </c>
      <c r="L1459">
        <v>613755</v>
      </c>
      <c r="M1459" t="s">
        <v>2330</v>
      </c>
      <c r="N1459" t="s">
        <v>3041</v>
      </c>
      <c r="O1459" t="s">
        <v>3054</v>
      </c>
      <c r="P1459" t="s">
        <v>3057</v>
      </c>
      <c r="Q1459" t="s">
        <v>3701</v>
      </c>
      <c r="R1459">
        <v>50.99</v>
      </c>
      <c r="S1459">
        <v>4</v>
      </c>
      <c r="T1459">
        <v>0.2</v>
      </c>
      <c r="U1459">
        <v>17.98</v>
      </c>
    </row>
    <row r="1460" spans="1:21" x14ac:dyDescent="0.3">
      <c r="A1460">
        <v>1459</v>
      </c>
      <c r="B1460" t="s">
        <v>1479</v>
      </c>
      <c r="C1460" s="2">
        <v>45640</v>
      </c>
      <c r="D1460" s="2">
        <v>45642</v>
      </c>
      <c r="E1460" t="s">
        <v>1521</v>
      </c>
      <c r="F1460" t="s">
        <v>1690</v>
      </c>
      <c r="G1460" t="s">
        <v>1995</v>
      </c>
      <c r="H1460" t="s">
        <v>2314</v>
      </c>
      <c r="I1460" t="s">
        <v>2317</v>
      </c>
      <c r="J1460" t="s">
        <v>2318</v>
      </c>
      <c r="K1460" t="s">
        <v>2318</v>
      </c>
      <c r="L1460">
        <v>505972</v>
      </c>
      <c r="M1460" t="s">
        <v>2328</v>
      </c>
      <c r="N1460" t="s">
        <v>3042</v>
      </c>
      <c r="O1460" t="s">
        <v>3054</v>
      </c>
      <c r="P1460" t="s">
        <v>3063</v>
      </c>
      <c r="Q1460" t="s">
        <v>3586</v>
      </c>
      <c r="R1460">
        <v>22.62</v>
      </c>
      <c r="S1460">
        <v>7</v>
      </c>
      <c r="T1460">
        <v>0</v>
      </c>
      <c r="U1460">
        <v>17.36</v>
      </c>
    </row>
    <row r="1461" spans="1:21" x14ac:dyDescent="0.3">
      <c r="A1461">
        <v>1460</v>
      </c>
      <c r="B1461" t="s">
        <v>1480</v>
      </c>
      <c r="C1461" s="2">
        <v>45688</v>
      </c>
      <c r="D1461" s="2">
        <v>45689</v>
      </c>
      <c r="E1461" t="s">
        <v>1524</v>
      </c>
      <c r="F1461" t="s">
        <v>1531</v>
      </c>
      <c r="G1461" t="s">
        <v>2116</v>
      </c>
      <c r="H1461" t="s">
        <v>2314</v>
      </c>
      <c r="I1461" t="s">
        <v>2317</v>
      </c>
      <c r="J1461" t="s">
        <v>2318</v>
      </c>
      <c r="K1461" t="s">
        <v>2318</v>
      </c>
      <c r="L1461">
        <v>427282</v>
      </c>
      <c r="M1461" t="s">
        <v>2328</v>
      </c>
      <c r="N1461" t="s">
        <v>2403</v>
      </c>
      <c r="O1461" t="s">
        <v>3053</v>
      </c>
      <c r="P1461" t="s">
        <v>3056</v>
      </c>
      <c r="Q1461" t="s">
        <v>3892</v>
      </c>
      <c r="R1461">
        <v>214.33</v>
      </c>
      <c r="S1461">
        <v>4</v>
      </c>
      <c r="T1461">
        <v>0.15</v>
      </c>
      <c r="U1461">
        <v>-55.14</v>
      </c>
    </row>
    <row r="1462" spans="1:21" x14ac:dyDescent="0.3">
      <c r="A1462">
        <v>1461</v>
      </c>
      <c r="B1462" t="s">
        <v>1481</v>
      </c>
      <c r="C1462" s="2">
        <v>46013</v>
      </c>
      <c r="D1462" s="2">
        <v>46016</v>
      </c>
      <c r="E1462" t="s">
        <v>1524</v>
      </c>
      <c r="F1462" t="s">
        <v>1680</v>
      </c>
      <c r="G1462" t="s">
        <v>2172</v>
      </c>
      <c r="H1462" t="s">
        <v>2315</v>
      </c>
      <c r="I1462" t="s">
        <v>2317</v>
      </c>
      <c r="J1462" t="s">
        <v>2322</v>
      </c>
      <c r="K1462" t="s">
        <v>2322</v>
      </c>
      <c r="L1462">
        <v>920462</v>
      </c>
      <c r="M1462" t="s">
        <v>2331</v>
      </c>
      <c r="N1462" t="s">
        <v>2445</v>
      </c>
      <c r="O1462" t="s">
        <v>3055</v>
      </c>
      <c r="P1462" t="s">
        <v>3061</v>
      </c>
      <c r="Q1462" t="s">
        <v>3286</v>
      </c>
      <c r="R1462">
        <v>864.15</v>
      </c>
      <c r="S1462">
        <v>5</v>
      </c>
      <c r="T1462">
        <v>0.15</v>
      </c>
      <c r="U1462">
        <v>54.79</v>
      </c>
    </row>
    <row r="1463" spans="1:21" x14ac:dyDescent="0.3">
      <c r="A1463">
        <v>1462</v>
      </c>
      <c r="B1463" t="s">
        <v>1482</v>
      </c>
      <c r="C1463" s="2">
        <v>45452</v>
      </c>
      <c r="D1463" s="2">
        <v>45456</v>
      </c>
      <c r="E1463" t="s">
        <v>1524</v>
      </c>
      <c r="F1463" t="s">
        <v>1893</v>
      </c>
      <c r="G1463" t="s">
        <v>2207</v>
      </c>
      <c r="H1463" t="s">
        <v>2315</v>
      </c>
      <c r="I1463" t="s">
        <v>2317</v>
      </c>
      <c r="J1463" t="s">
        <v>2322</v>
      </c>
      <c r="K1463" t="s">
        <v>2322</v>
      </c>
      <c r="L1463">
        <v>126038</v>
      </c>
      <c r="M1463" t="s">
        <v>2331</v>
      </c>
      <c r="N1463" t="s">
        <v>2509</v>
      </c>
      <c r="O1463" t="s">
        <v>3055</v>
      </c>
      <c r="P1463" t="s">
        <v>3059</v>
      </c>
      <c r="Q1463" t="s">
        <v>3706</v>
      </c>
      <c r="R1463">
        <v>155.41999999999999</v>
      </c>
      <c r="S1463">
        <v>7</v>
      </c>
      <c r="T1463">
        <v>0.2</v>
      </c>
      <c r="U1463">
        <v>6.48</v>
      </c>
    </row>
    <row r="1464" spans="1:21" x14ac:dyDescent="0.3">
      <c r="A1464">
        <v>1463</v>
      </c>
      <c r="B1464" t="s">
        <v>1483</v>
      </c>
      <c r="C1464" s="2">
        <v>45307</v>
      </c>
      <c r="D1464" s="2">
        <v>45311</v>
      </c>
      <c r="E1464" t="s">
        <v>1521</v>
      </c>
      <c r="F1464" t="s">
        <v>1725</v>
      </c>
      <c r="G1464" t="s">
        <v>2100</v>
      </c>
      <c r="H1464" t="s">
        <v>2316</v>
      </c>
      <c r="I1464" t="s">
        <v>2317</v>
      </c>
      <c r="J1464" t="s">
        <v>2321</v>
      </c>
      <c r="K1464" t="s">
        <v>2321</v>
      </c>
      <c r="L1464">
        <v>479949</v>
      </c>
      <c r="M1464" t="s">
        <v>2329</v>
      </c>
      <c r="N1464" t="s">
        <v>2799</v>
      </c>
      <c r="O1464" t="s">
        <v>3055</v>
      </c>
      <c r="P1464" t="s">
        <v>3061</v>
      </c>
      <c r="Q1464" t="s">
        <v>3893</v>
      </c>
      <c r="R1464">
        <v>1381.85</v>
      </c>
      <c r="S1464">
        <v>3</v>
      </c>
      <c r="T1464">
        <v>0.15</v>
      </c>
      <c r="U1464">
        <v>128.16</v>
      </c>
    </row>
    <row r="1465" spans="1:21" x14ac:dyDescent="0.3">
      <c r="A1465">
        <v>1464</v>
      </c>
      <c r="B1465" t="s">
        <v>1484</v>
      </c>
      <c r="C1465" s="2">
        <v>45784</v>
      </c>
      <c r="D1465" s="2">
        <v>45788</v>
      </c>
      <c r="E1465" t="s">
        <v>1523</v>
      </c>
      <c r="F1465" t="s">
        <v>1789</v>
      </c>
      <c r="G1465" t="s">
        <v>2136</v>
      </c>
      <c r="H1465" t="s">
        <v>2316</v>
      </c>
      <c r="I1465" t="s">
        <v>2317</v>
      </c>
      <c r="J1465" t="s">
        <v>2326</v>
      </c>
      <c r="K1465" t="s">
        <v>2326</v>
      </c>
      <c r="L1465">
        <v>385954</v>
      </c>
      <c r="M1465" t="s">
        <v>2331</v>
      </c>
      <c r="N1465" t="s">
        <v>3043</v>
      </c>
      <c r="O1465" t="s">
        <v>3054</v>
      </c>
      <c r="P1465" t="s">
        <v>3064</v>
      </c>
      <c r="Q1465" t="s">
        <v>3613</v>
      </c>
      <c r="R1465">
        <v>35.18</v>
      </c>
      <c r="S1465">
        <v>4</v>
      </c>
      <c r="T1465">
        <v>0.2</v>
      </c>
      <c r="U1465">
        <v>-12.64</v>
      </c>
    </row>
    <row r="1466" spans="1:21" x14ac:dyDescent="0.3">
      <c r="A1466">
        <v>1465</v>
      </c>
      <c r="B1466" t="s">
        <v>1485</v>
      </c>
      <c r="C1466" s="2">
        <v>45717</v>
      </c>
      <c r="D1466" s="2">
        <v>45720</v>
      </c>
      <c r="E1466" t="s">
        <v>1523</v>
      </c>
      <c r="F1466" t="s">
        <v>1857</v>
      </c>
      <c r="G1466" t="s">
        <v>2214</v>
      </c>
      <c r="H1466" t="s">
        <v>2315</v>
      </c>
      <c r="I1466" t="s">
        <v>2317</v>
      </c>
      <c r="J1466" t="s">
        <v>2318</v>
      </c>
      <c r="K1466" t="s">
        <v>2318</v>
      </c>
      <c r="L1466">
        <v>511193</v>
      </c>
      <c r="M1466" t="s">
        <v>2328</v>
      </c>
      <c r="N1466" t="s">
        <v>3044</v>
      </c>
      <c r="O1466" t="s">
        <v>3055</v>
      </c>
      <c r="P1466" t="s">
        <v>3061</v>
      </c>
      <c r="Q1466" t="s">
        <v>3778</v>
      </c>
      <c r="R1466">
        <v>702.65</v>
      </c>
      <c r="S1466">
        <v>5</v>
      </c>
      <c r="T1466">
        <v>0.2</v>
      </c>
      <c r="U1466">
        <v>44.91</v>
      </c>
    </row>
    <row r="1467" spans="1:21" x14ac:dyDescent="0.3">
      <c r="A1467">
        <v>1466</v>
      </c>
      <c r="B1467" t="s">
        <v>1486</v>
      </c>
      <c r="C1467" s="2">
        <v>45399</v>
      </c>
      <c r="D1467" s="2">
        <v>45405</v>
      </c>
      <c r="E1467" t="s">
        <v>1524</v>
      </c>
      <c r="F1467" t="s">
        <v>1861</v>
      </c>
      <c r="G1467" t="s">
        <v>1949</v>
      </c>
      <c r="H1467" t="s">
        <v>2315</v>
      </c>
      <c r="I1467" t="s">
        <v>2317</v>
      </c>
      <c r="J1467" t="s">
        <v>2324</v>
      </c>
      <c r="K1467" t="s">
        <v>2324</v>
      </c>
      <c r="L1467">
        <v>381080</v>
      </c>
      <c r="M1467" t="s">
        <v>2330</v>
      </c>
      <c r="N1467" t="s">
        <v>2831</v>
      </c>
      <c r="O1467" t="s">
        <v>3053</v>
      </c>
      <c r="P1467" t="s">
        <v>3056</v>
      </c>
      <c r="Q1467" t="s">
        <v>3770</v>
      </c>
      <c r="R1467">
        <v>236.47</v>
      </c>
      <c r="S1467">
        <v>9</v>
      </c>
      <c r="T1467">
        <v>0.15</v>
      </c>
      <c r="U1467">
        <v>-19.62</v>
      </c>
    </row>
    <row r="1468" spans="1:21" x14ac:dyDescent="0.3">
      <c r="A1468">
        <v>1467</v>
      </c>
      <c r="B1468" t="s">
        <v>1487</v>
      </c>
      <c r="C1468" s="2">
        <v>45741</v>
      </c>
      <c r="D1468" s="2">
        <v>45744</v>
      </c>
      <c r="E1468" t="s">
        <v>1524</v>
      </c>
      <c r="F1468" t="s">
        <v>1868</v>
      </c>
      <c r="G1468" t="s">
        <v>2090</v>
      </c>
      <c r="H1468" t="s">
        <v>2316</v>
      </c>
      <c r="I1468" t="s">
        <v>2317</v>
      </c>
      <c r="J1468" t="s">
        <v>2318</v>
      </c>
      <c r="K1468" t="s">
        <v>2318</v>
      </c>
      <c r="L1468">
        <v>335328</v>
      </c>
      <c r="M1468" t="s">
        <v>2328</v>
      </c>
      <c r="N1468" t="s">
        <v>3031</v>
      </c>
      <c r="O1468" t="s">
        <v>3053</v>
      </c>
      <c r="P1468" t="s">
        <v>3066</v>
      </c>
      <c r="Q1468" t="s">
        <v>3894</v>
      </c>
      <c r="R1468">
        <v>162.61000000000001</v>
      </c>
      <c r="S1468">
        <v>1</v>
      </c>
      <c r="T1468">
        <v>0.2</v>
      </c>
      <c r="U1468">
        <v>8.0500000000000007</v>
      </c>
    </row>
    <row r="1469" spans="1:21" x14ac:dyDescent="0.3">
      <c r="A1469">
        <v>1468</v>
      </c>
      <c r="B1469" t="s">
        <v>1488</v>
      </c>
      <c r="C1469" s="2">
        <v>45602</v>
      </c>
      <c r="D1469" s="2">
        <v>45605</v>
      </c>
      <c r="E1469" t="s">
        <v>1524</v>
      </c>
      <c r="F1469" t="s">
        <v>1772</v>
      </c>
      <c r="G1469" t="s">
        <v>2072</v>
      </c>
      <c r="H1469" t="s">
        <v>2314</v>
      </c>
      <c r="I1469" t="s">
        <v>2317</v>
      </c>
      <c r="J1469" t="s">
        <v>2321</v>
      </c>
      <c r="K1469" t="s">
        <v>2321</v>
      </c>
      <c r="L1469">
        <v>863070</v>
      </c>
      <c r="M1469" t="s">
        <v>2329</v>
      </c>
      <c r="N1469" t="s">
        <v>2626</v>
      </c>
      <c r="O1469" t="s">
        <v>3054</v>
      </c>
      <c r="P1469" t="s">
        <v>3058</v>
      </c>
      <c r="Q1469" t="s">
        <v>3439</v>
      </c>
      <c r="R1469">
        <v>98.39</v>
      </c>
      <c r="S1469">
        <v>7</v>
      </c>
      <c r="T1469">
        <v>0.05</v>
      </c>
      <c r="U1469">
        <v>1.1100000000000001</v>
      </c>
    </row>
    <row r="1470" spans="1:21" x14ac:dyDescent="0.3">
      <c r="A1470">
        <v>1469</v>
      </c>
      <c r="B1470" t="s">
        <v>1489</v>
      </c>
      <c r="C1470" s="2">
        <v>45461</v>
      </c>
      <c r="D1470" s="2">
        <v>45463</v>
      </c>
      <c r="E1470" t="s">
        <v>1521</v>
      </c>
      <c r="F1470" t="s">
        <v>1626</v>
      </c>
      <c r="G1470" t="s">
        <v>2281</v>
      </c>
      <c r="H1470" t="s">
        <v>2315</v>
      </c>
      <c r="I1470" t="s">
        <v>2317</v>
      </c>
      <c r="J1470" t="s">
        <v>2325</v>
      </c>
      <c r="K1470" t="s">
        <v>2325</v>
      </c>
      <c r="L1470">
        <v>421133</v>
      </c>
      <c r="M1470" t="s">
        <v>2332</v>
      </c>
      <c r="N1470" t="s">
        <v>2692</v>
      </c>
      <c r="O1470" t="s">
        <v>3055</v>
      </c>
      <c r="P1470" t="s">
        <v>3059</v>
      </c>
      <c r="Q1470" t="s">
        <v>3213</v>
      </c>
      <c r="R1470">
        <v>682.44</v>
      </c>
      <c r="S1470">
        <v>7</v>
      </c>
      <c r="T1470">
        <v>0.1</v>
      </c>
      <c r="U1470">
        <v>64.400000000000006</v>
      </c>
    </row>
    <row r="1471" spans="1:21" x14ac:dyDescent="0.3">
      <c r="A1471">
        <v>1470</v>
      </c>
      <c r="B1471" t="s">
        <v>1490</v>
      </c>
      <c r="C1471" s="2">
        <v>45837</v>
      </c>
      <c r="D1471" s="2">
        <v>45839</v>
      </c>
      <c r="E1471" t="s">
        <v>1522</v>
      </c>
      <c r="F1471" t="s">
        <v>1555</v>
      </c>
      <c r="G1471" t="s">
        <v>2238</v>
      </c>
      <c r="H1471" t="s">
        <v>2315</v>
      </c>
      <c r="I1471" t="s">
        <v>2317</v>
      </c>
      <c r="J1471" t="s">
        <v>2319</v>
      </c>
      <c r="K1471" t="s">
        <v>2319</v>
      </c>
      <c r="L1471">
        <v>183394</v>
      </c>
      <c r="M1471" t="s">
        <v>2329</v>
      </c>
      <c r="N1471" t="s">
        <v>2431</v>
      </c>
      <c r="O1471" t="s">
        <v>3055</v>
      </c>
      <c r="P1471" t="s">
        <v>3067</v>
      </c>
      <c r="Q1471" t="s">
        <v>3895</v>
      </c>
      <c r="R1471">
        <v>92.86</v>
      </c>
      <c r="S1471">
        <v>5</v>
      </c>
      <c r="T1471">
        <v>0.2</v>
      </c>
      <c r="U1471">
        <v>15.77</v>
      </c>
    </row>
    <row r="1472" spans="1:21" x14ac:dyDescent="0.3">
      <c r="A1472">
        <v>1471</v>
      </c>
      <c r="B1472" t="s">
        <v>1491</v>
      </c>
      <c r="C1472" s="2">
        <v>45705</v>
      </c>
      <c r="D1472" s="2">
        <v>45706</v>
      </c>
      <c r="E1472" t="s">
        <v>1521</v>
      </c>
      <c r="F1472" t="s">
        <v>1612</v>
      </c>
      <c r="G1472" t="s">
        <v>2103</v>
      </c>
      <c r="H1472" t="s">
        <v>2316</v>
      </c>
      <c r="I1472" t="s">
        <v>2317</v>
      </c>
      <c r="J1472" t="s">
        <v>2327</v>
      </c>
      <c r="K1472" t="s">
        <v>2327</v>
      </c>
      <c r="L1472">
        <v>254558</v>
      </c>
      <c r="M1472" t="s">
        <v>2330</v>
      </c>
      <c r="N1472" t="s">
        <v>2875</v>
      </c>
      <c r="O1472" t="s">
        <v>3055</v>
      </c>
      <c r="P1472" t="s">
        <v>3059</v>
      </c>
      <c r="Q1472" t="s">
        <v>3167</v>
      </c>
      <c r="R1472">
        <v>401.48</v>
      </c>
      <c r="S1472">
        <v>2</v>
      </c>
      <c r="T1472">
        <v>0.15</v>
      </c>
      <c r="U1472">
        <v>20.66</v>
      </c>
    </row>
    <row r="1473" spans="1:21" x14ac:dyDescent="0.3">
      <c r="A1473">
        <v>1472</v>
      </c>
      <c r="B1473" t="s">
        <v>1492</v>
      </c>
      <c r="C1473" s="2">
        <v>45542</v>
      </c>
      <c r="D1473" s="2">
        <v>45544</v>
      </c>
      <c r="E1473" t="s">
        <v>1522</v>
      </c>
      <c r="F1473" t="s">
        <v>1820</v>
      </c>
      <c r="G1473" t="s">
        <v>2257</v>
      </c>
      <c r="H1473" t="s">
        <v>2315</v>
      </c>
      <c r="I1473" t="s">
        <v>2317</v>
      </c>
      <c r="J1473" t="s">
        <v>2326</v>
      </c>
      <c r="K1473" t="s">
        <v>2326</v>
      </c>
      <c r="L1473">
        <v>567448</v>
      </c>
      <c r="M1473" t="s">
        <v>2331</v>
      </c>
      <c r="N1473" t="s">
        <v>3045</v>
      </c>
      <c r="O1473" t="s">
        <v>3054</v>
      </c>
      <c r="P1473" t="s">
        <v>3063</v>
      </c>
      <c r="Q1473" t="s">
        <v>3405</v>
      </c>
      <c r="R1473">
        <v>109.62</v>
      </c>
      <c r="S1473">
        <v>7</v>
      </c>
      <c r="T1473">
        <v>0.2</v>
      </c>
      <c r="U1473">
        <v>46.15</v>
      </c>
    </row>
    <row r="1474" spans="1:21" x14ac:dyDescent="0.3">
      <c r="A1474">
        <v>1473</v>
      </c>
      <c r="B1474" t="s">
        <v>1493</v>
      </c>
      <c r="C1474" s="2">
        <v>45432</v>
      </c>
      <c r="D1474" s="2">
        <v>45437</v>
      </c>
      <c r="E1474" t="s">
        <v>1521</v>
      </c>
      <c r="F1474" t="s">
        <v>1809</v>
      </c>
      <c r="G1474" t="s">
        <v>2115</v>
      </c>
      <c r="H1474" t="s">
        <v>2316</v>
      </c>
      <c r="I1474" t="s">
        <v>2317</v>
      </c>
      <c r="J1474" t="s">
        <v>2320</v>
      </c>
      <c r="K1474" t="s">
        <v>2320</v>
      </c>
      <c r="L1474">
        <v>665921</v>
      </c>
      <c r="M1474" t="s">
        <v>2330</v>
      </c>
      <c r="N1474" t="s">
        <v>2604</v>
      </c>
      <c r="O1474" t="s">
        <v>3054</v>
      </c>
      <c r="P1474" t="s">
        <v>3063</v>
      </c>
      <c r="Q1474" t="s">
        <v>3871</v>
      </c>
      <c r="R1474">
        <v>241.69</v>
      </c>
      <c r="S1474">
        <v>2</v>
      </c>
      <c r="T1474">
        <v>0.1</v>
      </c>
      <c r="U1474">
        <v>19.84</v>
      </c>
    </row>
    <row r="1475" spans="1:21" x14ac:dyDescent="0.3">
      <c r="A1475">
        <v>1474</v>
      </c>
      <c r="B1475" t="s">
        <v>1494</v>
      </c>
      <c r="C1475" s="2">
        <v>45565</v>
      </c>
      <c r="D1475" s="2">
        <v>45568</v>
      </c>
      <c r="E1475" t="s">
        <v>1524</v>
      </c>
      <c r="F1475" t="s">
        <v>1526</v>
      </c>
      <c r="G1475" t="s">
        <v>1941</v>
      </c>
      <c r="H1475" t="s">
        <v>2314</v>
      </c>
      <c r="I1475" t="s">
        <v>2317</v>
      </c>
      <c r="J1475" t="s">
        <v>2320</v>
      </c>
      <c r="K1475" t="s">
        <v>2320</v>
      </c>
      <c r="L1475">
        <v>171656</v>
      </c>
      <c r="M1475" t="s">
        <v>2330</v>
      </c>
      <c r="N1475" t="s">
        <v>2735</v>
      </c>
      <c r="O1475" t="s">
        <v>3055</v>
      </c>
      <c r="P1475" t="s">
        <v>3061</v>
      </c>
      <c r="Q1475" t="s">
        <v>3896</v>
      </c>
      <c r="R1475">
        <v>488.74</v>
      </c>
      <c r="S1475">
        <v>4</v>
      </c>
      <c r="T1475">
        <v>0</v>
      </c>
      <c r="U1475">
        <v>61.66</v>
      </c>
    </row>
    <row r="1476" spans="1:21" x14ac:dyDescent="0.3">
      <c r="A1476">
        <v>1475</v>
      </c>
      <c r="B1476" t="s">
        <v>1495</v>
      </c>
      <c r="C1476" s="2">
        <v>45707</v>
      </c>
      <c r="D1476" s="2">
        <v>45708</v>
      </c>
      <c r="E1476" t="s">
        <v>1523</v>
      </c>
      <c r="F1476" t="s">
        <v>1674</v>
      </c>
      <c r="G1476" t="s">
        <v>2043</v>
      </c>
      <c r="H1476" t="s">
        <v>2315</v>
      </c>
      <c r="I1476" t="s">
        <v>2317</v>
      </c>
      <c r="J1476" t="s">
        <v>2320</v>
      </c>
      <c r="K1476" t="s">
        <v>2320</v>
      </c>
      <c r="L1476">
        <v>578562</v>
      </c>
      <c r="M1476" t="s">
        <v>2330</v>
      </c>
      <c r="N1476" t="s">
        <v>2338</v>
      </c>
      <c r="O1476" t="s">
        <v>3055</v>
      </c>
      <c r="P1476" t="s">
        <v>3059</v>
      </c>
      <c r="Q1476" t="s">
        <v>3213</v>
      </c>
      <c r="R1476">
        <v>521.94000000000005</v>
      </c>
      <c r="S1476">
        <v>7</v>
      </c>
      <c r="T1476">
        <v>0.2</v>
      </c>
      <c r="U1476">
        <v>-13.75</v>
      </c>
    </row>
    <row r="1477" spans="1:21" x14ac:dyDescent="0.3">
      <c r="A1477">
        <v>1476</v>
      </c>
      <c r="B1477" t="s">
        <v>1496</v>
      </c>
      <c r="C1477" s="2">
        <v>45899</v>
      </c>
      <c r="D1477" s="2">
        <v>45903</v>
      </c>
      <c r="E1477" t="s">
        <v>1523</v>
      </c>
      <c r="F1477" t="s">
        <v>1551</v>
      </c>
      <c r="G1477" t="s">
        <v>2221</v>
      </c>
      <c r="H1477" t="s">
        <v>2315</v>
      </c>
      <c r="I1477" t="s">
        <v>2317</v>
      </c>
      <c r="J1477" t="s">
        <v>2322</v>
      </c>
      <c r="K1477" t="s">
        <v>2322</v>
      </c>
      <c r="L1477">
        <v>858860</v>
      </c>
      <c r="M1477" t="s">
        <v>2331</v>
      </c>
      <c r="N1477" t="s">
        <v>3046</v>
      </c>
      <c r="O1477" t="s">
        <v>3055</v>
      </c>
      <c r="P1477" t="s">
        <v>3060</v>
      </c>
      <c r="Q1477" t="s">
        <v>3234</v>
      </c>
      <c r="R1477">
        <v>240.24</v>
      </c>
      <c r="S1477">
        <v>9</v>
      </c>
      <c r="T1477">
        <v>0.2</v>
      </c>
      <c r="U1477">
        <v>-15.1</v>
      </c>
    </row>
    <row r="1478" spans="1:21" x14ac:dyDescent="0.3">
      <c r="A1478">
        <v>1477</v>
      </c>
      <c r="B1478" t="s">
        <v>1497</v>
      </c>
      <c r="C1478" s="2">
        <v>45330</v>
      </c>
      <c r="D1478" s="2">
        <v>45331</v>
      </c>
      <c r="E1478" t="s">
        <v>1524</v>
      </c>
      <c r="F1478" t="s">
        <v>1716</v>
      </c>
      <c r="G1478" t="s">
        <v>2017</v>
      </c>
      <c r="H1478" t="s">
        <v>2314</v>
      </c>
      <c r="I1478" t="s">
        <v>2317</v>
      </c>
      <c r="J1478" t="s">
        <v>2320</v>
      </c>
      <c r="K1478" t="s">
        <v>2320</v>
      </c>
      <c r="L1478">
        <v>602911</v>
      </c>
      <c r="M1478" t="s">
        <v>2330</v>
      </c>
      <c r="N1478" t="s">
        <v>3047</v>
      </c>
      <c r="O1478" t="s">
        <v>3055</v>
      </c>
      <c r="P1478" t="s">
        <v>3061</v>
      </c>
      <c r="Q1478" t="s">
        <v>3897</v>
      </c>
      <c r="R1478">
        <v>275.77</v>
      </c>
      <c r="S1478">
        <v>8</v>
      </c>
      <c r="T1478">
        <v>0.1</v>
      </c>
      <c r="U1478">
        <v>37.65</v>
      </c>
    </row>
    <row r="1479" spans="1:21" x14ac:dyDescent="0.3">
      <c r="A1479">
        <v>1478</v>
      </c>
      <c r="B1479" t="s">
        <v>1498</v>
      </c>
      <c r="C1479" s="2">
        <v>45320</v>
      </c>
      <c r="D1479" s="2">
        <v>45322</v>
      </c>
      <c r="E1479" t="s">
        <v>1523</v>
      </c>
      <c r="F1479" t="s">
        <v>1845</v>
      </c>
      <c r="G1479" t="s">
        <v>1937</v>
      </c>
      <c r="H1479" t="s">
        <v>2315</v>
      </c>
      <c r="I1479" t="s">
        <v>2317</v>
      </c>
      <c r="J1479" t="s">
        <v>2327</v>
      </c>
      <c r="K1479" t="s">
        <v>2327</v>
      </c>
      <c r="L1479">
        <v>780583</v>
      </c>
      <c r="M1479" t="s">
        <v>2330</v>
      </c>
      <c r="N1479" t="s">
        <v>2567</v>
      </c>
      <c r="O1479" t="s">
        <v>3054</v>
      </c>
      <c r="P1479" t="s">
        <v>3063</v>
      </c>
      <c r="Q1479" t="s">
        <v>3898</v>
      </c>
      <c r="R1479">
        <v>64.17</v>
      </c>
      <c r="S1479">
        <v>3</v>
      </c>
      <c r="T1479">
        <v>0.3</v>
      </c>
      <c r="U1479">
        <v>-25.71</v>
      </c>
    </row>
    <row r="1480" spans="1:21" x14ac:dyDescent="0.3">
      <c r="A1480">
        <v>1479</v>
      </c>
      <c r="B1480" t="s">
        <v>1499</v>
      </c>
      <c r="C1480" s="2">
        <v>45768</v>
      </c>
      <c r="D1480" s="2">
        <v>45769</v>
      </c>
      <c r="E1480" t="s">
        <v>1521</v>
      </c>
      <c r="F1480" t="s">
        <v>1728</v>
      </c>
      <c r="G1480" t="s">
        <v>2306</v>
      </c>
      <c r="H1480" t="s">
        <v>2314</v>
      </c>
      <c r="I1480" t="s">
        <v>2317</v>
      </c>
      <c r="J1480" t="s">
        <v>2319</v>
      </c>
      <c r="K1480" t="s">
        <v>2319</v>
      </c>
      <c r="L1480">
        <v>624201</v>
      </c>
      <c r="M1480" t="s">
        <v>2329</v>
      </c>
      <c r="N1480" t="s">
        <v>3048</v>
      </c>
      <c r="O1480" t="s">
        <v>3054</v>
      </c>
      <c r="P1480" t="s">
        <v>3064</v>
      </c>
      <c r="Q1480" t="s">
        <v>3082</v>
      </c>
      <c r="R1480">
        <v>45.6</v>
      </c>
      <c r="S1480">
        <v>2</v>
      </c>
      <c r="T1480">
        <v>0.2</v>
      </c>
      <c r="U1480">
        <v>-20.46</v>
      </c>
    </row>
    <row r="1481" spans="1:21" x14ac:dyDescent="0.3">
      <c r="A1481">
        <v>1480</v>
      </c>
      <c r="B1481" t="s">
        <v>1500</v>
      </c>
      <c r="C1481" s="2">
        <v>45609</v>
      </c>
      <c r="D1481" s="2">
        <v>45610</v>
      </c>
      <c r="E1481" t="s">
        <v>1524</v>
      </c>
      <c r="F1481" t="s">
        <v>1635</v>
      </c>
      <c r="G1481" t="s">
        <v>2203</v>
      </c>
      <c r="H1481" t="s">
        <v>2314</v>
      </c>
      <c r="I1481" t="s">
        <v>2317</v>
      </c>
      <c r="J1481" t="s">
        <v>2320</v>
      </c>
      <c r="K1481" t="s">
        <v>2320</v>
      </c>
      <c r="L1481">
        <v>105589</v>
      </c>
      <c r="M1481" t="s">
        <v>2330</v>
      </c>
      <c r="N1481" t="s">
        <v>2862</v>
      </c>
      <c r="O1481" t="s">
        <v>3053</v>
      </c>
      <c r="P1481" t="s">
        <v>3066</v>
      </c>
      <c r="Q1481" t="s">
        <v>3680</v>
      </c>
      <c r="R1481">
        <v>292.23</v>
      </c>
      <c r="S1481">
        <v>6</v>
      </c>
      <c r="T1481">
        <v>0.1</v>
      </c>
      <c r="U1481">
        <v>18.93</v>
      </c>
    </row>
    <row r="1482" spans="1:21" x14ac:dyDescent="0.3">
      <c r="A1482">
        <v>1481</v>
      </c>
      <c r="B1482" t="s">
        <v>1501</v>
      </c>
      <c r="C1482" s="2">
        <v>45536</v>
      </c>
      <c r="D1482" s="2">
        <v>45539</v>
      </c>
      <c r="E1482" t="s">
        <v>1522</v>
      </c>
      <c r="F1482" t="s">
        <v>1610</v>
      </c>
      <c r="G1482" t="s">
        <v>2220</v>
      </c>
      <c r="H1482" t="s">
        <v>2316</v>
      </c>
      <c r="I1482" t="s">
        <v>2317</v>
      </c>
      <c r="J1482" t="s">
        <v>2318</v>
      </c>
      <c r="K1482" t="s">
        <v>2318</v>
      </c>
      <c r="L1482">
        <v>997561</v>
      </c>
      <c r="M1482" t="s">
        <v>2328</v>
      </c>
      <c r="N1482" t="s">
        <v>3049</v>
      </c>
      <c r="O1482" t="s">
        <v>3054</v>
      </c>
      <c r="P1482" t="s">
        <v>3064</v>
      </c>
      <c r="Q1482" t="s">
        <v>3864</v>
      </c>
      <c r="R1482">
        <v>60.31</v>
      </c>
      <c r="S1482">
        <v>1</v>
      </c>
      <c r="T1482">
        <v>0.3</v>
      </c>
      <c r="U1482">
        <v>-41.99</v>
      </c>
    </row>
    <row r="1483" spans="1:21" x14ac:dyDescent="0.3">
      <c r="A1483">
        <v>1482</v>
      </c>
      <c r="B1483" t="s">
        <v>1502</v>
      </c>
      <c r="C1483" s="2">
        <v>45988</v>
      </c>
      <c r="D1483" s="2">
        <v>45991</v>
      </c>
      <c r="E1483" t="s">
        <v>1521</v>
      </c>
      <c r="F1483" t="s">
        <v>1642</v>
      </c>
      <c r="G1483" t="s">
        <v>2045</v>
      </c>
      <c r="H1483" t="s">
        <v>2316</v>
      </c>
      <c r="I1483" t="s">
        <v>2317</v>
      </c>
      <c r="J1483" t="s">
        <v>2318</v>
      </c>
      <c r="K1483" t="s">
        <v>2318</v>
      </c>
      <c r="L1483">
        <v>628044</v>
      </c>
      <c r="M1483" t="s">
        <v>2328</v>
      </c>
      <c r="N1483" t="s">
        <v>3029</v>
      </c>
      <c r="O1483" t="s">
        <v>3055</v>
      </c>
      <c r="P1483" t="s">
        <v>3060</v>
      </c>
      <c r="Q1483" t="s">
        <v>3317</v>
      </c>
      <c r="R1483">
        <v>731.03</v>
      </c>
      <c r="S1483">
        <v>4</v>
      </c>
      <c r="T1483">
        <v>0.2</v>
      </c>
      <c r="U1483">
        <v>11.05</v>
      </c>
    </row>
    <row r="1484" spans="1:21" x14ac:dyDescent="0.3">
      <c r="A1484">
        <v>1483</v>
      </c>
      <c r="B1484" t="s">
        <v>1503</v>
      </c>
      <c r="C1484" s="2">
        <v>45563</v>
      </c>
      <c r="D1484" s="2">
        <v>45568</v>
      </c>
      <c r="E1484" t="s">
        <v>1524</v>
      </c>
      <c r="F1484" t="s">
        <v>1688</v>
      </c>
      <c r="G1484" t="s">
        <v>2028</v>
      </c>
      <c r="H1484" t="s">
        <v>2316</v>
      </c>
      <c r="I1484" t="s">
        <v>2317</v>
      </c>
      <c r="J1484" t="s">
        <v>2322</v>
      </c>
      <c r="K1484" t="s">
        <v>2322</v>
      </c>
      <c r="L1484">
        <v>450804</v>
      </c>
      <c r="M1484" t="s">
        <v>2331</v>
      </c>
      <c r="N1484" t="s">
        <v>2362</v>
      </c>
      <c r="O1484" t="s">
        <v>3054</v>
      </c>
      <c r="P1484" t="s">
        <v>3064</v>
      </c>
      <c r="Q1484" t="s">
        <v>3883</v>
      </c>
      <c r="R1484">
        <v>89.12</v>
      </c>
      <c r="S1484">
        <v>8</v>
      </c>
      <c r="T1484">
        <v>0.2</v>
      </c>
      <c r="U1484">
        <v>31.15</v>
      </c>
    </row>
    <row r="1485" spans="1:21" x14ac:dyDescent="0.3">
      <c r="A1485">
        <v>1484</v>
      </c>
      <c r="B1485" t="s">
        <v>1504</v>
      </c>
      <c r="C1485" s="2">
        <v>45731</v>
      </c>
      <c r="D1485" s="2">
        <v>45734</v>
      </c>
      <c r="E1485" t="s">
        <v>1523</v>
      </c>
      <c r="F1485" t="s">
        <v>1714</v>
      </c>
      <c r="G1485" t="s">
        <v>2206</v>
      </c>
      <c r="H1485" t="s">
        <v>2316</v>
      </c>
      <c r="I1485" t="s">
        <v>2317</v>
      </c>
      <c r="J1485" t="s">
        <v>2327</v>
      </c>
      <c r="K1485" t="s">
        <v>2327</v>
      </c>
      <c r="L1485">
        <v>525618</v>
      </c>
      <c r="M1485" t="s">
        <v>2330</v>
      </c>
      <c r="N1485" t="s">
        <v>2434</v>
      </c>
      <c r="O1485" t="s">
        <v>3054</v>
      </c>
      <c r="P1485" t="s">
        <v>3058</v>
      </c>
      <c r="Q1485" t="s">
        <v>3899</v>
      </c>
      <c r="R1485">
        <v>142.76</v>
      </c>
      <c r="S1485">
        <v>8</v>
      </c>
      <c r="T1485">
        <v>0.1</v>
      </c>
      <c r="U1485">
        <v>47.25</v>
      </c>
    </row>
    <row r="1486" spans="1:21" x14ac:dyDescent="0.3">
      <c r="A1486">
        <v>1485</v>
      </c>
      <c r="B1486" t="s">
        <v>1505</v>
      </c>
      <c r="C1486" s="2">
        <v>45530</v>
      </c>
      <c r="D1486" s="2">
        <v>45534</v>
      </c>
      <c r="E1486" t="s">
        <v>1523</v>
      </c>
      <c r="F1486" t="s">
        <v>1653</v>
      </c>
      <c r="G1486" t="s">
        <v>2232</v>
      </c>
      <c r="H1486" t="s">
        <v>2314</v>
      </c>
      <c r="I1486" t="s">
        <v>2317</v>
      </c>
      <c r="J1486" t="s">
        <v>2319</v>
      </c>
      <c r="K1486" t="s">
        <v>2319</v>
      </c>
      <c r="L1486">
        <v>269488</v>
      </c>
      <c r="M1486" t="s">
        <v>2329</v>
      </c>
      <c r="N1486" t="s">
        <v>2799</v>
      </c>
      <c r="O1486" t="s">
        <v>3053</v>
      </c>
      <c r="P1486" t="s">
        <v>3062</v>
      </c>
      <c r="Q1486" t="s">
        <v>3900</v>
      </c>
      <c r="R1486">
        <v>207.64</v>
      </c>
      <c r="S1486">
        <v>4</v>
      </c>
      <c r="T1486">
        <v>0.4</v>
      </c>
      <c r="U1486">
        <v>-33.58</v>
      </c>
    </row>
    <row r="1487" spans="1:21" x14ac:dyDescent="0.3">
      <c r="A1487">
        <v>1486</v>
      </c>
      <c r="B1487" t="s">
        <v>1506</v>
      </c>
      <c r="C1487" s="2">
        <v>45668</v>
      </c>
      <c r="D1487" s="2">
        <v>45671</v>
      </c>
      <c r="E1487" t="s">
        <v>1522</v>
      </c>
      <c r="F1487" t="s">
        <v>1678</v>
      </c>
      <c r="G1487" t="s">
        <v>2009</v>
      </c>
      <c r="H1487" t="s">
        <v>2315</v>
      </c>
      <c r="I1487" t="s">
        <v>2317</v>
      </c>
      <c r="J1487" t="s">
        <v>2326</v>
      </c>
      <c r="K1487" t="s">
        <v>2326</v>
      </c>
      <c r="L1487">
        <v>814129</v>
      </c>
      <c r="M1487" t="s">
        <v>2331</v>
      </c>
      <c r="N1487" t="s">
        <v>2735</v>
      </c>
      <c r="O1487" t="s">
        <v>3054</v>
      </c>
      <c r="P1487" t="s">
        <v>3063</v>
      </c>
      <c r="Q1487" t="s">
        <v>3238</v>
      </c>
      <c r="R1487">
        <v>35.43</v>
      </c>
      <c r="S1487">
        <v>6</v>
      </c>
      <c r="T1487">
        <v>0.2</v>
      </c>
      <c r="U1487">
        <v>-7.35</v>
      </c>
    </row>
    <row r="1488" spans="1:21" x14ac:dyDescent="0.3">
      <c r="A1488">
        <v>1487</v>
      </c>
      <c r="B1488" t="s">
        <v>1507</v>
      </c>
      <c r="C1488" s="2">
        <v>45557</v>
      </c>
      <c r="D1488" s="2">
        <v>45561</v>
      </c>
      <c r="E1488" t="s">
        <v>1523</v>
      </c>
      <c r="F1488" t="s">
        <v>1621</v>
      </c>
      <c r="G1488" t="s">
        <v>1955</v>
      </c>
      <c r="H1488" t="s">
        <v>2315</v>
      </c>
      <c r="I1488" t="s">
        <v>2317</v>
      </c>
      <c r="J1488" t="s">
        <v>2321</v>
      </c>
      <c r="K1488" t="s">
        <v>2321</v>
      </c>
      <c r="L1488">
        <v>351061</v>
      </c>
      <c r="M1488" t="s">
        <v>2329</v>
      </c>
      <c r="N1488" t="s">
        <v>3050</v>
      </c>
      <c r="O1488" t="s">
        <v>3055</v>
      </c>
      <c r="P1488" t="s">
        <v>3067</v>
      </c>
      <c r="Q1488" t="s">
        <v>3901</v>
      </c>
      <c r="R1488">
        <v>1092.23</v>
      </c>
      <c r="S1488">
        <v>7</v>
      </c>
      <c r="T1488">
        <v>0.1</v>
      </c>
      <c r="U1488">
        <v>83.84</v>
      </c>
    </row>
    <row r="1489" spans="1:21" x14ac:dyDescent="0.3">
      <c r="A1489">
        <v>1488</v>
      </c>
      <c r="B1489" t="s">
        <v>1508</v>
      </c>
      <c r="C1489" s="2">
        <v>45650</v>
      </c>
      <c r="D1489" s="2">
        <v>45653</v>
      </c>
      <c r="E1489" t="s">
        <v>1522</v>
      </c>
      <c r="F1489" t="s">
        <v>1621</v>
      </c>
      <c r="G1489" t="s">
        <v>1941</v>
      </c>
      <c r="H1489" t="s">
        <v>2314</v>
      </c>
      <c r="I1489" t="s">
        <v>2317</v>
      </c>
      <c r="J1489" t="s">
        <v>2319</v>
      </c>
      <c r="K1489" t="s">
        <v>2319</v>
      </c>
      <c r="L1489">
        <v>379067</v>
      </c>
      <c r="M1489" t="s">
        <v>2329</v>
      </c>
      <c r="N1489" t="s">
        <v>2604</v>
      </c>
      <c r="O1489" t="s">
        <v>3055</v>
      </c>
      <c r="P1489" t="s">
        <v>3059</v>
      </c>
      <c r="Q1489" t="s">
        <v>3513</v>
      </c>
      <c r="R1489">
        <v>277.27</v>
      </c>
      <c r="S1489">
        <v>6</v>
      </c>
      <c r="T1489">
        <v>0.15</v>
      </c>
      <c r="U1489">
        <v>-25.88</v>
      </c>
    </row>
    <row r="1490" spans="1:21" x14ac:dyDescent="0.3">
      <c r="A1490">
        <v>1489</v>
      </c>
      <c r="B1490" t="s">
        <v>1509</v>
      </c>
      <c r="C1490" s="2">
        <v>45631</v>
      </c>
      <c r="D1490" s="2">
        <v>45635</v>
      </c>
      <c r="E1490" t="s">
        <v>1522</v>
      </c>
      <c r="F1490" t="s">
        <v>1723</v>
      </c>
      <c r="G1490" t="s">
        <v>1927</v>
      </c>
      <c r="H1490" t="s">
        <v>2315</v>
      </c>
      <c r="I1490" t="s">
        <v>2317</v>
      </c>
      <c r="J1490" t="s">
        <v>2321</v>
      </c>
      <c r="K1490" t="s">
        <v>2321</v>
      </c>
      <c r="L1490">
        <v>598338</v>
      </c>
      <c r="M1490" t="s">
        <v>2329</v>
      </c>
      <c r="N1490" t="s">
        <v>2477</v>
      </c>
      <c r="O1490" t="s">
        <v>3055</v>
      </c>
      <c r="P1490" t="s">
        <v>3067</v>
      </c>
      <c r="Q1490" t="s">
        <v>3902</v>
      </c>
      <c r="R1490">
        <v>494.04</v>
      </c>
      <c r="S1490">
        <v>7</v>
      </c>
      <c r="T1490">
        <v>0.15</v>
      </c>
      <c r="U1490">
        <v>63.08</v>
      </c>
    </row>
    <row r="1491" spans="1:21" x14ac:dyDescent="0.3">
      <c r="A1491">
        <v>1490</v>
      </c>
      <c r="B1491" t="s">
        <v>1510</v>
      </c>
      <c r="C1491" s="2">
        <v>45680</v>
      </c>
      <c r="D1491" s="2">
        <v>45683</v>
      </c>
      <c r="E1491" t="s">
        <v>1522</v>
      </c>
      <c r="F1491" t="s">
        <v>1529</v>
      </c>
      <c r="G1491" t="s">
        <v>2063</v>
      </c>
      <c r="H1491" t="s">
        <v>2315</v>
      </c>
      <c r="I1491" t="s">
        <v>2317</v>
      </c>
      <c r="J1491" t="s">
        <v>2325</v>
      </c>
      <c r="K1491" t="s">
        <v>2325</v>
      </c>
      <c r="L1491">
        <v>843588</v>
      </c>
      <c r="M1491" t="s">
        <v>2332</v>
      </c>
      <c r="N1491" t="s">
        <v>2897</v>
      </c>
      <c r="O1491" t="s">
        <v>3053</v>
      </c>
      <c r="P1491" t="s">
        <v>3062</v>
      </c>
      <c r="Q1491" t="s">
        <v>3343</v>
      </c>
      <c r="R1491">
        <v>151.44</v>
      </c>
      <c r="S1491">
        <v>4</v>
      </c>
      <c r="T1491">
        <v>0.15</v>
      </c>
      <c r="U1491">
        <v>22.08</v>
      </c>
    </row>
    <row r="1492" spans="1:21" x14ac:dyDescent="0.3">
      <c r="A1492">
        <v>1491</v>
      </c>
      <c r="B1492" t="s">
        <v>1511</v>
      </c>
      <c r="C1492" s="2">
        <v>45868</v>
      </c>
      <c r="D1492" s="2">
        <v>45869</v>
      </c>
      <c r="E1492" t="s">
        <v>1524</v>
      </c>
      <c r="F1492" t="s">
        <v>1706</v>
      </c>
      <c r="G1492" t="s">
        <v>2026</v>
      </c>
      <c r="H1492" t="s">
        <v>2314</v>
      </c>
      <c r="I1492" t="s">
        <v>2317</v>
      </c>
      <c r="J1492" t="s">
        <v>2321</v>
      </c>
      <c r="K1492" t="s">
        <v>2321</v>
      </c>
      <c r="L1492">
        <v>722604</v>
      </c>
      <c r="M1492" t="s">
        <v>2329</v>
      </c>
      <c r="N1492" t="s">
        <v>3051</v>
      </c>
      <c r="O1492" t="s">
        <v>3054</v>
      </c>
      <c r="P1492" t="s">
        <v>3058</v>
      </c>
      <c r="Q1492" t="s">
        <v>3142</v>
      </c>
      <c r="R1492">
        <v>91.47</v>
      </c>
      <c r="S1492">
        <v>7</v>
      </c>
      <c r="T1492">
        <v>0.15</v>
      </c>
      <c r="U1492">
        <v>8.8699999999999992</v>
      </c>
    </row>
    <row r="1493" spans="1:21" x14ac:dyDescent="0.3">
      <c r="A1493">
        <v>1492</v>
      </c>
      <c r="B1493" t="s">
        <v>1512</v>
      </c>
      <c r="C1493" s="2">
        <v>45980</v>
      </c>
      <c r="D1493" s="2">
        <v>45983</v>
      </c>
      <c r="E1493" t="s">
        <v>1523</v>
      </c>
      <c r="F1493" t="s">
        <v>1546</v>
      </c>
      <c r="G1493" t="s">
        <v>2009</v>
      </c>
      <c r="H1493" t="s">
        <v>2315</v>
      </c>
      <c r="I1493" t="s">
        <v>2317</v>
      </c>
      <c r="J1493" t="s">
        <v>2324</v>
      </c>
      <c r="K1493" t="s">
        <v>2324</v>
      </c>
      <c r="L1493">
        <v>608906</v>
      </c>
      <c r="M1493" t="s">
        <v>2330</v>
      </c>
      <c r="N1493" t="s">
        <v>3009</v>
      </c>
      <c r="O1493" t="s">
        <v>3054</v>
      </c>
      <c r="P1493" t="s">
        <v>3064</v>
      </c>
      <c r="Q1493" t="s">
        <v>3250</v>
      </c>
      <c r="R1493">
        <v>58.35</v>
      </c>
      <c r="S1493">
        <v>1</v>
      </c>
      <c r="T1493">
        <v>0.15</v>
      </c>
      <c r="U1493">
        <v>5.54</v>
      </c>
    </row>
    <row r="1494" spans="1:21" x14ac:dyDescent="0.3">
      <c r="A1494">
        <v>1493</v>
      </c>
      <c r="B1494" t="s">
        <v>1513</v>
      </c>
      <c r="C1494" s="2">
        <v>45294</v>
      </c>
      <c r="D1494" s="2">
        <v>45299</v>
      </c>
      <c r="E1494" t="s">
        <v>1521</v>
      </c>
      <c r="F1494" t="s">
        <v>1790</v>
      </c>
      <c r="G1494" t="s">
        <v>2079</v>
      </c>
      <c r="H1494" t="s">
        <v>2316</v>
      </c>
      <c r="I1494" t="s">
        <v>2317</v>
      </c>
      <c r="J1494" t="s">
        <v>2318</v>
      </c>
      <c r="K1494" t="s">
        <v>2318</v>
      </c>
      <c r="L1494">
        <v>134075</v>
      </c>
      <c r="M1494" t="s">
        <v>2328</v>
      </c>
      <c r="N1494" t="s">
        <v>2894</v>
      </c>
      <c r="O1494" t="s">
        <v>3054</v>
      </c>
      <c r="P1494" t="s">
        <v>3058</v>
      </c>
      <c r="Q1494" t="s">
        <v>3529</v>
      </c>
      <c r="R1494">
        <v>117.77</v>
      </c>
      <c r="S1494">
        <v>6</v>
      </c>
      <c r="T1494">
        <v>0.3</v>
      </c>
      <c r="U1494">
        <v>13.03</v>
      </c>
    </row>
    <row r="1495" spans="1:21" x14ac:dyDescent="0.3">
      <c r="A1495">
        <v>1494</v>
      </c>
      <c r="B1495" t="s">
        <v>1514</v>
      </c>
      <c r="C1495" s="2">
        <v>45720</v>
      </c>
      <c r="D1495" s="2">
        <v>45722</v>
      </c>
      <c r="E1495" t="s">
        <v>1521</v>
      </c>
      <c r="F1495" t="s">
        <v>1552</v>
      </c>
      <c r="G1495" t="s">
        <v>2246</v>
      </c>
      <c r="H1495" t="s">
        <v>2314</v>
      </c>
      <c r="I1495" t="s">
        <v>2317</v>
      </c>
      <c r="J1495" t="s">
        <v>2327</v>
      </c>
      <c r="K1495" t="s">
        <v>2327</v>
      </c>
      <c r="L1495">
        <v>112268</v>
      </c>
      <c r="M1495" t="s">
        <v>2330</v>
      </c>
      <c r="N1495" t="s">
        <v>2842</v>
      </c>
      <c r="O1495" t="s">
        <v>3054</v>
      </c>
      <c r="P1495" t="s">
        <v>3063</v>
      </c>
      <c r="Q1495" t="s">
        <v>3307</v>
      </c>
      <c r="R1495">
        <v>113.61</v>
      </c>
      <c r="S1495">
        <v>3</v>
      </c>
      <c r="T1495">
        <v>0.2</v>
      </c>
      <c r="U1495">
        <v>-21.09</v>
      </c>
    </row>
    <row r="1496" spans="1:21" x14ac:dyDescent="0.3">
      <c r="A1496">
        <v>1495</v>
      </c>
      <c r="B1496" t="s">
        <v>1515</v>
      </c>
      <c r="C1496" s="2">
        <v>45433</v>
      </c>
      <c r="D1496" s="2">
        <v>45434</v>
      </c>
      <c r="E1496" t="s">
        <v>1521</v>
      </c>
      <c r="F1496" t="s">
        <v>1665</v>
      </c>
      <c r="G1496" t="s">
        <v>2129</v>
      </c>
      <c r="H1496" t="s">
        <v>2314</v>
      </c>
      <c r="I1496" t="s">
        <v>2317</v>
      </c>
      <c r="J1496" t="s">
        <v>2323</v>
      </c>
      <c r="K1496" t="s">
        <v>2323</v>
      </c>
      <c r="L1496">
        <v>684791</v>
      </c>
      <c r="M1496" t="s">
        <v>2328</v>
      </c>
      <c r="N1496" t="s">
        <v>2756</v>
      </c>
      <c r="O1496" t="s">
        <v>3054</v>
      </c>
      <c r="P1496" t="s">
        <v>3063</v>
      </c>
      <c r="Q1496" t="s">
        <v>3307</v>
      </c>
      <c r="R1496">
        <v>38.75</v>
      </c>
      <c r="S1496">
        <v>6</v>
      </c>
      <c r="T1496">
        <v>0.15</v>
      </c>
      <c r="U1496">
        <v>5.24</v>
      </c>
    </row>
    <row r="1497" spans="1:21" x14ac:dyDescent="0.3">
      <c r="A1497">
        <v>1496</v>
      </c>
      <c r="B1497" t="s">
        <v>1516</v>
      </c>
      <c r="C1497" s="2">
        <v>45667</v>
      </c>
      <c r="D1497" s="2">
        <v>45668</v>
      </c>
      <c r="E1497" t="s">
        <v>1523</v>
      </c>
      <c r="F1497" t="s">
        <v>1672</v>
      </c>
      <c r="G1497" t="s">
        <v>2061</v>
      </c>
      <c r="H1497" t="s">
        <v>2316</v>
      </c>
      <c r="I1497" t="s">
        <v>2317</v>
      </c>
      <c r="J1497" t="s">
        <v>2322</v>
      </c>
      <c r="K1497" t="s">
        <v>2322</v>
      </c>
      <c r="L1497">
        <v>238498</v>
      </c>
      <c r="M1497" t="s">
        <v>2331</v>
      </c>
      <c r="N1497" t="s">
        <v>2335</v>
      </c>
      <c r="O1497" t="s">
        <v>3055</v>
      </c>
      <c r="P1497" t="s">
        <v>3060</v>
      </c>
      <c r="Q1497" t="s">
        <v>3084</v>
      </c>
      <c r="R1497">
        <v>174.84</v>
      </c>
      <c r="S1497">
        <v>8</v>
      </c>
      <c r="T1497">
        <v>0.1</v>
      </c>
      <c r="U1497">
        <v>0.17</v>
      </c>
    </row>
    <row r="1498" spans="1:21" x14ac:dyDescent="0.3">
      <c r="A1498">
        <v>1497</v>
      </c>
      <c r="B1498" t="s">
        <v>1517</v>
      </c>
      <c r="C1498" s="2">
        <v>45961</v>
      </c>
      <c r="D1498" s="2">
        <v>45964</v>
      </c>
      <c r="E1498" t="s">
        <v>1524</v>
      </c>
      <c r="F1498" t="s">
        <v>1699</v>
      </c>
      <c r="G1498" t="s">
        <v>2291</v>
      </c>
      <c r="H1498" t="s">
        <v>2314</v>
      </c>
      <c r="I1498" t="s">
        <v>2317</v>
      </c>
      <c r="J1498" t="s">
        <v>2324</v>
      </c>
      <c r="K1498" t="s">
        <v>2324</v>
      </c>
      <c r="L1498">
        <v>781867</v>
      </c>
      <c r="M1498" t="s">
        <v>2330</v>
      </c>
      <c r="N1498" t="s">
        <v>2351</v>
      </c>
      <c r="O1498" t="s">
        <v>3053</v>
      </c>
      <c r="P1498" t="s">
        <v>3066</v>
      </c>
      <c r="Q1498" t="s">
        <v>3740</v>
      </c>
      <c r="R1498">
        <v>118.34</v>
      </c>
      <c r="S1498">
        <v>7</v>
      </c>
      <c r="T1498">
        <v>0.3</v>
      </c>
      <c r="U1498">
        <v>27.79</v>
      </c>
    </row>
    <row r="1499" spans="1:21" x14ac:dyDescent="0.3">
      <c r="A1499">
        <v>1498</v>
      </c>
      <c r="B1499" t="s">
        <v>1518</v>
      </c>
      <c r="C1499" s="2">
        <v>45615</v>
      </c>
      <c r="D1499" s="2">
        <v>45617</v>
      </c>
      <c r="E1499" t="s">
        <v>1522</v>
      </c>
      <c r="F1499" t="s">
        <v>1766</v>
      </c>
      <c r="G1499" t="s">
        <v>2312</v>
      </c>
      <c r="H1499" t="s">
        <v>2314</v>
      </c>
      <c r="I1499" t="s">
        <v>2317</v>
      </c>
      <c r="J1499" t="s">
        <v>2321</v>
      </c>
      <c r="K1499" t="s">
        <v>2321</v>
      </c>
      <c r="L1499">
        <v>920144</v>
      </c>
      <c r="M1499" t="s">
        <v>2329</v>
      </c>
      <c r="N1499" t="s">
        <v>3047</v>
      </c>
      <c r="O1499" t="s">
        <v>3055</v>
      </c>
      <c r="P1499" t="s">
        <v>3061</v>
      </c>
      <c r="Q1499" t="s">
        <v>3249</v>
      </c>
      <c r="R1499">
        <v>782.18</v>
      </c>
      <c r="S1499">
        <v>5</v>
      </c>
      <c r="T1499">
        <v>0.3</v>
      </c>
      <c r="U1499">
        <v>28.89</v>
      </c>
    </row>
    <row r="1500" spans="1:21" x14ac:dyDescent="0.3">
      <c r="A1500">
        <v>1499</v>
      </c>
      <c r="B1500" t="s">
        <v>1519</v>
      </c>
      <c r="C1500" s="2">
        <v>45437</v>
      </c>
      <c r="D1500" s="2">
        <v>45441</v>
      </c>
      <c r="E1500" t="s">
        <v>1522</v>
      </c>
      <c r="F1500" t="s">
        <v>1526</v>
      </c>
      <c r="G1500" t="s">
        <v>1983</v>
      </c>
      <c r="H1500" t="s">
        <v>2314</v>
      </c>
      <c r="I1500" t="s">
        <v>2317</v>
      </c>
      <c r="J1500" t="s">
        <v>2320</v>
      </c>
      <c r="K1500" t="s">
        <v>2320</v>
      </c>
      <c r="L1500">
        <v>853997</v>
      </c>
      <c r="M1500" t="s">
        <v>2330</v>
      </c>
      <c r="N1500" t="s">
        <v>3052</v>
      </c>
      <c r="O1500" t="s">
        <v>3054</v>
      </c>
      <c r="P1500" t="s">
        <v>3057</v>
      </c>
      <c r="Q1500" t="s">
        <v>3854</v>
      </c>
      <c r="R1500">
        <v>117.56</v>
      </c>
      <c r="S1500">
        <v>2</v>
      </c>
      <c r="T1500">
        <v>0.3</v>
      </c>
      <c r="U1500">
        <v>25.43</v>
      </c>
    </row>
    <row r="1501" spans="1:21" x14ac:dyDescent="0.3">
      <c r="A1501">
        <v>1500</v>
      </c>
      <c r="B1501" t="s">
        <v>1520</v>
      </c>
      <c r="C1501" s="2">
        <v>45584</v>
      </c>
      <c r="D1501" s="2">
        <v>45586</v>
      </c>
      <c r="E1501" t="s">
        <v>1522</v>
      </c>
      <c r="F1501" t="s">
        <v>1553</v>
      </c>
      <c r="G1501" t="s">
        <v>2005</v>
      </c>
      <c r="H1501" t="s">
        <v>2314</v>
      </c>
      <c r="I1501" t="s">
        <v>2317</v>
      </c>
      <c r="J1501" t="s">
        <v>2327</v>
      </c>
      <c r="K1501" t="s">
        <v>2327</v>
      </c>
      <c r="L1501">
        <v>933211</v>
      </c>
      <c r="M1501" t="s">
        <v>2330</v>
      </c>
      <c r="N1501" t="s">
        <v>2625</v>
      </c>
      <c r="O1501" t="s">
        <v>3054</v>
      </c>
      <c r="P1501" t="s">
        <v>3058</v>
      </c>
      <c r="Q1501" t="s">
        <v>3303</v>
      </c>
      <c r="R1501">
        <v>74.099999999999994</v>
      </c>
      <c r="S1501">
        <v>1</v>
      </c>
      <c r="T1501">
        <v>0.3</v>
      </c>
      <c r="U1501">
        <v>4.1900000000000004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FDBD6-25B9-47CE-9A0C-03922E61738E}">
  <dimension ref="A3:R49"/>
  <sheetViews>
    <sheetView zoomScale="56" workbookViewId="0">
      <selection activeCell="AA33" sqref="AA33"/>
    </sheetView>
  </sheetViews>
  <sheetFormatPr defaultRowHeight="14.4" x14ac:dyDescent="0.3"/>
  <cols>
    <col min="1" max="1" width="18.21875" bestFit="1" customWidth="1"/>
    <col min="2" max="2" width="16.21875" bestFit="1" customWidth="1"/>
    <col min="3" max="3" width="12.109375" bestFit="1" customWidth="1"/>
    <col min="12" max="12" width="19.33203125" bestFit="1" customWidth="1"/>
    <col min="13" max="13" width="12.109375" bestFit="1" customWidth="1"/>
    <col min="14" max="14" width="12.44140625" bestFit="1" customWidth="1"/>
    <col min="17" max="17" width="18.21875" bestFit="1" customWidth="1"/>
    <col min="18" max="18" width="16" bestFit="1" customWidth="1"/>
  </cols>
  <sheetData>
    <row r="3" spans="1:18" x14ac:dyDescent="0.3">
      <c r="A3" s="3" t="s">
        <v>3903</v>
      </c>
      <c r="B3" t="s">
        <v>3905</v>
      </c>
      <c r="Q3" s="3" t="s">
        <v>3903</v>
      </c>
      <c r="R3" t="s">
        <v>3905</v>
      </c>
    </row>
    <row r="4" spans="1:18" x14ac:dyDescent="0.3">
      <c r="A4" s="4" t="s">
        <v>3053</v>
      </c>
      <c r="B4" s="26">
        <v>127287.80000000005</v>
      </c>
      <c r="Q4" s="4" t="s">
        <v>2316</v>
      </c>
      <c r="R4" s="26">
        <v>117508.96000000006</v>
      </c>
    </row>
    <row r="5" spans="1:18" x14ac:dyDescent="0.3">
      <c r="A5" s="4" t="s">
        <v>3054</v>
      </c>
      <c r="B5" s="26">
        <v>61717.419999999976</v>
      </c>
      <c r="L5" t="s">
        <v>3905</v>
      </c>
      <c r="Q5" s="4" t="s">
        <v>2315</v>
      </c>
      <c r="R5" s="26">
        <v>123346.79000000001</v>
      </c>
    </row>
    <row r="6" spans="1:18" x14ac:dyDescent="0.3">
      <c r="A6" s="4" t="s">
        <v>3055</v>
      </c>
      <c r="B6" s="26">
        <v>186802.98999999985</v>
      </c>
      <c r="L6" s="26">
        <v>375808.20999999967</v>
      </c>
      <c r="N6">
        <f>GETPIVOTDATA("Sales",$L$5)</f>
        <v>375808.20999999967</v>
      </c>
      <c r="Q6" s="4" t="s">
        <v>2314</v>
      </c>
      <c r="R6" s="26">
        <v>134952.45999999993</v>
      </c>
    </row>
    <row r="7" spans="1:18" x14ac:dyDescent="0.3">
      <c r="A7" s="4" t="s">
        <v>3906</v>
      </c>
      <c r="B7" s="26"/>
      <c r="Q7" s="4" t="s">
        <v>3906</v>
      </c>
      <c r="R7" s="26"/>
    </row>
    <row r="8" spans="1:18" x14ac:dyDescent="0.3">
      <c r="A8" s="4" t="s">
        <v>3904</v>
      </c>
      <c r="B8" s="26">
        <v>375808.20999999985</v>
      </c>
      <c r="Q8" s="4" t="s">
        <v>3904</v>
      </c>
      <c r="R8" s="26">
        <v>375808.20999999996</v>
      </c>
    </row>
    <row r="9" spans="1:18" x14ac:dyDescent="0.3">
      <c r="L9" t="s">
        <v>3908</v>
      </c>
    </row>
    <row r="10" spans="1:18" x14ac:dyDescent="0.3">
      <c r="L10" s="26">
        <v>7359</v>
      </c>
      <c r="N10">
        <f>GETPIVOTDATA("Quantity",$L$9)</f>
        <v>7359</v>
      </c>
    </row>
    <row r="13" spans="1:18" x14ac:dyDescent="0.3">
      <c r="L13" t="s">
        <v>3907</v>
      </c>
    </row>
    <row r="14" spans="1:18" x14ac:dyDescent="0.3">
      <c r="L14" s="26">
        <v>24040.930000000062</v>
      </c>
      <c r="N14">
        <f>GETPIVOTDATA("Profit",$L$13)</f>
        <v>24040.930000000062</v>
      </c>
    </row>
    <row r="15" spans="1:18" x14ac:dyDescent="0.3">
      <c r="A15" s="3" t="s">
        <v>3903</v>
      </c>
      <c r="B15" t="s">
        <v>3907</v>
      </c>
    </row>
    <row r="16" spans="1:18" x14ac:dyDescent="0.3">
      <c r="A16" s="4" t="s">
        <v>2328</v>
      </c>
      <c r="B16" s="26">
        <v>4157.1699999999983</v>
      </c>
    </row>
    <row r="17" spans="1:18" x14ac:dyDescent="0.3">
      <c r="A17" s="4" t="s">
        <v>2332</v>
      </c>
      <c r="B17" s="26">
        <v>2554.1500000000005</v>
      </c>
      <c r="L17" t="s">
        <v>3909</v>
      </c>
    </row>
    <row r="18" spans="1:18" x14ac:dyDescent="0.3">
      <c r="A18" s="4" t="s">
        <v>2329</v>
      </c>
      <c r="B18" s="26">
        <v>5010.3199999999979</v>
      </c>
      <c r="L18" s="26">
        <v>1500</v>
      </c>
      <c r="N18">
        <f>GETPIVOTDATA("Order ID",$L$17)</f>
        <v>1500</v>
      </c>
      <c r="Q18" s="3" t="s">
        <v>3903</v>
      </c>
      <c r="R18" t="s">
        <v>3905</v>
      </c>
    </row>
    <row r="19" spans="1:18" x14ac:dyDescent="0.3">
      <c r="A19" s="4" t="s">
        <v>2330</v>
      </c>
      <c r="B19" s="26">
        <v>7108.1000000000013</v>
      </c>
      <c r="Q19" s="4" t="s">
        <v>3543</v>
      </c>
      <c r="R19" s="26">
        <v>2500.7600000000002</v>
      </c>
    </row>
    <row r="20" spans="1:18" x14ac:dyDescent="0.3">
      <c r="A20" s="4" t="s">
        <v>2331</v>
      </c>
      <c r="B20" s="26">
        <v>5211.1899999999969</v>
      </c>
      <c r="Q20" s="4" t="s">
        <v>3502</v>
      </c>
      <c r="R20" s="26">
        <v>3366.8</v>
      </c>
    </row>
    <row r="21" spans="1:18" x14ac:dyDescent="0.3">
      <c r="A21" s="4" t="s">
        <v>3904</v>
      </c>
      <c r="B21" s="26">
        <v>24040.929999999993</v>
      </c>
      <c r="Q21" s="4" t="s">
        <v>3575</v>
      </c>
      <c r="R21" s="26">
        <v>2096.87</v>
      </c>
    </row>
    <row r="22" spans="1:18" x14ac:dyDescent="0.3">
      <c r="Q22" s="4" t="s">
        <v>3213</v>
      </c>
      <c r="R22" s="26">
        <v>2368.62</v>
      </c>
    </row>
    <row r="23" spans="1:18" x14ac:dyDescent="0.3">
      <c r="Q23" s="4" t="s">
        <v>3681</v>
      </c>
      <c r="R23" s="26">
        <v>2224.84</v>
      </c>
    </row>
    <row r="24" spans="1:18" x14ac:dyDescent="0.3">
      <c r="Q24" s="4" t="s">
        <v>3205</v>
      </c>
      <c r="R24" s="26">
        <v>2105.89</v>
      </c>
    </row>
    <row r="25" spans="1:18" x14ac:dyDescent="0.3">
      <c r="Q25" s="4" t="s">
        <v>3129</v>
      </c>
      <c r="R25" s="26">
        <v>3933.59</v>
      </c>
    </row>
    <row r="26" spans="1:18" x14ac:dyDescent="0.3">
      <c r="Q26" s="4" t="s">
        <v>3229</v>
      </c>
      <c r="R26" s="26">
        <v>2586.0899999999997</v>
      </c>
    </row>
    <row r="27" spans="1:18" x14ac:dyDescent="0.3">
      <c r="Q27" s="4" t="s">
        <v>3281</v>
      </c>
      <c r="R27" s="26">
        <v>2309.7599999999998</v>
      </c>
    </row>
    <row r="28" spans="1:18" x14ac:dyDescent="0.3">
      <c r="A28" s="3" t="s">
        <v>3903</v>
      </c>
      <c r="B28" t="s">
        <v>3905</v>
      </c>
      <c r="Q28" s="4" t="s">
        <v>3115</v>
      </c>
      <c r="R28" s="26">
        <v>2098.02</v>
      </c>
    </row>
    <row r="29" spans="1:18" x14ac:dyDescent="0.3">
      <c r="A29" s="4" t="s">
        <v>3911</v>
      </c>
      <c r="B29" s="26">
        <v>40955.800000000003</v>
      </c>
      <c r="Q29" s="4" t="s">
        <v>3904</v>
      </c>
      <c r="R29" s="26">
        <v>25591.239999999998</v>
      </c>
    </row>
    <row r="30" spans="1:18" x14ac:dyDescent="0.3">
      <c r="A30" s="4" t="s">
        <v>3912</v>
      </c>
      <c r="B30" s="26">
        <v>32947.369999999981</v>
      </c>
    </row>
    <row r="31" spans="1:18" x14ac:dyDescent="0.3">
      <c r="A31" s="4" t="s">
        <v>3913</v>
      </c>
      <c r="B31" s="26">
        <v>31434.699999999997</v>
      </c>
    </row>
    <row r="32" spans="1:18" x14ac:dyDescent="0.3">
      <c r="A32" s="4" t="s">
        <v>3914</v>
      </c>
      <c r="B32" s="26">
        <v>30166.720000000008</v>
      </c>
    </row>
    <row r="33" spans="1:18" x14ac:dyDescent="0.3">
      <c r="A33" s="4" t="s">
        <v>3915</v>
      </c>
      <c r="B33" s="26">
        <v>35742.990000000005</v>
      </c>
    </row>
    <row r="34" spans="1:18" x14ac:dyDescent="0.3">
      <c r="A34" s="4" t="s">
        <v>3916</v>
      </c>
      <c r="B34" s="26">
        <v>29779.389999999992</v>
      </c>
    </row>
    <row r="35" spans="1:18" x14ac:dyDescent="0.3">
      <c r="A35" s="4" t="s">
        <v>3917</v>
      </c>
      <c r="B35" s="26">
        <v>26270.360000000004</v>
      </c>
    </row>
    <row r="36" spans="1:18" x14ac:dyDescent="0.3">
      <c r="A36" s="4" t="s">
        <v>3918</v>
      </c>
      <c r="B36" s="26">
        <v>27372.610000000004</v>
      </c>
      <c r="Q36" s="3" t="s">
        <v>3903</v>
      </c>
      <c r="R36" t="s">
        <v>3907</v>
      </c>
    </row>
    <row r="37" spans="1:18" x14ac:dyDescent="0.3">
      <c r="A37" s="4" t="s">
        <v>3919</v>
      </c>
      <c r="B37" s="26">
        <v>25801.660000000007</v>
      </c>
      <c r="Q37" s="4" t="s">
        <v>3061</v>
      </c>
      <c r="R37" s="26">
        <v>4543.5699999999988</v>
      </c>
    </row>
    <row r="38" spans="1:18" x14ac:dyDescent="0.3">
      <c r="A38" s="4" t="s">
        <v>3920</v>
      </c>
      <c r="B38" s="26">
        <v>33825</v>
      </c>
      <c r="Q38" s="4" t="s">
        <v>3063</v>
      </c>
      <c r="R38" s="26">
        <v>1165.4999999999993</v>
      </c>
    </row>
    <row r="39" spans="1:18" x14ac:dyDescent="0.3">
      <c r="A39" s="4" t="s">
        <v>3921</v>
      </c>
      <c r="B39" s="26">
        <v>30227.280000000002</v>
      </c>
      <c r="Q39" s="4" t="s">
        <v>3057</v>
      </c>
      <c r="R39" s="26">
        <v>2013.7400000000005</v>
      </c>
    </row>
    <row r="40" spans="1:18" x14ac:dyDescent="0.3">
      <c r="A40" s="4" t="s">
        <v>3922</v>
      </c>
      <c r="B40" s="26">
        <v>31284.329999999998</v>
      </c>
      <c r="Q40" s="4" t="s">
        <v>3062</v>
      </c>
      <c r="R40" s="26">
        <v>1104.0999999999999</v>
      </c>
    </row>
    <row r="41" spans="1:18" x14ac:dyDescent="0.3">
      <c r="A41" s="4" t="s">
        <v>3904</v>
      </c>
      <c r="B41" s="26">
        <v>375808.21000000008</v>
      </c>
      <c r="Q41" s="4" t="s">
        <v>3065</v>
      </c>
      <c r="R41" s="26">
        <v>851.35</v>
      </c>
    </row>
    <row r="42" spans="1:18" x14ac:dyDescent="0.3">
      <c r="Q42" s="4" t="s">
        <v>3066</v>
      </c>
      <c r="R42" s="26">
        <v>1375.05</v>
      </c>
    </row>
    <row r="43" spans="1:18" x14ac:dyDescent="0.3">
      <c r="Q43" s="4" t="s">
        <v>3059</v>
      </c>
      <c r="R43" s="26">
        <v>3397.16</v>
      </c>
    </row>
    <row r="44" spans="1:18" x14ac:dyDescent="0.3">
      <c r="Q44" s="4" t="s">
        <v>3064</v>
      </c>
      <c r="R44" s="26">
        <v>1521.0499999999993</v>
      </c>
    </row>
    <row r="45" spans="1:18" x14ac:dyDescent="0.3">
      <c r="Q45" s="4" t="s">
        <v>3060</v>
      </c>
      <c r="R45" s="26">
        <v>2454.7400000000011</v>
      </c>
    </row>
    <row r="46" spans="1:18" x14ac:dyDescent="0.3">
      <c r="Q46" s="4" t="s">
        <v>3067</v>
      </c>
      <c r="R46" s="26">
        <v>4110.3799999999983</v>
      </c>
    </row>
    <row r="47" spans="1:18" x14ac:dyDescent="0.3">
      <c r="Q47" s="4" t="s">
        <v>3058</v>
      </c>
      <c r="R47" s="26">
        <v>1791.0099999999998</v>
      </c>
    </row>
    <row r="48" spans="1:18" x14ac:dyDescent="0.3">
      <c r="Q48" s="4" t="s">
        <v>3056</v>
      </c>
      <c r="R48" s="26">
        <v>-286.71999999999997</v>
      </c>
    </row>
    <row r="49" spans="17:18" x14ac:dyDescent="0.3">
      <c r="Q49" s="4" t="s">
        <v>3904</v>
      </c>
      <c r="R49" s="26">
        <v>24040.929999999993</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0219A-2F9E-4BBB-B07F-3BA5CBE13619}">
  <dimension ref="C1:W50"/>
  <sheetViews>
    <sheetView tabSelected="1" zoomScale="55" workbookViewId="0">
      <selection activeCell="AB34" sqref="AB34"/>
    </sheetView>
  </sheetViews>
  <sheetFormatPr defaultRowHeight="14.4" x14ac:dyDescent="0.3"/>
  <sheetData>
    <row r="1" spans="3:23" ht="15" thickBot="1" x14ac:dyDescent="0.35"/>
    <row r="2" spans="3:23" ht="15" thickTop="1" x14ac:dyDescent="0.3">
      <c r="C2" s="9"/>
      <c r="D2" s="12"/>
      <c r="E2" s="12"/>
      <c r="F2" s="12"/>
      <c r="G2" s="12"/>
      <c r="H2" s="12"/>
      <c r="I2" s="12"/>
      <c r="J2" s="12"/>
      <c r="K2" s="12"/>
      <c r="L2" s="12"/>
      <c r="M2" s="12"/>
      <c r="N2" s="12"/>
      <c r="O2" s="12"/>
      <c r="P2" s="12"/>
      <c r="Q2" s="12"/>
      <c r="R2" s="12"/>
      <c r="S2" s="12"/>
      <c r="T2" s="12"/>
      <c r="U2" s="12"/>
      <c r="V2" s="12"/>
      <c r="W2" s="13"/>
    </row>
    <row r="3" spans="3:23" x14ac:dyDescent="0.3">
      <c r="C3" s="10"/>
      <c r="D3" s="5"/>
      <c r="E3" s="5"/>
      <c r="F3" s="5"/>
      <c r="G3" s="5"/>
      <c r="H3" s="5"/>
      <c r="I3" s="5"/>
      <c r="J3" s="5"/>
      <c r="K3" s="5"/>
      <c r="L3" s="5"/>
      <c r="M3" s="5"/>
      <c r="N3" s="5"/>
      <c r="O3" s="5"/>
      <c r="P3" s="5"/>
      <c r="Q3" s="5"/>
      <c r="R3" s="5"/>
      <c r="S3" s="5"/>
      <c r="T3" s="5"/>
      <c r="U3" s="5"/>
      <c r="V3" s="5"/>
      <c r="W3" s="14"/>
    </row>
    <row r="4" spans="3:23" ht="15" thickBot="1" x14ac:dyDescent="0.35">
      <c r="C4" s="10"/>
      <c r="D4" s="5"/>
      <c r="E4" s="5"/>
      <c r="F4" s="5"/>
      <c r="G4" s="5"/>
      <c r="H4" s="5"/>
      <c r="I4" s="5"/>
      <c r="J4" s="5"/>
      <c r="K4" s="5"/>
      <c r="L4" s="5"/>
      <c r="M4" s="5"/>
      <c r="N4" s="5"/>
      <c r="O4" s="5"/>
      <c r="P4" s="5"/>
      <c r="Q4" s="5"/>
      <c r="R4" s="5"/>
      <c r="S4" s="5"/>
      <c r="T4" s="5"/>
      <c r="U4" s="5"/>
      <c r="V4" s="5"/>
      <c r="W4" s="14"/>
    </row>
    <row r="5" spans="3:23" x14ac:dyDescent="0.3">
      <c r="C5" s="10"/>
      <c r="D5" s="17"/>
      <c r="E5" s="18"/>
      <c r="F5" s="18"/>
      <c r="G5" s="18"/>
      <c r="H5" s="18"/>
      <c r="I5" s="18"/>
      <c r="J5" s="18"/>
      <c r="K5" s="18"/>
      <c r="L5" s="18"/>
      <c r="M5" s="18"/>
      <c r="N5" s="18"/>
      <c r="O5" s="18"/>
      <c r="P5" s="18"/>
      <c r="Q5" s="18"/>
      <c r="R5" s="18"/>
      <c r="S5" s="18"/>
      <c r="T5" s="18"/>
      <c r="U5" s="6"/>
      <c r="V5" s="5"/>
      <c r="W5" s="14"/>
    </row>
    <row r="6" spans="3:23" ht="63" thickBot="1" x14ac:dyDescent="1.25">
      <c r="C6" s="10"/>
      <c r="D6" s="25" t="s">
        <v>3910</v>
      </c>
      <c r="E6" s="7"/>
      <c r="F6" s="19"/>
      <c r="G6" s="19"/>
      <c r="H6" s="21"/>
      <c r="I6" s="22"/>
      <c r="J6" s="22"/>
      <c r="K6" s="22"/>
      <c r="L6" s="22"/>
      <c r="M6" s="22"/>
      <c r="N6" s="23"/>
      <c r="O6" s="23"/>
      <c r="P6" s="23"/>
      <c r="Q6" s="23"/>
      <c r="R6" s="23"/>
      <c r="S6" s="24"/>
      <c r="T6" s="20"/>
      <c r="U6" s="8"/>
      <c r="V6" s="5"/>
      <c r="W6" s="14"/>
    </row>
    <row r="7" spans="3:23" x14ac:dyDescent="0.3">
      <c r="C7" s="10"/>
      <c r="D7" s="5"/>
      <c r="E7" s="5"/>
      <c r="F7" s="5"/>
      <c r="G7" s="5"/>
      <c r="H7" s="5"/>
      <c r="I7" s="5"/>
      <c r="J7" s="5"/>
      <c r="K7" s="5"/>
      <c r="L7" s="5"/>
      <c r="M7" s="5"/>
      <c r="N7" s="5"/>
      <c r="O7" s="5"/>
      <c r="P7" s="5"/>
      <c r="Q7" s="5"/>
      <c r="R7" s="5"/>
      <c r="S7" s="5"/>
      <c r="T7" s="5"/>
      <c r="U7" s="5"/>
      <c r="V7" s="5"/>
      <c r="W7" s="14"/>
    </row>
    <row r="8" spans="3:23" x14ac:dyDescent="0.3">
      <c r="C8" s="10"/>
      <c r="D8" s="5"/>
      <c r="E8" s="5"/>
      <c r="F8" s="5"/>
      <c r="G8" s="5"/>
      <c r="H8" s="5"/>
      <c r="I8" s="5"/>
      <c r="J8" s="5"/>
      <c r="K8" s="5"/>
      <c r="L8" s="5"/>
      <c r="M8" s="5"/>
      <c r="N8" s="5"/>
      <c r="O8" s="5"/>
      <c r="P8" s="5"/>
      <c r="Q8" s="5"/>
      <c r="R8" s="5"/>
      <c r="S8" s="5"/>
      <c r="T8" s="5"/>
      <c r="U8" s="5"/>
      <c r="V8" s="5"/>
      <c r="W8" s="14"/>
    </row>
    <row r="9" spans="3:23" x14ac:dyDescent="0.3">
      <c r="C9" s="10"/>
      <c r="D9" s="5"/>
      <c r="E9" s="5"/>
      <c r="F9" s="5"/>
      <c r="G9" s="5"/>
      <c r="H9" s="5"/>
      <c r="I9" s="5"/>
      <c r="J9" s="5"/>
      <c r="K9" s="5"/>
      <c r="L9" s="5"/>
      <c r="M9" s="5"/>
      <c r="N9" s="5"/>
      <c r="O9" s="5"/>
      <c r="P9" s="5"/>
      <c r="Q9" s="5"/>
      <c r="R9" s="5"/>
      <c r="S9" s="5"/>
      <c r="T9" s="5"/>
      <c r="U9" s="5"/>
      <c r="V9" s="5"/>
      <c r="W9" s="14"/>
    </row>
    <row r="10" spans="3:23" x14ac:dyDescent="0.3">
      <c r="C10" s="10"/>
      <c r="D10" s="5"/>
      <c r="E10" s="5"/>
      <c r="F10" s="5"/>
      <c r="G10" s="5"/>
      <c r="H10" s="5"/>
      <c r="I10" s="5"/>
      <c r="J10" s="5"/>
      <c r="K10" s="5"/>
      <c r="L10" s="5"/>
      <c r="M10" s="5"/>
      <c r="N10" s="5"/>
      <c r="O10" s="5"/>
      <c r="P10" s="5"/>
      <c r="Q10" s="5"/>
      <c r="R10" s="5"/>
      <c r="S10" s="5"/>
      <c r="T10" s="5"/>
      <c r="U10" s="5"/>
      <c r="V10" s="5"/>
      <c r="W10" s="14"/>
    </row>
    <row r="11" spans="3:23" x14ac:dyDescent="0.3">
      <c r="C11" s="10"/>
      <c r="D11" s="5"/>
      <c r="E11" s="5"/>
      <c r="F11" s="5"/>
      <c r="G11" s="5"/>
      <c r="H11" s="5"/>
      <c r="I11" s="5"/>
      <c r="J11" s="5"/>
      <c r="K11" s="5"/>
      <c r="L11" s="5"/>
      <c r="M11" s="5"/>
      <c r="N11" s="5"/>
      <c r="O11" s="5"/>
      <c r="P11" s="5"/>
      <c r="Q11" s="5"/>
      <c r="R11" s="5"/>
      <c r="S11" s="5"/>
      <c r="T11" s="5"/>
      <c r="U11" s="5"/>
      <c r="V11" s="5"/>
      <c r="W11" s="14"/>
    </row>
    <row r="12" spans="3:23" x14ac:dyDescent="0.3">
      <c r="C12" s="10"/>
      <c r="D12" s="5"/>
      <c r="E12" s="5"/>
      <c r="F12" s="5"/>
      <c r="G12" s="5"/>
      <c r="H12" s="5"/>
      <c r="I12" s="5"/>
      <c r="J12" s="5"/>
      <c r="K12" s="5"/>
      <c r="L12" s="5"/>
      <c r="M12" s="5"/>
      <c r="N12" s="5"/>
      <c r="O12" s="5"/>
      <c r="P12" s="5"/>
      <c r="Q12" s="5"/>
      <c r="R12" s="5"/>
      <c r="S12" s="5"/>
      <c r="T12" s="5"/>
      <c r="U12" s="5"/>
      <c r="V12" s="5"/>
      <c r="W12" s="14"/>
    </row>
    <row r="13" spans="3:23" x14ac:dyDescent="0.3">
      <c r="C13" s="10"/>
      <c r="D13" s="5"/>
      <c r="E13" s="5"/>
      <c r="F13" s="5"/>
      <c r="G13" s="5"/>
      <c r="H13" s="5"/>
      <c r="I13" s="5"/>
      <c r="J13" s="5"/>
      <c r="K13" s="5"/>
      <c r="L13" s="5"/>
      <c r="M13" s="5"/>
      <c r="N13" s="5"/>
      <c r="O13" s="5"/>
      <c r="P13" s="5"/>
      <c r="Q13" s="5"/>
      <c r="R13" s="5"/>
      <c r="S13" s="5"/>
      <c r="T13" s="5"/>
      <c r="U13" s="5"/>
      <c r="V13" s="5"/>
      <c r="W13" s="14"/>
    </row>
    <row r="14" spans="3:23" x14ac:dyDescent="0.3">
      <c r="C14" s="10"/>
      <c r="D14" s="5"/>
      <c r="E14" s="5"/>
      <c r="F14" s="5"/>
      <c r="G14" s="5"/>
      <c r="H14" s="5"/>
      <c r="I14" s="5"/>
      <c r="J14" s="5"/>
      <c r="K14" s="5"/>
      <c r="L14" s="5"/>
      <c r="M14" s="5"/>
      <c r="N14" s="5"/>
      <c r="O14" s="5"/>
      <c r="P14" s="5"/>
      <c r="Q14" s="5"/>
      <c r="R14" s="5"/>
      <c r="S14" s="5"/>
      <c r="T14" s="5"/>
      <c r="U14" s="5"/>
      <c r="V14" s="5"/>
      <c r="W14" s="14"/>
    </row>
    <row r="15" spans="3:23" x14ac:dyDescent="0.3">
      <c r="C15" s="10"/>
      <c r="D15" s="5"/>
      <c r="E15" s="5"/>
      <c r="F15" s="5"/>
      <c r="G15" s="5"/>
      <c r="H15" s="5"/>
      <c r="I15" s="5"/>
      <c r="J15" s="5"/>
      <c r="K15" s="5"/>
      <c r="L15" s="5"/>
      <c r="M15" s="5"/>
      <c r="N15" s="5"/>
      <c r="O15" s="5"/>
      <c r="P15" s="5"/>
      <c r="Q15" s="5"/>
      <c r="R15" s="5"/>
      <c r="S15" s="5"/>
      <c r="T15" s="5"/>
      <c r="U15" s="5"/>
      <c r="V15" s="5"/>
      <c r="W15" s="14"/>
    </row>
    <row r="16" spans="3:23" x14ac:dyDescent="0.3">
      <c r="C16" s="10"/>
      <c r="D16" s="5"/>
      <c r="E16" s="5"/>
      <c r="F16" s="5"/>
      <c r="G16" s="5"/>
      <c r="H16" s="5"/>
      <c r="I16" s="5"/>
      <c r="J16" s="5"/>
      <c r="K16" s="5"/>
      <c r="L16" s="5"/>
      <c r="M16" s="5"/>
      <c r="N16" s="5"/>
      <c r="O16" s="5"/>
      <c r="P16" s="5"/>
      <c r="Q16" s="5"/>
      <c r="R16" s="5"/>
      <c r="S16" s="5"/>
      <c r="T16" s="5"/>
      <c r="U16" s="5"/>
      <c r="V16" s="5"/>
      <c r="W16" s="14"/>
    </row>
    <row r="17" spans="3:23" x14ac:dyDescent="0.3">
      <c r="C17" s="10"/>
      <c r="D17" s="5"/>
      <c r="E17" s="5"/>
      <c r="F17" s="5"/>
      <c r="G17" s="5"/>
      <c r="H17" s="5"/>
      <c r="I17" s="5"/>
      <c r="J17" s="5"/>
      <c r="K17" s="5"/>
      <c r="L17" s="5"/>
      <c r="M17" s="5"/>
      <c r="N17" s="5"/>
      <c r="O17" s="5"/>
      <c r="P17" s="5"/>
      <c r="Q17" s="5"/>
      <c r="R17" s="5"/>
      <c r="S17" s="5"/>
      <c r="T17" s="5"/>
      <c r="U17" s="5"/>
      <c r="V17" s="5"/>
      <c r="W17" s="14"/>
    </row>
    <row r="18" spans="3:23" x14ac:dyDescent="0.3">
      <c r="C18" s="10"/>
      <c r="D18" s="5"/>
      <c r="E18" s="5"/>
      <c r="F18" s="5"/>
      <c r="G18" s="5"/>
      <c r="H18" s="5"/>
      <c r="I18" s="5"/>
      <c r="J18" s="5"/>
      <c r="K18" s="5"/>
      <c r="L18" s="5"/>
      <c r="M18" s="5"/>
      <c r="N18" s="5"/>
      <c r="O18" s="5"/>
      <c r="P18" s="5"/>
      <c r="Q18" s="5"/>
      <c r="R18" s="5"/>
      <c r="S18" s="5"/>
      <c r="T18" s="5"/>
      <c r="U18" s="5"/>
      <c r="V18" s="5"/>
      <c r="W18" s="14"/>
    </row>
    <row r="19" spans="3:23" x14ac:dyDescent="0.3">
      <c r="C19" s="10"/>
      <c r="D19" s="5"/>
      <c r="E19" s="5"/>
      <c r="F19" s="5"/>
      <c r="G19" s="5"/>
      <c r="H19" s="5"/>
      <c r="I19" s="5"/>
      <c r="J19" s="5"/>
      <c r="K19" s="5"/>
      <c r="L19" s="5"/>
      <c r="M19" s="5"/>
      <c r="N19" s="5"/>
      <c r="O19" s="5"/>
      <c r="P19" s="5"/>
      <c r="Q19" s="5"/>
      <c r="R19" s="5"/>
      <c r="S19" s="5"/>
      <c r="T19" s="5"/>
      <c r="U19" s="5"/>
      <c r="V19" s="5"/>
      <c r="W19" s="14"/>
    </row>
    <row r="20" spans="3:23" x14ac:dyDescent="0.3">
      <c r="C20" s="10"/>
      <c r="D20" s="5"/>
      <c r="E20" s="5"/>
      <c r="F20" s="5"/>
      <c r="G20" s="5"/>
      <c r="H20" s="5"/>
      <c r="I20" s="5"/>
      <c r="J20" s="5"/>
      <c r="K20" s="5"/>
      <c r="L20" s="5"/>
      <c r="M20" s="5"/>
      <c r="N20" s="5"/>
      <c r="O20" s="5"/>
      <c r="P20" s="5"/>
      <c r="Q20" s="5"/>
      <c r="R20" s="5"/>
      <c r="S20" s="5"/>
      <c r="T20" s="5"/>
      <c r="U20" s="5"/>
      <c r="V20" s="5"/>
      <c r="W20" s="14"/>
    </row>
    <row r="21" spans="3:23" x14ac:dyDescent="0.3">
      <c r="C21" s="10"/>
      <c r="D21" s="5"/>
      <c r="E21" s="5"/>
      <c r="F21" s="5"/>
      <c r="G21" s="5"/>
      <c r="H21" s="5"/>
      <c r="I21" s="5"/>
      <c r="J21" s="5"/>
      <c r="K21" s="5"/>
      <c r="L21" s="5"/>
      <c r="M21" s="5"/>
      <c r="N21" s="5"/>
      <c r="O21" s="5"/>
      <c r="P21" s="5"/>
      <c r="Q21" s="5"/>
      <c r="R21" s="5"/>
      <c r="S21" s="5"/>
      <c r="T21" s="5"/>
      <c r="U21" s="5"/>
      <c r="V21" s="5"/>
      <c r="W21" s="14"/>
    </row>
    <row r="22" spans="3:23" x14ac:dyDescent="0.3">
      <c r="C22" s="10"/>
      <c r="D22" s="5"/>
      <c r="E22" s="5"/>
      <c r="F22" s="5"/>
      <c r="G22" s="5"/>
      <c r="H22" s="5"/>
      <c r="I22" s="5"/>
      <c r="J22" s="5"/>
      <c r="K22" s="5"/>
      <c r="L22" s="5"/>
      <c r="M22" s="5"/>
      <c r="N22" s="5"/>
      <c r="O22" s="5"/>
      <c r="P22" s="5"/>
      <c r="Q22" s="5"/>
      <c r="R22" s="5"/>
      <c r="S22" s="5"/>
      <c r="T22" s="5"/>
      <c r="U22" s="5"/>
      <c r="V22" s="5"/>
      <c r="W22" s="14"/>
    </row>
    <row r="23" spans="3:23" x14ac:dyDescent="0.3">
      <c r="C23" s="10"/>
      <c r="D23" s="5"/>
      <c r="E23" s="5"/>
      <c r="F23" s="5"/>
      <c r="G23" s="5"/>
      <c r="H23" s="5"/>
      <c r="I23" s="5"/>
      <c r="J23" s="5"/>
      <c r="K23" s="5"/>
      <c r="L23" s="5"/>
      <c r="M23" s="5"/>
      <c r="N23" s="5"/>
      <c r="O23" s="5"/>
      <c r="P23" s="5"/>
      <c r="Q23" s="5"/>
      <c r="R23" s="5"/>
      <c r="S23" s="5"/>
      <c r="T23" s="5"/>
      <c r="U23" s="5"/>
      <c r="V23" s="5"/>
      <c r="W23" s="14"/>
    </row>
    <row r="24" spans="3:23" x14ac:dyDescent="0.3">
      <c r="C24" s="10"/>
      <c r="D24" s="5"/>
      <c r="E24" s="5"/>
      <c r="F24" s="5"/>
      <c r="G24" s="5"/>
      <c r="H24" s="5"/>
      <c r="I24" s="5"/>
      <c r="J24" s="5"/>
      <c r="K24" s="5"/>
      <c r="L24" s="5"/>
      <c r="M24" s="5"/>
      <c r="N24" s="5"/>
      <c r="O24" s="5"/>
      <c r="P24" s="5"/>
      <c r="Q24" s="5"/>
      <c r="R24" s="5"/>
      <c r="S24" s="5"/>
      <c r="T24" s="5"/>
      <c r="U24" s="5"/>
      <c r="V24" s="5"/>
      <c r="W24" s="14"/>
    </row>
    <row r="25" spans="3:23" x14ac:dyDescent="0.3">
      <c r="C25" s="10"/>
      <c r="D25" s="5"/>
      <c r="E25" s="5"/>
      <c r="F25" s="5"/>
      <c r="G25" s="5"/>
      <c r="H25" s="5"/>
      <c r="I25" s="5"/>
      <c r="J25" s="5"/>
      <c r="K25" s="5"/>
      <c r="L25" s="5"/>
      <c r="M25" s="5"/>
      <c r="N25" s="5"/>
      <c r="O25" s="5"/>
      <c r="P25" s="5"/>
      <c r="Q25" s="5"/>
      <c r="R25" s="5"/>
      <c r="S25" s="5"/>
      <c r="T25" s="5"/>
      <c r="U25" s="5"/>
      <c r="V25" s="5"/>
      <c r="W25" s="14"/>
    </row>
    <row r="26" spans="3:23" x14ac:dyDescent="0.3">
      <c r="C26" s="10"/>
      <c r="D26" s="5"/>
      <c r="E26" s="5"/>
      <c r="F26" s="5"/>
      <c r="G26" s="5"/>
      <c r="H26" s="5"/>
      <c r="I26" s="5"/>
      <c r="J26" s="5"/>
      <c r="K26" s="5"/>
      <c r="L26" s="5"/>
      <c r="M26" s="5"/>
      <c r="N26" s="5"/>
      <c r="O26" s="5"/>
      <c r="P26" s="5"/>
      <c r="Q26" s="5"/>
      <c r="R26" s="5"/>
      <c r="S26" s="5"/>
      <c r="T26" s="5"/>
      <c r="U26" s="5"/>
      <c r="V26" s="5"/>
      <c r="W26" s="14"/>
    </row>
    <row r="27" spans="3:23" x14ac:dyDescent="0.3">
      <c r="C27" s="10"/>
      <c r="D27" s="5"/>
      <c r="E27" s="5"/>
      <c r="F27" s="5"/>
      <c r="G27" s="5"/>
      <c r="H27" s="5"/>
      <c r="I27" s="5"/>
      <c r="J27" s="5"/>
      <c r="K27" s="5"/>
      <c r="L27" s="5"/>
      <c r="M27" s="5"/>
      <c r="N27" s="5"/>
      <c r="O27" s="5"/>
      <c r="P27" s="5"/>
      <c r="Q27" s="5"/>
      <c r="R27" s="5"/>
      <c r="S27" s="5"/>
      <c r="T27" s="5"/>
      <c r="U27" s="5"/>
      <c r="V27" s="5"/>
      <c r="W27" s="14"/>
    </row>
    <row r="28" spans="3:23" x14ac:dyDescent="0.3">
      <c r="C28" s="10"/>
      <c r="D28" s="5"/>
      <c r="E28" s="5"/>
      <c r="F28" s="5"/>
      <c r="G28" s="5"/>
      <c r="H28" s="5"/>
      <c r="I28" s="5"/>
      <c r="J28" s="5"/>
      <c r="K28" s="5"/>
      <c r="L28" s="5"/>
      <c r="M28" s="5"/>
      <c r="N28" s="5"/>
      <c r="O28" s="5"/>
      <c r="P28" s="5"/>
      <c r="Q28" s="5"/>
      <c r="R28" s="5"/>
      <c r="S28" s="5"/>
      <c r="T28" s="5"/>
      <c r="U28" s="5"/>
      <c r="V28" s="5"/>
      <c r="W28" s="14"/>
    </row>
    <row r="29" spans="3:23" x14ac:dyDescent="0.3">
      <c r="C29" s="10"/>
      <c r="D29" s="5"/>
      <c r="E29" s="5"/>
      <c r="F29" s="5"/>
      <c r="G29" s="5"/>
      <c r="H29" s="5"/>
      <c r="I29" s="5"/>
      <c r="J29" s="5"/>
      <c r="K29" s="5"/>
      <c r="L29" s="5"/>
      <c r="M29" s="5"/>
      <c r="N29" s="5"/>
      <c r="O29" s="5"/>
      <c r="P29" s="5"/>
      <c r="Q29" s="5"/>
      <c r="R29" s="5"/>
      <c r="S29" s="5"/>
      <c r="T29" s="5"/>
      <c r="U29" s="5"/>
      <c r="V29" s="5"/>
      <c r="W29" s="14"/>
    </row>
    <row r="30" spans="3:23" x14ac:dyDescent="0.3">
      <c r="C30" s="10"/>
      <c r="D30" s="5"/>
      <c r="E30" s="5"/>
      <c r="F30" s="5"/>
      <c r="G30" s="5"/>
      <c r="H30" s="5"/>
      <c r="I30" s="5"/>
      <c r="J30" s="5"/>
      <c r="K30" s="5"/>
      <c r="L30" s="5"/>
      <c r="M30" s="5"/>
      <c r="N30" s="5"/>
      <c r="O30" s="5"/>
      <c r="P30" s="5"/>
      <c r="Q30" s="5"/>
      <c r="R30" s="5"/>
      <c r="S30" s="5"/>
      <c r="T30" s="5"/>
      <c r="U30" s="5"/>
      <c r="V30" s="5"/>
      <c r="W30" s="14"/>
    </row>
    <row r="31" spans="3:23" x14ac:dyDescent="0.3">
      <c r="C31" s="10"/>
      <c r="D31" s="5"/>
      <c r="E31" s="5"/>
      <c r="F31" s="5"/>
      <c r="G31" s="5"/>
      <c r="H31" s="5"/>
      <c r="I31" s="5"/>
      <c r="J31" s="5"/>
      <c r="K31" s="5"/>
      <c r="L31" s="5"/>
      <c r="M31" s="5"/>
      <c r="N31" s="5"/>
      <c r="O31" s="5"/>
      <c r="P31" s="5"/>
      <c r="Q31" s="5"/>
      <c r="R31" s="5"/>
      <c r="S31" s="5"/>
      <c r="T31" s="5"/>
      <c r="U31" s="5"/>
      <c r="V31" s="5"/>
      <c r="W31" s="14"/>
    </row>
    <row r="32" spans="3:23" x14ac:dyDescent="0.3">
      <c r="C32" s="10"/>
      <c r="D32" s="5"/>
      <c r="E32" s="5"/>
      <c r="F32" s="5"/>
      <c r="G32" s="5"/>
      <c r="H32" s="5"/>
      <c r="I32" s="5"/>
      <c r="J32" s="5"/>
      <c r="K32" s="5"/>
      <c r="L32" s="5"/>
      <c r="M32" s="5"/>
      <c r="N32" s="5"/>
      <c r="O32" s="5"/>
      <c r="P32" s="5"/>
      <c r="Q32" s="5"/>
      <c r="R32" s="5"/>
      <c r="S32" s="5"/>
      <c r="T32" s="5"/>
      <c r="U32" s="5"/>
      <c r="V32" s="5"/>
      <c r="W32" s="14"/>
    </row>
    <row r="33" spans="3:23" x14ac:dyDescent="0.3">
      <c r="C33" s="10"/>
      <c r="D33" s="5"/>
      <c r="E33" s="5"/>
      <c r="F33" s="5"/>
      <c r="G33" s="5"/>
      <c r="H33" s="5"/>
      <c r="I33" s="5"/>
      <c r="J33" s="5"/>
      <c r="K33" s="5"/>
      <c r="L33" s="5"/>
      <c r="M33" s="5"/>
      <c r="N33" s="5"/>
      <c r="O33" s="5"/>
      <c r="P33" s="5"/>
      <c r="Q33" s="5"/>
      <c r="R33" s="5"/>
      <c r="S33" s="5"/>
      <c r="T33" s="5"/>
      <c r="U33" s="5"/>
      <c r="V33" s="5"/>
      <c r="W33" s="14"/>
    </row>
    <row r="34" spans="3:23" x14ac:dyDescent="0.3">
      <c r="C34" s="10"/>
      <c r="D34" s="5"/>
      <c r="E34" s="5"/>
      <c r="F34" s="5"/>
      <c r="G34" s="5"/>
      <c r="H34" s="5"/>
      <c r="I34" s="5"/>
      <c r="J34" s="5"/>
      <c r="K34" s="5"/>
      <c r="L34" s="5"/>
      <c r="M34" s="5"/>
      <c r="N34" s="5"/>
      <c r="O34" s="5"/>
      <c r="P34" s="5"/>
      <c r="Q34" s="5"/>
      <c r="R34" s="5"/>
      <c r="S34" s="5"/>
      <c r="T34" s="5"/>
      <c r="U34" s="5"/>
      <c r="V34" s="5"/>
      <c r="W34" s="14"/>
    </row>
    <row r="35" spans="3:23" x14ac:dyDescent="0.3">
      <c r="C35" s="10"/>
      <c r="D35" s="5"/>
      <c r="E35" s="5"/>
      <c r="F35" s="5"/>
      <c r="G35" s="5"/>
      <c r="H35" s="5"/>
      <c r="I35" s="5"/>
      <c r="J35" s="5"/>
      <c r="K35" s="5"/>
      <c r="L35" s="5"/>
      <c r="M35" s="5"/>
      <c r="N35" s="5"/>
      <c r="O35" s="5"/>
      <c r="P35" s="5"/>
      <c r="Q35" s="5"/>
      <c r="R35" s="5"/>
      <c r="S35" s="5"/>
      <c r="T35" s="5"/>
      <c r="U35" s="5"/>
      <c r="V35" s="5"/>
      <c r="W35" s="14"/>
    </row>
    <row r="36" spans="3:23" x14ac:dyDescent="0.3">
      <c r="C36" s="10"/>
      <c r="D36" s="5"/>
      <c r="E36" s="5"/>
      <c r="F36" s="5"/>
      <c r="G36" s="5"/>
      <c r="H36" s="5"/>
      <c r="I36" s="5"/>
      <c r="J36" s="5"/>
      <c r="K36" s="5"/>
      <c r="L36" s="5"/>
      <c r="M36" s="5"/>
      <c r="N36" s="5"/>
      <c r="O36" s="5"/>
      <c r="P36" s="5"/>
      <c r="Q36" s="5"/>
      <c r="R36" s="5"/>
      <c r="S36" s="5"/>
      <c r="T36" s="5"/>
      <c r="U36" s="5"/>
      <c r="V36" s="5"/>
      <c r="W36" s="14"/>
    </row>
    <row r="37" spans="3:23" x14ac:dyDescent="0.3">
      <c r="C37" s="10"/>
      <c r="D37" s="5"/>
      <c r="E37" s="5"/>
      <c r="F37" s="5"/>
      <c r="G37" s="5"/>
      <c r="H37" s="5"/>
      <c r="I37" s="5"/>
      <c r="J37" s="5"/>
      <c r="K37" s="5"/>
      <c r="L37" s="5"/>
      <c r="M37" s="5"/>
      <c r="N37" s="5"/>
      <c r="O37" s="5"/>
      <c r="P37" s="5"/>
      <c r="Q37" s="5"/>
      <c r="R37" s="5"/>
      <c r="S37" s="5"/>
      <c r="T37" s="5"/>
      <c r="U37" s="5"/>
      <c r="V37" s="5"/>
      <c r="W37" s="14"/>
    </row>
    <row r="38" spans="3:23" x14ac:dyDescent="0.3">
      <c r="C38" s="10"/>
      <c r="D38" s="5"/>
      <c r="E38" s="5"/>
      <c r="F38" s="5"/>
      <c r="G38" s="5"/>
      <c r="H38" s="5"/>
      <c r="I38" s="5"/>
      <c r="J38" s="5"/>
      <c r="K38" s="5"/>
      <c r="L38" s="5"/>
      <c r="M38" s="5"/>
      <c r="N38" s="5"/>
      <c r="O38" s="5"/>
      <c r="P38" s="5"/>
      <c r="Q38" s="5"/>
      <c r="R38" s="5"/>
      <c r="S38" s="5"/>
      <c r="T38" s="5"/>
      <c r="U38" s="5"/>
      <c r="V38" s="5"/>
      <c r="W38" s="14"/>
    </row>
    <row r="39" spans="3:23" x14ac:dyDescent="0.3">
      <c r="C39" s="10"/>
      <c r="D39" s="5"/>
      <c r="E39" s="5"/>
      <c r="F39" s="5"/>
      <c r="G39" s="5"/>
      <c r="H39" s="5"/>
      <c r="I39" s="5"/>
      <c r="J39" s="5"/>
      <c r="K39" s="5"/>
      <c r="L39" s="5"/>
      <c r="M39" s="5"/>
      <c r="N39" s="5"/>
      <c r="O39" s="5"/>
      <c r="P39" s="5"/>
      <c r="Q39" s="5"/>
      <c r="R39" s="5"/>
      <c r="S39" s="5"/>
      <c r="T39" s="5"/>
      <c r="U39" s="5"/>
      <c r="V39" s="5"/>
      <c r="W39" s="14"/>
    </row>
    <row r="40" spans="3:23" x14ac:dyDescent="0.3">
      <c r="C40" s="10"/>
      <c r="D40" s="5"/>
      <c r="E40" s="5"/>
      <c r="F40" s="5"/>
      <c r="G40" s="5"/>
      <c r="H40" s="5"/>
      <c r="I40" s="5"/>
      <c r="J40" s="5"/>
      <c r="K40" s="5"/>
      <c r="L40" s="5"/>
      <c r="M40" s="5"/>
      <c r="N40" s="5"/>
      <c r="O40" s="5"/>
      <c r="P40" s="5"/>
      <c r="Q40" s="5"/>
      <c r="R40" s="5"/>
      <c r="S40" s="5"/>
      <c r="T40" s="5"/>
      <c r="U40" s="5"/>
      <c r="V40" s="5"/>
      <c r="W40" s="14"/>
    </row>
    <row r="41" spans="3:23" x14ac:dyDescent="0.3">
      <c r="C41" s="10"/>
      <c r="D41" s="5"/>
      <c r="E41" s="5"/>
      <c r="F41" s="5"/>
      <c r="G41" s="5"/>
      <c r="H41" s="5"/>
      <c r="I41" s="5"/>
      <c r="J41" s="5"/>
      <c r="K41" s="5"/>
      <c r="L41" s="5"/>
      <c r="M41" s="5"/>
      <c r="N41" s="5"/>
      <c r="O41" s="5"/>
      <c r="P41" s="5"/>
      <c r="Q41" s="5"/>
      <c r="R41" s="5"/>
      <c r="S41" s="5"/>
      <c r="T41" s="5"/>
      <c r="U41" s="5"/>
      <c r="V41" s="5"/>
      <c r="W41" s="14"/>
    </row>
    <row r="42" spans="3:23" x14ac:dyDescent="0.3">
      <c r="C42" s="10"/>
      <c r="D42" s="5"/>
      <c r="E42" s="5"/>
      <c r="F42" s="5"/>
      <c r="G42" s="5"/>
      <c r="H42" s="5"/>
      <c r="I42" s="5"/>
      <c r="J42" s="5"/>
      <c r="K42" s="5"/>
      <c r="L42" s="5"/>
      <c r="M42" s="5"/>
      <c r="N42" s="5"/>
      <c r="O42" s="5"/>
      <c r="P42" s="5"/>
      <c r="Q42" s="5"/>
      <c r="R42" s="5"/>
      <c r="S42" s="5"/>
      <c r="T42" s="5"/>
      <c r="U42" s="5"/>
      <c r="V42" s="5"/>
      <c r="W42" s="14"/>
    </row>
    <row r="43" spans="3:23" x14ac:dyDescent="0.3">
      <c r="C43" s="10"/>
      <c r="D43" s="5"/>
      <c r="E43" s="5"/>
      <c r="F43" s="5"/>
      <c r="G43" s="5"/>
      <c r="H43" s="5"/>
      <c r="I43" s="5"/>
      <c r="J43" s="5"/>
      <c r="K43" s="5"/>
      <c r="L43" s="5"/>
      <c r="M43" s="5"/>
      <c r="N43" s="5"/>
      <c r="O43" s="5"/>
      <c r="P43" s="5"/>
      <c r="Q43" s="5"/>
      <c r="R43" s="5"/>
      <c r="S43" s="5"/>
      <c r="T43" s="5"/>
      <c r="U43" s="5"/>
      <c r="V43" s="5"/>
      <c r="W43" s="14"/>
    </row>
    <row r="44" spans="3:23" x14ac:dyDescent="0.3">
      <c r="C44" s="10"/>
      <c r="D44" s="5"/>
      <c r="E44" s="5"/>
      <c r="F44" s="5"/>
      <c r="G44" s="5"/>
      <c r="H44" s="5"/>
      <c r="I44" s="5"/>
      <c r="J44" s="5"/>
      <c r="K44" s="5"/>
      <c r="L44" s="5"/>
      <c r="M44" s="5"/>
      <c r="N44" s="5"/>
      <c r="O44" s="5"/>
      <c r="P44" s="5"/>
      <c r="Q44" s="5"/>
      <c r="R44" s="5"/>
      <c r="S44" s="5"/>
      <c r="T44" s="5"/>
      <c r="U44" s="5"/>
      <c r="V44" s="5"/>
      <c r="W44" s="14"/>
    </row>
    <row r="45" spans="3:23" x14ac:dyDescent="0.3">
      <c r="C45" s="10"/>
      <c r="D45" s="5"/>
      <c r="E45" s="5"/>
      <c r="F45" s="5"/>
      <c r="G45" s="5"/>
      <c r="H45" s="5"/>
      <c r="I45" s="5"/>
      <c r="J45" s="5"/>
      <c r="K45" s="5"/>
      <c r="L45" s="5"/>
      <c r="M45" s="5"/>
      <c r="N45" s="5"/>
      <c r="O45" s="5"/>
      <c r="P45" s="5"/>
      <c r="Q45" s="5"/>
      <c r="R45" s="5"/>
      <c r="S45" s="5"/>
      <c r="T45" s="5"/>
      <c r="U45" s="5"/>
      <c r="V45" s="5"/>
      <c r="W45" s="14"/>
    </row>
    <row r="46" spans="3:23" x14ac:dyDescent="0.3">
      <c r="C46" s="10"/>
      <c r="D46" s="5"/>
      <c r="E46" s="5"/>
      <c r="F46" s="5"/>
      <c r="G46" s="5"/>
      <c r="H46" s="5"/>
      <c r="I46" s="5"/>
      <c r="J46" s="5"/>
      <c r="K46" s="5"/>
      <c r="L46" s="5"/>
      <c r="M46" s="5"/>
      <c r="N46" s="5"/>
      <c r="O46" s="5"/>
      <c r="P46" s="5"/>
      <c r="Q46" s="5"/>
      <c r="R46" s="5"/>
      <c r="S46" s="5"/>
      <c r="T46" s="5"/>
      <c r="U46" s="5"/>
      <c r="V46" s="5"/>
      <c r="W46" s="14"/>
    </row>
    <row r="47" spans="3:23" x14ac:dyDescent="0.3">
      <c r="C47" s="10"/>
      <c r="D47" s="5"/>
      <c r="E47" s="5"/>
      <c r="F47" s="5"/>
      <c r="G47" s="5"/>
      <c r="H47" s="5"/>
      <c r="I47" s="5"/>
      <c r="J47" s="5"/>
      <c r="K47" s="5"/>
      <c r="L47" s="5"/>
      <c r="M47" s="5"/>
      <c r="N47" s="5"/>
      <c r="O47" s="5"/>
      <c r="P47" s="5"/>
      <c r="Q47" s="5"/>
      <c r="R47" s="5"/>
      <c r="S47" s="5"/>
      <c r="T47" s="5"/>
      <c r="U47" s="5"/>
      <c r="V47" s="5"/>
      <c r="W47" s="14"/>
    </row>
    <row r="48" spans="3:23" x14ac:dyDescent="0.3">
      <c r="C48" s="10"/>
      <c r="D48" s="5"/>
      <c r="E48" s="5"/>
      <c r="F48" s="5"/>
      <c r="G48" s="5"/>
      <c r="H48" s="5"/>
      <c r="I48" s="5"/>
      <c r="J48" s="5"/>
      <c r="K48" s="5"/>
      <c r="L48" s="5"/>
      <c r="M48" s="5"/>
      <c r="N48" s="5"/>
      <c r="O48" s="5"/>
      <c r="P48" s="5"/>
      <c r="Q48" s="5"/>
      <c r="R48" s="5"/>
      <c r="S48" s="5"/>
      <c r="T48" s="5"/>
      <c r="U48" s="5"/>
      <c r="V48" s="5"/>
      <c r="W48" s="14"/>
    </row>
    <row r="49" spans="3:23" ht="15" thickBot="1" x14ac:dyDescent="0.35">
      <c r="C49" s="11"/>
      <c r="D49" s="15"/>
      <c r="E49" s="15"/>
      <c r="F49" s="15"/>
      <c r="G49" s="15"/>
      <c r="H49" s="15"/>
      <c r="I49" s="15"/>
      <c r="J49" s="15"/>
      <c r="K49" s="15"/>
      <c r="L49" s="15"/>
      <c r="M49" s="15"/>
      <c r="N49" s="15"/>
      <c r="O49" s="15"/>
      <c r="P49" s="15"/>
      <c r="Q49" s="15"/>
      <c r="R49" s="15"/>
      <c r="S49" s="15"/>
      <c r="T49" s="15"/>
      <c r="U49" s="15"/>
      <c r="V49" s="15"/>
      <c r="W49" s="16"/>
    </row>
    <row r="50" spans="3:23" ht="15" thickTop="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EF76-2F03-4E6C-A5D1-847DAEA98876}">
  <dimension ref="C1:W50"/>
  <sheetViews>
    <sheetView zoomScale="54" workbookViewId="0">
      <selection activeCell="Q52" sqref="Q52"/>
    </sheetView>
  </sheetViews>
  <sheetFormatPr defaultRowHeight="14.4" x14ac:dyDescent="0.3"/>
  <sheetData>
    <row r="1" spans="3:23" ht="15" thickBot="1" x14ac:dyDescent="0.35"/>
    <row r="2" spans="3:23" ht="15" thickTop="1" x14ac:dyDescent="0.3">
      <c r="C2" s="9"/>
      <c r="D2" s="12"/>
      <c r="E2" s="12"/>
      <c r="F2" s="12"/>
      <c r="G2" s="12"/>
      <c r="H2" s="12"/>
      <c r="I2" s="12"/>
      <c r="J2" s="12"/>
      <c r="K2" s="12"/>
      <c r="L2" s="12"/>
      <c r="M2" s="12"/>
      <c r="N2" s="12"/>
      <c r="O2" s="12"/>
      <c r="P2" s="12"/>
      <c r="Q2" s="12"/>
      <c r="R2" s="12"/>
      <c r="S2" s="12"/>
      <c r="T2" s="12"/>
      <c r="U2" s="12"/>
      <c r="V2" s="12"/>
      <c r="W2" s="13"/>
    </row>
    <row r="3" spans="3:23" x14ac:dyDescent="0.3">
      <c r="C3" s="10"/>
      <c r="D3" s="5"/>
      <c r="E3" s="5"/>
      <c r="F3" s="5"/>
      <c r="G3" s="5"/>
      <c r="H3" s="5"/>
      <c r="I3" s="5"/>
      <c r="J3" s="5"/>
      <c r="K3" s="5"/>
      <c r="L3" s="5"/>
      <c r="M3" s="5"/>
      <c r="N3" s="5"/>
      <c r="O3" s="5"/>
      <c r="P3" s="5"/>
      <c r="Q3" s="5"/>
      <c r="R3" s="5"/>
      <c r="S3" s="5"/>
      <c r="T3" s="5"/>
      <c r="U3" s="5"/>
      <c r="V3" s="5"/>
      <c r="W3" s="14"/>
    </row>
    <row r="4" spans="3:23" ht="15" thickBot="1" x14ac:dyDescent="0.35">
      <c r="C4" s="10"/>
      <c r="D4" s="5"/>
      <c r="E4" s="5"/>
      <c r="F4" s="5"/>
      <c r="G4" s="5"/>
      <c r="H4" s="5"/>
      <c r="I4" s="5"/>
      <c r="J4" s="5"/>
      <c r="K4" s="5"/>
      <c r="L4" s="5"/>
      <c r="M4" s="5"/>
      <c r="N4" s="5"/>
      <c r="O4" s="5"/>
      <c r="P4" s="5"/>
      <c r="Q4" s="5"/>
      <c r="R4" s="5"/>
      <c r="S4" s="5"/>
      <c r="T4" s="5"/>
      <c r="U4" s="5"/>
      <c r="V4" s="5"/>
      <c r="W4" s="14"/>
    </row>
    <row r="5" spans="3:23" x14ac:dyDescent="0.3">
      <c r="C5" s="10"/>
      <c r="D5" s="17"/>
      <c r="E5" s="18"/>
      <c r="F5" s="18"/>
      <c r="G5" s="18"/>
      <c r="H5" s="18"/>
      <c r="I5" s="18"/>
      <c r="J5" s="18"/>
      <c r="K5" s="18"/>
      <c r="L5" s="18"/>
      <c r="M5" s="18"/>
      <c r="N5" s="18"/>
      <c r="O5" s="18"/>
      <c r="P5" s="18"/>
      <c r="Q5" s="18"/>
      <c r="R5" s="18"/>
      <c r="S5" s="18"/>
      <c r="T5" s="18"/>
      <c r="U5" s="6"/>
      <c r="V5" s="5"/>
      <c r="W5" s="14"/>
    </row>
    <row r="6" spans="3:23" ht="63" thickBot="1" x14ac:dyDescent="1.25">
      <c r="C6" s="10"/>
      <c r="D6" s="25" t="s">
        <v>3910</v>
      </c>
      <c r="E6" s="7"/>
      <c r="F6" s="19"/>
      <c r="G6" s="19"/>
      <c r="H6" s="21"/>
      <c r="I6" s="22"/>
      <c r="J6" s="22"/>
      <c r="K6" s="22"/>
      <c r="L6" s="22"/>
      <c r="M6" s="22"/>
      <c r="N6" s="23"/>
      <c r="O6" s="23"/>
      <c r="P6" s="23"/>
      <c r="Q6" s="23"/>
      <c r="R6" s="23"/>
      <c r="S6" s="24"/>
      <c r="T6" s="20"/>
      <c r="U6" s="8"/>
      <c r="V6" s="5"/>
      <c r="W6" s="14"/>
    </row>
    <row r="7" spans="3:23" x14ac:dyDescent="0.3">
      <c r="C7" s="10"/>
      <c r="D7" s="5"/>
      <c r="E7" s="5"/>
      <c r="F7" s="5"/>
      <c r="G7" s="5"/>
      <c r="H7" s="5"/>
      <c r="I7" s="5"/>
      <c r="J7" s="5"/>
      <c r="K7" s="5"/>
      <c r="L7" s="5"/>
      <c r="M7" s="5"/>
      <c r="N7" s="5"/>
      <c r="O7" s="5"/>
      <c r="P7" s="5"/>
      <c r="Q7" s="5"/>
      <c r="R7" s="5"/>
      <c r="S7" s="5"/>
      <c r="T7" s="5"/>
      <c r="U7" s="5"/>
      <c r="V7" s="5"/>
      <c r="W7" s="14"/>
    </row>
    <row r="8" spans="3:23" x14ac:dyDescent="0.3">
      <c r="C8" s="10"/>
      <c r="D8" s="5"/>
      <c r="E8" s="5"/>
      <c r="F8" s="5"/>
      <c r="G8" s="5"/>
      <c r="H8" s="5"/>
      <c r="I8" s="5"/>
      <c r="J8" s="5"/>
      <c r="K8" s="5"/>
      <c r="L8" s="5"/>
      <c r="M8" s="5"/>
      <c r="N8" s="5"/>
      <c r="O8" s="5"/>
      <c r="P8" s="5"/>
      <c r="Q8" s="5"/>
      <c r="R8" s="5"/>
      <c r="S8" s="5"/>
      <c r="T8" s="5"/>
      <c r="U8" s="5"/>
      <c r="V8" s="5"/>
      <c r="W8" s="14"/>
    </row>
    <row r="9" spans="3:23" x14ac:dyDescent="0.3">
      <c r="C9" s="10"/>
      <c r="D9" s="5"/>
      <c r="E9" s="5"/>
      <c r="F9" s="5"/>
      <c r="G9" s="5"/>
      <c r="H9" s="5"/>
      <c r="I9" s="5"/>
      <c r="J9" s="5"/>
      <c r="K9" s="5"/>
      <c r="L9" s="5"/>
      <c r="M9" s="5"/>
      <c r="N9" s="5"/>
      <c r="O9" s="5"/>
      <c r="P9" s="5"/>
      <c r="Q9" s="5"/>
      <c r="R9" s="5"/>
      <c r="S9" s="5"/>
      <c r="T9" s="5"/>
      <c r="U9" s="5"/>
      <c r="V9" s="5"/>
      <c r="W9" s="14"/>
    </row>
    <row r="10" spans="3:23" x14ac:dyDescent="0.3">
      <c r="C10" s="10"/>
      <c r="D10" s="5"/>
      <c r="E10" s="5"/>
      <c r="F10" s="5"/>
      <c r="G10" s="5"/>
      <c r="H10" s="5"/>
      <c r="I10" s="5"/>
      <c r="J10" s="5"/>
      <c r="K10" s="5"/>
      <c r="L10" s="5"/>
      <c r="M10" s="5"/>
      <c r="N10" s="5"/>
      <c r="O10" s="5"/>
      <c r="P10" s="5"/>
      <c r="Q10" s="5"/>
      <c r="R10" s="5"/>
      <c r="S10" s="5"/>
      <c r="T10" s="5"/>
      <c r="U10" s="5"/>
      <c r="V10" s="5"/>
      <c r="W10" s="14"/>
    </row>
    <row r="11" spans="3:23" x14ac:dyDescent="0.3">
      <c r="C11" s="10"/>
      <c r="D11" s="5"/>
      <c r="E11" s="5"/>
      <c r="F11" s="5"/>
      <c r="G11" s="5"/>
      <c r="H11" s="5"/>
      <c r="I11" s="5"/>
      <c r="J11" s="5"/>
      <c r="K11" s="5"/>
      <c r="L11" s="5"/>
      <c r="M11" s="5"/>
      <c r="N11" s="5"/>
      <c r="O11" s="5"/>
      <c r="P11" s="5"/>
      <c r="Q11" s="5"/>
      <c r="R11" s="5"/>
      <c r="S11" s="5"/>
      <c r="T11" s="5"/>
      <c r="U11" s="5"/>
      <c r="V11" s="5"/>
      <c r="W11" s="14"/>
    </row>
    <row r="12" spans="3:23" x14ac:dyDescent="0.3">
      <c r="C12" s="10"/>
      <c r="D12" s="5"/>
      <c r="E12" s="5"/>
      <c r="F12" s="5"/>
      <c r="G12" s="5"/>
      <c r="H12" s="5"/>
      <c r="I12" s="5"/>
      <c r="J12" s="5"/>
      <c r="K12" s="5"/>
      <c r="L12" s="5"/>
      <c r="M12" s="5"/>
      <c r="N12" s="5"/>
      <c r="O12" s="5"/>
      <c r="P12" s="5"/>
      <c r="Q12" s="5"/>
      <c r="R12" s="5"/>
      <c r="S12" s="5"/>
      <c r="T12" s="5"/>
      <c r="U12" s="5"/>
      <c r="V12" s="5"/>
      <c r="W12" s="14"/>
    </row>
    <row r="13" spans="3:23" x14ac:dyDescent="0.3">
      <c r="C13" s="10"/>
      <c r="D13" s="5"/>
      <c r="E13" s="5"/>
      <c r="F13" s="5"/>
      <c r="G13" s="5"/>
      <c r="H13" s="5"/>
      <c r="I13" s="5"/>
      <c r="J13" s="5"/>
      <c r="K13" s="5"/>
      <c r="L13" s="5"/>
      <c r="M13" s="5"/>
      <c r="N13" s="5"/>
      <c r="O13" s="5"/>
      <c r="P13" s="5"/>
      <c r="Q13" s="5"/>
      <c r="R13" s="5"/>
      <c r="S13" s="5"/>
      <c r="T13" s="5"/>
      <c r="U13" s="5"/>
      <c r="V13" s="5"/>
      <c r="W13" s="14"/>
    </row>
    <row r="14" spans="3:23" x14ac:dyDescent="0.3">
      <c r="C14" s="10"/>
      <c r="D14" s="5"/>
      <c r="E14" s="5"/>
      <c r="F14" s="5"/>
      <c r="G14" s="5"/>
      <c r="H14" s="5"/>
      <c r="I14" s="5"/>
      <c r="J14" s="5"/>
      <c r="K14" s="5"/>
      <c r="L14" s="5"/>
      <c r="M14" s="5"/>
      <c r="N14" s="5"/>
      <c r="O14" s="5"/>
      <c r="P14" s="5"/>
      <c r="Q14" s="5"/>
      <c r="R14" s="5"/>
      <c r="S14" s="5"/>
      <c r="T14" s="5"/>
      <c r="U14" s="5"/>
      <c r="V14" s="5"/>
      <c r="W14" s="14"/>
    </row>
    <row r="15" spans="3:23" x14ac:dyDescent="0.3">
      <c r="C15" s="10"/>
      <c r="D15" s="5"/>
      <c r="E15" s="5"/>
      <c r="F15" s="5"/>
      <c r="G15" s="5"/>
      <c r="H15" s="5"/>
      <c r="I15" s="5"/>
      <c r="J15" s="5"/>
      <c r="K15" s="5"/>
      <c r="L15" s="5"/>
      <c r="M15" s="5"/>
      <c r="N15" s="5"/>
      <c r="O15" s="5"/>
      <c r="P15" s="5"/>
      <c r="Q15" s="5"/>
      <c r="R15" s="5"/>
      <c r="S15" s="5"/>
      <c r="T15" s="5"/>
      <c r="U15" s="5"/>
      <c r="V15" s="5"/>
      <c r="W15" s="14"/>
    </row>
    <row r="16" spans="3:23" x14ac:dyDescent="0.3">
      <c r="C16" s="10"/>
      <c r="D16" s="5"/>
      <c r="E16" s="5"/>
      <c r="F16" s="5"/>
      <c r="G16" s="5"/>
      <c r="H16" s="5"/>
      <c r="I16" s="5"/>
      <c r="J16" s="5"/>
      <c r="K16" s="5"/>
      <c r="L16" s="5"/>
      <c r="M16" s="5"/>
      <c r="N16" s="5"/>
      <c r="O16" s="5"/>
      <c r="P16" s="5"/>
      <c r="Q16" s="5"/>
      <c r="R16" s="5"/>
      <c r="S16" s="5"/>
      <c r="T16" s="5"/>
      <c r="U16" s="5"/>
      <c r="V16" s="5"/>
      <c r="W16" s="14"/>
    </row>
    <row r="17" spans="3:23" x14ac:dyDescent="0.3">
      <c r="C17" s="10"/>
      <c r="D17" s="5"/>
      <c r="E17" s="5"/>
      <c r="F17" s="5"/>
      <c r="G17" s="5"/>
      <c r="H17" s="5"/>
      <c r="I17" s="5"/>
      <c r="J17" s="5"/>
      <c r="K17" s="5"/>
      <c r="L17" s="5"/>
      <c r="M17" s="5"/>
      <c r="N17" s="5"/>
      <c r="O17" s="5"/>
      <c r="P17" s="5"/>
      <c r="Q17" s="5"/>
      <c r="R17" s="5"/>
      <c r="S17" s="5"/>
      <c r="T17" s="5"/>
      <c r="U17" s="5"/>
      <c r="V17" s="5"/>
      <c r="W17" s="14"/>
    </row>
    <row r="18" spans="3:23" x14ac:dyDescent="0.3">
      <c r="C18" s="10"/>
      <c r="D18" s="5"/>
      <c r="E18" s="5"/>
      <c r="F18" s="5"/>
      <c r="G18" s="5"/>
      <c r="H18" s="5"/>
      <c r="I18" s="5"/>
      <c r="J18" s="5"/>
      <c r="K18" s="5"/>
      <c r="L18" s="5"/>
      <c r="M18" s="5"/>
      <c r="N18" s="5"/>
      <c r="O18" s="5"/>
      <c r="P18" s="5"/>
      <c r="Q18" s="5"/>
      <c r="R18" s="5"/>
      <c r="S18" s="5"/>
      <c r="T18" s="5"/>
      <c r="U18" s="5"/>
      <c r="V18" s="5"/>
      <c r="W18" s="14"/>
    </row>
    <row r="19" spans="3:23" x14ac:dyDescent="0.3">
      <c r="C19" s="10"/>
      <c r="D19" s="5"/>
      <c r="E19" s="5"/>
      <c r="F19" s="5"/>
      <c r="G19" s="5"/>
      <c r="H19" s="5"/>
      <c r="I19" s="5"/>
      <c r="J19" s="5"/>
      <c r="K19" s="5"/>
      <c r="L19" s="5"/>
      <c r="M19" s="5"/>
      <c r="N19" s="5"/>
      <c r="O19" s="5"/>
      <c r="P19" s="5"/>
      <c r="Q19" s="5"/>
      <c r="R19" s="5"/>
      <c r="S19" s="5"/>
      <c r="T19" s="5"/>
      <c r="U19" s="5"/>
      <c r="V19" s="5"/>
      <c r="W19" s="14"/>
    </row>
    <row r="20" spans="3:23" x14ac:dyDescent="0.3">
      <c r="C20" s="10"/>
      <c r="D20" s="5"/>
      <c r="E20" s="5"/>
      <c r="F20" s="5"/>
      <c r="G20" s="5"/>
      <c r="H20" s="5"/>
      <c r="I20" s="5"/>
      <c r="J20" s="5"/>
      <c r="K20" s="5"/>
      <c r="L20" s="5"/>
      <c r="M20" s="5"/>
      <c r="N20" s="5"/>
      <c r="O20" s="5"/>
      <c r="P20" s="5"/>
      <c r="Q20" s="5"/>
      <c r="R20" s="5"/>
      <c r="S20" s="5"/>
      <c r="T20" s="5"/>
      <c r="U20" s="5"/>
      <c r="V20" s="5"/>
      <c r="W20" s="14"/>
    </row>
    <row r="21" spans="3:23" x14ac:dyDescent="0.3">
      <c r="C21" s="10"/>
      <c r="D21" s="5"/>
      <c r="E21" s="5"/>
      <c r="F21" s="5"/>
      <c r="G21" s="5"/>
      <c r="H21" s="5"/>
      <c r="I21" s="5"/>
      <c r="J21" s="5"/>
      <c r="K21" s="5"/>
      <c r="L21" s="5"/>
      <c r="M21" s="5"/>
      <c r="N21" s="5"/>
      <c r="O21" s="5"/>
      <c r="P21" s="5"/>
      <c r="Q21" s="5"/>
      <c r="R21" s="5"/>
      <c r="S21" s="5"/>
      <c r="T21" s="5"/>
      <c r="U21" s="5"/>
      <c r="V21" s="5"/>
      <c r="W21" s="14"/>
    </row>
    <row r="22" spans="3:23" x14ac:dyDescent="0.3">
      <c r="C22" s="10"/>
      <c r="D22" s="5"/>
      <c r="E22" s="5"/>
      <c r="F22" s="5"/>
      <c r="G22" s="5"/>
      <c r="H22" s="5"/>
      <c r="I22" s="5"/>
      <c r="J22" s="5"/>
      <c r="K22" s="5"/>
      <c r="L22" s="5"/>
      <c r="M22" s="5"/>
      <c r="N22" s="5"/>
      <c r="O22" s="5"/>
      <c r="P22" s="5"/>
      <c r="Q22" s="5"/>
      <c r="R22" s="5"/>
      <c r="S22" s="5"/>
      <c r="T22" s="5"/>
      <c r="U22" s="5"/>
      <c r="V22" s="5"/>
      <c r="W22" s="14"/>
    </row>
    <row r="23" spans="3:23" x14ac:dyDescent="0.3">
      <c r="C23" s="10"/>
      <c r="D23" s="5"/>
      <c r="E23" s="5"/>
      <c r="F23" s="5"/>
      <c r="G23" s="5"/>
      <c r="H23" s="5"/>
      <c r="I23" s="5"/>
      <c r="J23" s="5"/>
      <c r="K23" s="5"/>
      <c r="L23" s="5"/>
      <c r="M23" s="5"/>
      <c r="N23" s="5"/>
      <c r="O23" s="5"/>
      <c r="P23" s="5"/>
      <c r="Q23" s="5"/>
      <c r="R23" s="5"/>
      <c r="S23" s="5"/>
      <c r="T23" s="5"/>
      <c r="U23" s="5"/>
      <c r="V23" s="5"/>
      <c r="W23" s="14"/>
    </row>
    <row r="24" spans="3:23" x14ac:dyDescent="0.3">
      <c r="C24" s="10"/>
      <c r="D24" s="5"/>
      <c r="E24" s="5"/>
      <c r="F24" s="5"/>
      <c r="G24" s="5"/>
      <c r="H24" s="5"/>
      <c r="I24" s="5"/>
      <c r="J24" s="5"/>
      <c r="K24" s="5"/>
      <c r="L24" s="5"/>
      <c r="M24" s="5"/>
      <c r="N24" s="5"/>
      <c r="O24" s="5"/>
      <c r="P24" s="5"/>
      <c r="Q24" s="5"/>
      <c r="R24" s="5"/>
      <c r="S24" s="5"/>
      <c r="T24" s="5"/>
      <c r="U24" s="5"/>
      <c r="V24" s="5"/>
      <c r="W24" s="14"/>
    </row>
    <row r="25" spans="3:23" x14ac:dyDescent="0.3">
      <c r="C25" s="10"/>
      <c r="D25" s="5"/>
      <c r="E25" s="5"/>
      <c r="F25" s="5"/>
      <c r="G25" s="5"/>
      <c r="H25" s="5"/>
      <c r="I25" s="5"/>
      <c r="J25" s="5"/>
      <c r="K25" s="5"/>
      <c r="L25" s="5"/>
      <c r="M25" s="5"/>
      <c r="N25" s="5"/>
      <c r="O25" s="5"/>
      <c r="P25" s="5"/>
      <c r="Q25" s="5"/>
      <c r="R25" s="5"/>
      <c r="S25" s="5"/>
      <c r="T25" s="5"/>
      <c r="U25" s="5"/>
      <c r="V25" s="5"/>
      <c r="W25" s="14"/>
    </row>
    <row r="26" spans="3:23" x14ac:dyDescent="0.3">
      <c r="C26" s="10"/>
      <c r="D26" s="5"/>
      <c r="E26" s="5"/>
      <c r="F26" s="5"/>
      <c r="G26" s="5"/>
      <c r="H26" s="5"/>
      <c r="I26" s="5"/>
      <c r="J26" s="5"/>
      <c r="K26" s="5"/>
      <c r="L26" s="5"/>
      <c r="M26" s="5"/>
      <c r="N26" s="5"/>
      <c r="O26" s="5"/>
      <c r="P26" s="5"/>
      <c r="Q26" s="5"/>
      <c r="R26" s="5"/>
      <c r="S26" s="5"/>
      <c r="T26" s="5"/>
      <c r="U26" s="5"/>
      <c r="V26" s="5"/>
      <c r="W26" s="14"/>
    </row>
    <row r="27" spans="3:23" x14ac:dyDescent="0.3">
      <c r="C27" s="10"/>
      <c r="D27" s="5"/>
      <c r="E27" s="5"/>
      <c r="F27" s="5"/>
      <c r="G27" s="5"/>
      <c r="H27" s="5"/>
      <c r="I27" s="5"/>
      <c r="J27" s="5"/>
      <c r="K27" s="5"/>
      <c r="L27" s="5"/>
      <c r="M27" s="5"/>
      <c r="N27" s="5"/>
      <c r="O27" s="5"/>
      <c r="P27" s="5"/>
      <c r="Q27" s="5"/>
      <c r="R27" s="5"/>
      <c r="S27" s="5"/>
      <c r="T27" s="5"/>
      <c r="U27" s="5"/>
      <c r="V27" s="5"/>
      <c r="W27" s="14"/>
    </row>
    <row r="28" spans="3:23" x14ac:dyDescent="0.3">
      <c r="C28" s="10"/>
      <c r="D28" s="5"/>
      <c r="E28" s="5"/>
      <c r="F28" s="5"/>
      <c r="G28" s="5"/>
      <c r="H28" s="5"/>
      <c r="I28" s="5"/>
      <c r="J28" s="5"/>
      <c r="K28" s="5"/>
      <c r="L28" s="5"/>
      <c r="M28" s="5"/>
      <c r="N28" s="5"/>
      <c r="O28" s="5"/>
      <c r="P28" s="5"/>
      <c r="Q28" s="5"/>
      <c r="R28" s="5"/>
      <c r="S28" s="5"/>
      <c r="T28" s="5"/>
      <c r="U28" s="5"/>
      <c r="V28" s="5"/>
      <c r="W28" s="14"/>
    </row>
    <row r="29" spans="3:23" x14ac:dyDescent="0.3">
      <c r="C29" s="10"/>
      <c r="D29" s="5"/>
      <c r="E29" s="5"/>
      <c r="F29" s="5"/>
      <c r="G29" s="5"/>
      <c r="H29" s="5"/>
      <c r="I29" s="5"/>
      <c r="J29" s="5"/>
      <c r="K29" s="5"/>
      <c r="L29" s="5"/>
      <c r="M29" s="5"/>
      <c r="N29" s="5"/>
      <c r="O29" s="5"/>
      <c r="P29" s="5"/>
      <c r="Q29" s="5"/>
      <c r="R29" s="5"/>
      <c r="S29" s="5"/>
      <c r="T29" s="5"/>
      <c r="U29" s="5"/>
      <c r="V29" s="5"/>
      <c r="W29" s="14"/>
    </row>
    <row r="30" spans="3:23" x14ac:dyDescent="0.3">
      <c r="C30" s="10"/>
      <c r="D30" s="5"/>
      <c r="E30" s="5"/>
      <c r="F30" s="5"/>
      <c r="G30" s="5"/>
      <c r="H30" s="5"/>
      <c r="I30" s="5"/>
      <c r="J30" s="5"/>
      <c r="K30" s="5"/>
      <c r="L30" s="5"/>
      <c r="M30" s="5"/>
      <c r="N30" s="5"/>
      <c r="O30" s="5"/>
      <c r="P30" s="5"/>
      <c r="Q30" s="5"/>
      <c r="R30" s="5"/>
      <c r="S30" s="5"/>
      <c r="T30" s="5"/>
      <c r="U30" s="5"/>
      <c r="V30" s="5"/>
      <c r="W30" s="14"/>
    </row>
    <row r="31" spans="3:23" x14ac:dyDescent="0.3">
      <c r="C31" s="10"/>
      <c r="D31" s="5"/>
      <c r="E31" s="5"/>
      <c r="F31" s="5"/>
      <c r="G31" s="5"/>
      <c r="H31" s="5"/>
      <c r="I31" s="5"/>
      <c r="J31" s="5"/>
      <c r="K31" s="5"/>
      <c r="L31" s="5"/>
      <c r="M31" s="5"/>
      <c r="N31" s="5"/>
      <c r="O31" s="5"/>
      <c r="P31" s="5"/>
      <c r="Q31" s="5"/>
      <c r="R31" s="5"/>
      <c r="S31" s="5"/>
      <c r="T31" s="5"/>
      <c r="U31" s="5"/>
      <c r="V31" s="5"/>
      <c r="W31" s="14"/>
    </row>
    <row r="32" spans="3:23" x14ac:dyDescent="0.3">
      <c r="C32" s="10"/>
      <c r="D32" s="5"/>
      <c r="E32" s="5"/>
      <c r="F32" s="5"/>
      <c r="G32" s="5"/>
      <c r="H32" s="5"/>
      <c r="I32" s="5"/>
      <c r="J32" s="5"/>
      <c r="K32" s="5"/>
      <c r="L32" s="5"/>
      <c r="M32" s="5"/>
      <c r="N32" s="5"/>
      <c r="O32" s="5"/>
      <c r="P32" s="5"/>
      <c r="Q32" s="5"/>
      <c r="R32" s="5"/>
      <c r="S32" s="5"/>
      <c r="T32" s="5"/>
      <c r="U32" s="5"/>
      <c r="V32" s="5"/>
      <c r="W32" s="14"/>
    </row>
    <row r="33" spans="3:23" x14ac:dyDescent="0.3">
      <c r="C33" s="10"/>
      <c r="D33" s="5"/>
      <c r="E33" s="5"/>
      <c r="F33" s="5"/>
      <c r="G33" s="5"/>
      <c r="H33" s="5"/>
      <c r="I33" s="5"/>
      <c r="J33" s="5"/>
      <c r="K33" s="5"/>
      <c r="L33" s="5"/>
      <c r="M33" s="5"/>
      <c r="N33" s="5"/>
      <c r="O33" s="5"/>
      <c r="P33" s="5"/>
      <c r="Q33" s="5"/>
      <c r="R33" s="5"/>
      <c r="S33" s="5"/>
      <c r="T33" s="5"/>
      <c r="U33" s="5"/>
      <c r="V33" s="5"/>
      <c r="W33" s="14"/>
    </row>
    <row r="34" spans="3:23" x14ac:dyDescent="0.3">
      <c r="C34" s="10"/>
      <c r="D34" s="5"/>
      <c r="E34" s="5"/>
      <c r="F34" s="5"/>
      <c r="G34" s="5"/>
      <c r="H34" s="5"/>
      <c r="I34" s="5"/>
      <c r="J34" s="5"/>
      <c r="K34" s="5"/>
      <c r="L34" s="5"/>
      <c r="M34" s="5"/>
      <c r="N34" s="5"/>
      <c r="O34" s="5"/>
      <c r="P34" s="5"/>
      <c r="Q34" s="5"/>
      <c r="R34" s="5"/>
      <c r="S34" s="5"/>
      <c r="T34" s="5"/>
      <c r="U34" s="5"/>
      <c r="V34" s="5"/>
      <c r="W34" s="14"/>
    </row>
    <row r="35" spans="3:23" x14ac:dyDescent="0.3">
      <c r="C35" s="10"/>
      <c r="D35" s="5"/>
      <c r="E35" s="5"/>
      <c r="F35" s="5"/>
      <c r="G35" s="5"/>
      <c r="H35" s="5"/>
      <c r="I35" s="5"/>
      <c r="J35" s="5"/>
      <c r="K35" s="5"/>
      <c r="L35" s="5"/>
      <c r="M35" s="5"/>
      <c r="N35" s="5"/>
      <c r="O35" s="5"/>
      <c r="P35" s="5"/>
      <c r="Q35" s="5"/>
      <c r="R35" s="5"/>
      <c r="S35" s="5"/>
      <c r="T35" s="5"/>
      <c r="U35" s="5"/>
      <c r="V35" s="5"/>
      <c r="W35" s="14"/>
    </row>
    <row r="36" spans="3:23" x14ac:dyDescent="0.3">
      <c r="C36" s="10"/>
      <c r="D36" s="5"/>
      <c r="E36" s="5"/>
      <c r="F36" s="5"/>
      <c r="G36" s="5"/>
      <c r="H36" s="5"/>
      <c r="I36" s="5"/>
      <c r="J36" s="5"/>
      <c r="K36" s="5"/>
      <c r="L36" s="5"/>
      <c r="M36" s="5"/>
      <c r="N36" s="5"/>
      <c r="O36" s="5"/>
      <c r="P36" s="5"/>
      <c r="Q36" s="5"/>
      <c r="R36" s="5"/>
      <c r="S36" s="5"/>
      <c r="T36" s="5"/>
      <c r="U36" s="5"/>
      <c r="V36" s="5"/>
      <c r="W36" s="14"/>
    </row>
    <row r="37" spans="3:23" x14ac:dyDescent="0.3">
      <c r="C37" s="10"/>
      <c r="D37" s="5"/>
      <c r="E37" s="5"/>
      <c r="F37" s="5"/>
      <c r="G37" s="5"/>
      <c r="H37" s="5"/>
      <c r="I37" s="5"/>
      <c r="J37" s="5"/>
      <c r="K37" s="5"/>
      <c r="L37" s="5"/>
      <c r="M37" s="5"/>
      <c r="N37" s="5"/>
      <c r="O37" s="5"/>
      <c r="P37" s="5"/>
      <c r="Q37" s="5"/>
      <c r="R37" s="5"/>
      <c r="S37" s="5"/>
      <c r="T37" s="5"/>
      <c r="U37" s="5"/>
      <c r="V37" s="5"/>
      <c r="W37" s="14"/>
    </row>
    <row r="38" spans="3:23" x14ac:dyDescent="0.3">
      <c r="C38" s="10"/>
      <c r="D38" s="5"/>
      <c r="E38" s="5"/>
      <c r="F38" s="5"/>
      <c r="G38" s="5"/>
      <c r="H38" s="5"/>
      <c r="I38" s="5"/>
      <c r="J38" s="5"/>
      <c r="K38" s="5"/>
      <c r="L38" s="5"/>
      <c r="M38" s="5"/>
      <c r="N38" s="5"/>
      <c r="O38" s="5"/>
      <c r="P38" s="5"/>
      <c r="Q38" s="5"/>
      <c r="R38" s="5"/>
      <c r="S38" s="5"/>
      <c r="T38" s="5"/>
      <c r="U38" s="5"/>
      <c r="V38" s="5"/>
      <c r="W38" s="14"/>
    </row>
    <row r="39" spans="3:23" x14ac:dyDescent="0.3">
      <c r="C39" s="10"/>
      <c r="D39" s="5"/>
      <c r="E39" s="5"/>
      <c r="F39" s="5"/>
      <c r="G39" s="5"/>
      <c r="H39" s="5"/>
      <c r="I39" s="5"/>
      <c r="J39" s="5"/>
      <c r="K39" s="5"/>
      <c r="L39" s="5"/>
      <c r="M39" s="5"/>
      <c r="N39" s="5"/>
      <c r="O39" s="5"/>
      <c r="P39" s="5"/>
      <c r="Q39" s="5"/>
      <c r="R39" s="5"/>
      <c r="S39" s="5"/>
      <c r="T39" s="5"/>
      <c r="U39" s="5"/>
      <c r="V39" s="5"/>
      <c r="W39" s="14"/>
    </row>
    <row r="40" spans="3:23" x14ac:dyDescent="0.3">
      <c r="C40" s="10"/>
      <c r="D40" s="5"/>
      <c r="E40" s="5"/>
      <c r="F40" s="5"/>
      <c r="G40" s="5"/>
      <c r="H40" s="5"/>
      <c r="I40" s="5"/>
      <c r="J40" s="5"/>
      <c r="K40" s="5"/>
      <c r="L40" s="5"/>
      <c r="M40" s="5"/>
      <c r="N40" s="5"/>
      <c r="O40" s="5"/>
      <c r="P40" s="5"/>
      <c r="Q40" s="5"/>
      <c r="R40" s="5"/>
      <c r="S40" s="5"/>
      <c r="T40" s="5"/>
      <c r="U40" s="5"/>
      <c r="V40" s="5"/>
      <c r="W40" s="14"/>
    </row>
    <row r="41" spans="3:23" x14ac:dyDescent="0.3">
      <c r="C41" s="10"/>
      <c r="D41" s="5"/>
      <c r="E41" s="5"/>
      <c r="F41" s="5"/>
      <c r="G41" s="5"/>
      <c r="H41" s="5"/>
      <c r="I41" s="5"/>
      <c r="J41" s="5"/>
      <c r="K41" s="5"/>
      <c r="L41" s="5"/>
      <c r="M41" s="5"/>
      <c r="N41" s="5"/>
      <c r="O41" s="5"/>
      <c r="P41" s="5"/>
      <c r="Q41" s="5"/>
      <c r="R41" s="5"/>
      <c r="S41" s="5"/>
      <c r="T41" s="5"/>
      <c r="U41" s="5"/>
      <c r="V41" s="5"/>
      <c r="W41" s="14"/>
    </row>
    <row r="42" spans="3:23" x14ac:dyDescent="0.3">
      <c r="C42" s="10"/>
      <c r="D42" s="5"/>
      <c r="E42" s="5"/>
      <c r="F42" s="5"/>
      <c r="G42" s="5"/>
      <c r="H42" s="5"/>
      <c r="I42" s="5"/>
      <c r="J42" s="5"/>
      <c r="K42" s="5"/>
      <c r="L42" s="5"/>
      <c r="M42" s="5"/>
      <c r="N42" s="5"/>
      <c r="O42" s="5"/>
      <c r="P42" s="5"/>
      <c r="Q42" s="5"/>
      <c r="R42" s="5"/>
      <c r="S42" s="5"/>
      <c r="T42" s="5"/>
      <c r="U42" s="5"/>
      <c r="V42" s="5"/>
      <c r="W42" s="14"/>
    </row>
    <row r="43" spans="3:23" x14ac:dyDescent="0.3">
      <c r="C43" s="10"/>
      <c r="D43" s="5"/>
      <c r="E43" s="5"/>
      <c r="F43" s="5"/>
      <c r="G43" s="5"/>
      <c r="H43" s="5"/>
      <c r="I43" s="5"/>
      <c r="J43" s="5"/>
      <c r="K43" s="5"/>
      <c r="L43" s="5"/>
      <c r="M43" s="5"/>
      <c r="N43" s="5"/>
      <c r="O43" s="5"/>
      <c r="P43" s="5"/>
      <c r="Q43" s="5"/>
      <c r="R43" s="5"/>
      <c r="S43" s="5"/>
      <c r="T43" s="5"/>
      <c r="U43" s="5"/>
      <c r="V43" s="5"/>
      <c r="W43" s="14"/>
    </row>
    <row r="44" spans="3:23" x14ac:dyDescent="0.3">
      <c r="C44" s="10"/>
      <c r="D44" s="5"/>
      <c r="E44" s="5"/>
      <c r="F44" s="5"/>
      <c r="G44" s="5"/>
      <c r="H44" s="5"/>
      <c r="I44" s="5"/>
      <c r="J44" s="5"/>
      <c r="K44" s="5"/>
      <c r="L44" s="5"/>
      <c r="M44" s="5"/>
      <c r="N44" s="5"/>
      <c r="O44" s="5"/>
      <c r="P44" s="5"/>
      <c r="Q44" s="5"/>
      <c r="R44" s="5"/>
      <c r="S44" s="5"/>
      <c r="T44" s="5"/>
      <c r="U44" s="5"/>
      <c r="V44" s="5"/>
      <c r="W44" s="14"/>
    </row>
    <row r="45" spans="3:23" x14ac:dyDescent="0.3">
      <c r="C45" s="10"/>
      <c r="D45" s="5"/>
      <c r="E45" s="5"/>
      <c r="F45" s="5"/>
      <c r="G45" s="5"/>
      <c r="H45" s="5"/>
      <c r="I45" s="5"/>
      <c r="J45" s="5"/>
      <c r="K45" s="5"/>
      <c r="L45" s="5"/>
      <c r="M45" s="5"/>
      <c r="N45" s="5"/>
      <c r="O45" s="5"/>
      <c r="P45" s="5"/>
      <c r="Q45" s="5"/>
      <c r="R45" s="5"/>
      <c r="S45" s="5"/>
      <c r="T45" s="5"/>
      <c r="U45" s="5"/>
      <c r="V45" s="5"/>
      <c r="W45" s="14"/>
    </row>
    <row r="46" spans="3:23" x14ac:dyDescent="0.3">
      <c r="C46" s="10"/>
      <c r="D46" s="5"/>
      <c r="E46" s="5"/>
      <c r="F46" s="5"/>
      <c r="G46" s="5"/>
      <c r="H46" s="5"/>
      <c r="I46" s="5"/>
      <c r="J46" s="5"/>
      <c r="K46" s="5"/>
      <c r="L46" s="5"/>
      <c r="M46" s="5"/>
      <c r="N46" s="5"/>
      <c r="O46" s="5"/>
      <c r="P46" s="5"/>
      <c r="Q46" s="5"/>
      <c r="R46" s="5"/>
      <c r="S46" s="5"/>
      <c r="T46" s="5"/>
      <c r="U46" s="5"/>
      <c r="V46" s="5"/>
      <c r="W46" s="14"/>
    </row>
    <row r="47" spans="3:23" x14ac:dyDescent="0.3">
      <c r="C47" s="10"/>
      <c r="D47" s="5"/>
      <c r="E47" s="5"/>
      <c r="F47" s="5"/>
      <c r="G47" s="5"/>
      <c r="H47" s="5"/>
      <c r="I47" s="5"/>
      <c r="J47" s="5"/>
      <c r="K47" s="5"/>
      <c r="L47" s="5"/>
      <c r="M47" s="5"/>
      <c r="N47" s="5"/>
      <c r="O47" s="5"/>
      <c r="P47" s="5"/>
      <c r="Q47" s="5"/>
      <c r="R47" s="5"/>
      <c r="S47" s="5"/>
      <c r="T47" s="5"/>
      <c r="U47" s="5"/>
      <c r="V47" s="5"/>
      <c r="W47" s="14"/>
    </row>
    <row r="48" spans="3:23" x14ac:dyDescent="0.3">
      <c r="C48" s="10"/>
      <c r="D48" s="5"/>
      <c r="E48" s="5"/>
      <c r="F48" s="5"/>
      <c r="G48" s="5"/>
      <c r="H48" s="5"/>
      <c r="I48" s="5"/>
      <c r="J48" s="5"/>
      <c r="K48" s="5"/>
      <c r="L48" s="5"/>
      <c r="M48" s="5"/>
      <c r="N48" s="5"/>
      <c r="O48" s="5"/>
      <c r="P48" s="5"/>
      <c r="Q48" s="5"/>
      <c r="R48" s="5"/>
      <c r="S48" s="5"/>
      <c r="T48" s="5"/>
      <c r="U48" s="5"/>
      <c r="V48" s="5"/>
      <c r="W48" s="14"/>
    </row>
    <row r="49" spans="3:23" ht="15" thickBot="1" x14ac:dyDescent="0.35">
      <c r="C49" s="11"/>
      <c r="D49" s="15"/>
      <c r="E49" s="15"/>
      <c r="F49" s="15"/>
      <c r="G49" s="15"/>
      <c r="H49" s="15"/>
      <c r="I49" s="15"/>
      <c r="J49" s="15"/>
      <c r="K49" s="15"/>
      <c r="L49" s="15"/>
      <c r="M49" s="15"/>
      <c r="N49" s="15"/>
      <c r="O49" s="15"/>
      <c r="P49" s="15"/>
      <c r="Q49" s="15"/>
      <c r="R49" s="15"/>
      <c r="S49" s="15"/>
      <c r="T49" s="15"/>
      <c r="U49" s="15"/>
      <c r="V49" s="15"/>
      <c r="W49" s="16"/>
    </row>
    <row r="50" spans="3:23" ht="15" thickTop="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sales_dataset</vt:lpstr>
      <vt:lpstr>Sheet2</vt:lpstr>
      <vt:lpstr>sales_dashboard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uma rajput</cp:lastModifiedBy>
  <dcterms:created xsi:type="dcterms:W3CDTF">2026-08-23T08:17:29Z</dcterms:created>
  <dcterms:modified xsi:type="dcterms:W3CDTF">2026-09-04T09:28:06Z</dcterms:modified>
</cp:coreProperties>
</file>